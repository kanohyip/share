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drawings/drawing16.xml" ContentType="application/vnd.openxmlformats-officedocument.drawing+xml"/>
  <Override PartName="/xl/comments14.xml" ContentType="application/vnd.openxmlformats-officedocument.spreadsheetml.comments+xml"/>
  <Override PartName="/xl/drawings/drawing17.xml" ContentType="application/vnd.openxmlformats-officedocument.drawing+xml"/>
  <Override PartName="/xl/comments15.xml" ContentType="application/vnd.openxmlformats-officedocument.spreadsheetml.comments+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PFS14\Profiles$\MH240730\Profiles\Desktop\"/>
    </mc:Choice>
  </mc:AlternateContent>
  <xr:revisionPtr revIDLastSave="0" documentId="8_{0419DDF6-0CA2-44FC-B71F-130C6FA22D6D}" xr6:coauthVersionLast="47" xr6:coauthVersionMax="47" xr10:uidLastSave="{00000000-0000-0000-0000-000000000000}"/>
  <bookViews>
    <workbookView xWindow="-110" yWindow="-110" windowWidth="19420" windowHeight="10560" tabRatio="802" xr2:uid="{00000000-000D-0000-FFFF-FFFF00000000}"/>
  </bookViews>
  <sheets>
    <sheet name="注意 Caution" sheetId="33" r:id="rId1"/>
    <sheet name="インデックス" sheetId="7" r:id="rId2"/>
    <sheet name="フィルタ整理" sheetId="23" state="hidden" r:id="rId3"/>
    <sheet name="判定シート" sheetId="34" r:id="rId4"/>
    <sheet name="態勢" sheetId="8" r:id="rId5"/>
    <sheet name="アプリ設計" sheetId="4" r:id="rId6"/>
    <sheet name="アプリコーディング" sheetId="5" r:id="rId7"/>
    <sheet name="インフラ(自社DC)" sheetId="1" r:id="rId8"/>
    <sheet name="インフラ(AWS)" sheetId="24" r:id="rId9"/>
    <sheet name="インフラ(IaaS)" sheetId="26" r:id="rId10"/>
    <sheet name="インフラ(SaaS)" sheetId="30" r:id="rId11"/>
    <sheet name="運用プロセス(自社DC)" sheetId="9" r:id="rId12"/>
    <sheet name="運用プロセス(AWS)" sheetId="25" r:id="rId13"/>
    <sheet name="運用プロセス(IaaS)" sheetId="27" r:id="rId14"/>
    <sheet name="運用プロセス(SaaS)" sheetId="31" r:id="rId15"/>
    <sheet name="モバイルアプリ" sheetId="3" r:id="rId16"/>
    <sheet name="外部API" sheetId="2" r:id="rId17"/>
    <sheet name="改定履歴" sheetId="32" r:id="rId18"/>
  </sheets>
  <externalReferences>
    <externalReference r:id="rId19"/>
  </externalReferences>
  <definedNames>
    <definedName name="_1_5旧会社加算給込実年収_TMC_NSD_">#REF!</definedName>
    <definedName name="_3Q_014_日別書出データ_システムズ">#REF!</definedName>
    <definedName name="_5Q_014_日別書出データ_システムズ_">#REF!</definedName>
    <definedName name="_7Q006_日別書出データ_システムズ">#REF!</definedName>
    <definedName name="_8新年度新ﾃｰﾌﾞﾙ年収_人事部申請">#REF!</definedName>
    <definedName name="_9新年度新ﾃｰﾌﾞﾙ年収_人事部申請加算給用">#REF!</definedName>
    <definedName name="_xlnm._FilterDatabase" localSheetId="6" hidden="1">アプリコーディング!$A$5:$T$53</definedName>
    <definedName name="_xlnm._FilterDatabase" localSheetId="5" hidden="1">アプリ設計!$A$5:$AJ$47</definedName>
    <definedName name="_xlnm._FilterDatabase" localSheetId="8" hidden="1">'インフラ(AWS)'!$A$7:$AW$114</definedName>
    <definedName name="_xlnm._FilterDatabase" localSheetId="9" hidden="1">'インフラ(IaaS)'!$A$7:$AO$109</definedName>
    <definedName name="_xlnm._FilterDatabase" localSheetId="10" hidden="1">'インフラ(SaaS)'!$A$7:$AO$108</definedName>
    <definedName name="_xlnm._FilterDatabase" localSheetId="7" hidden="1">'インフラ(自社DC)'!$A$6:$AN$113</definedName>
    <definedName name="_xlnm._FilterDatabase" localSheetId="15" hidden="1">モバイルアプリ!$A$5:$U$63</definedName>
    <definedName name="_xlnm._FilterDatabase" localSheetId="12" hidden="1">'運用プロセス(AWS)'!$A$7:$AW$52</definedName>
    <definedName name="_xlnm._FilterDatabase" localSheetId="13" hidden="1">'運用プロセス(IaaS)'!$A$7:$AO$51</definedName>
    <definedName name="_xlnm._FilterDatabase" localSheetId="14" hidden="1">'運用プロセス(SaaS)'!$A$7:$AO$51</definedName>
    <definedName name="_xlnm._FilterDatabase" localSheetId="11" hidden="1">'運用プロセス(自社DC)'!$A$6:$AM$53</definedName>
    <definedName name="_xlnm._FilterDatabase" localSheetId="16" hidden="1">外部API!$A$6:$AG$77</definedName>
    <definedName name="_xlnm._FilterDatabase" localSheetId="4" hidden="1">態勢!$A$7:$AA$105</definedName>
    <definedName name="A">#REF!</definedName>
    <definedName name="AS2DocOpenMode" hidden="1">"AS2DocumentEdit"</definedName>
    <definedName name="_xlnm.Print_Area" localSheetId="1">インデックス!$A$1:$BQ$120</definedName>
    <definedName name="_xlnm.Print_Area" localSheetId="0">'注意 Caution'!$B$1:$B$9</definedName>
    <definedName name="SORT">[1]ゆとりシート!#REF!</definedName>
    <definedName name="集計全体">[1]集計全体!$A$4:$AB$122</definedName>
    <definedName name="前年当月条件">[1]PRM!$B$43:$AJ$44</definedName>
    <definedName name="前年累計条件">[1]PRM!$B$27:$AJ$28</definedName>
    <definedName name="当月">[1]PRM!$E$8</definedName>
    <definedName name="当年当月条件">[1]PRM!$B$35:$AJ$36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 i="24" l="1"/>
  <c r="E37" i="24"/>
  <c r="E13" i="31"/>
  <c r="E13" i="27"/>
  <c r="E13" i="25"/>
  <c r="E28" i="30"/>
  <c r="E55" i="24"/>
  <c r="AN13" i="31"/>
  <c r="AN13" i="27"/>
  <c r="E16" i="25"/>
  <c r="AV13" i="25"/>
  <c r="G54" i="9"/>
  <c r="AL12" i="9"/>
  <c r="G53" i="5"/>
  <c r="G52" i="5"/>
  <c r="G107" i="8"/>
  <c r="G49" i="4"/>
  <c r="G48" i="4"/>
  <c r="CA158" i="7" l="1"/>
  <c r="Z4" i="4"/>
  <c r="E50" i="27"/>
  <c r="AN83" i="30"/>
  <c r="E83" i="30"/>
  <c r="AN84" i="26"/>
  <c r="E84" i="26"/>
  <c r="E88" i="24"/>
  <c r="E87" i="24"/>
  <c r="AV88" i="24"/>
  <c r="AM81" i="1"/>
  <c r="Z98" i="8"/>
  <c r="E22" i="26"/>
  <c r="AI47" i="4"/>
  <c r="Z38" i="8"/>
  <c r="E50" i="26"/>
  <c r="AN50" i="26"/>
  <c r="AL48" i="7"/>
  <c r="AD6" i="26" s="1"/>
  <c r="AL52" i="7"/>
  <c r="AM52" i="7" s="1"/>
  <c r="AL51" i="7"/>
  <c r="AL100" i="7"/>
  <c r="H53" i="31"/>
  <c r="CA167" i="7" s="1"/>
  <c r="AL99" i="7"/>
  <c r="AG98" i="7" s="1"/>
  <c r="W5" i="2"/>
  <c r="AE77" i="2"/>
  <c r="AD77" i="2"/>
  <c r="AC77" i="2"/>
  <c r="AB77" i="2"/>
  <c r="AA77" i="2"/>
  <c r="Z77" i="2"/>
  <c r="Y77" i="2"/>
  <c r="X77" i="2"/>
  <c r="AE76" i="2"/>
  <c r="AD76" i="2"/>
  <c r="AC76" i="2"/>
  <c r="AB76" i="2"/>
  <c r="AA76" i="2"/>
  <c r="Z76" i="2"/>
  <c r="Y76" i="2"/>
  <c r="X76" i="2"/>
  <c r="AE75" i="2"/>
  <c r="AD75" i="2"/>
  <c r="AC75" i="2"/>
  <c r="AB75" i="2"/>
  <c r="AA75" i="2"/>
  <c r="Z75" i="2"/>
  <c r="Y75" i="2"/>
  <c r="X75" i="2"/>
  <c r="AE74" i="2"/>
  <c r="AD74" i="2"/>
  <c r="AC74" i="2"/>
  <c r="AB74" i="2"/>
  <c r="AA74" i="2"/>
  <c r="Z74" i="2"/>
  <c r="Y74" i="2"/>
  <c r="X74" i="2"/>
  <c r="AE73" i="2"/>
  <c r="AD73" i="2"/>
  <c r="AC73" i="2"/>
  <c r="AB73" i="2"/>
  <c r="AA73" i="2"/>
  <c r="Z73" i="2"/>
  <c r="Y73" i="2"/>
  <c r="X73" i="2"/>
  <c r="AE72" i="2"/>
  <c r="AD72" i="2"/>
  <c r="AC72" i="2"/>
  <c r="AB72" i="2"/>
  <c r="AA72" i="2"/>
  <c r="Z72" i="2"/>
  <c r="Y72" i="2"/>
  <c r="X72" i="2"/>
  <c r="AE71" i="2"/>
  <c r="AD71" i="2"/>
  <c r="AC71" i="2"/>
  <c r="AB71" i="2"/>
  <c r="AA71" i="2"/>
  <c r="Z71" i="2"/>
  <c r="Y71" i="2"/>
  <c r="X71" i="2"/>
  <c r="AE70" i="2"/>
  <c r="AD70" i="2"/>
  <c r="AC70" i="2"/>
  <c r="AB70" i="2"/>
  <c r="AA70" i="2"/>
  <c r="Z70" i="2"/>
  <c r="Y70" i="2"/>
  <c r="X70" i="2"/>
  <c r="AE69" i="2"/>
  <c r="AD69" i="2"/>
  <c r="AC69" i="2"/>
  <c r="AB69" i="2"/>
  <c r="AA69" i="2"/>
  <c r="Z69" i="2"/>
  <c r="Y69" i="2"/>
  <c r="X69" i="2"/>
  <c r="AE68" i="2"/>
  <c r="AD68" i="2"/>
  <c r="AC68" i="2"/>
  <c r="AB68" i="2"/>
  <c r="AA68" i="2"/>
  <c r="Z68" i="2"/>
  <c r="Y68" i="2"/>
  <c r="X68" i="2"/>
  <c r="AE67" i="2"/>
  <c r="AD67" i="2"/>
  <c r="AC67" i="2"/>
  <c r="AB67" i="2"/>
  <c r="AA67" i="2"/>
  <c r="Z67" i="2"/>
  <c r="Y67" i="2"/>
  <c r="X67" i="2"/>
  <c r="AE66" i="2"/>
  <c r="AD66" i="2"/>
  <c r="AC66" i="2"/>
  <c r="AB66" i="2"/>
  <c r="AA66" i="2"/>
  <c r="Z66" i="2"/>
  <c r="Y66" i="2"/>
  <c r="X66" i="2"/>
  <c r="AE64" i="2"/>
  <c r="AD64" i="2"/>
  <c r="AC64" i="2"/>
  <c r="AB64" i="2"/>
  <c r="AA64" i="2"/>
  <c r="Z64" i="2"/>
  <c r="Y64" i="2"/>
  <c r="X64" i="2"/>
  <c r="AE63" i="2"/>
  <c r="AD63" i="2"/>
  <c r="AC63" i="2"/>
  <c r="AB63" i="2"/>
  <c r="AA63" i="2"/>
  <c r="Z63" i="2"/>
  <c r="Y63" i="2"/>
  <c r="X63" i="2"/>
  <c r="AE62" i="2"/>
  <c r="AD62" i="2"/>
  <c r="AC62" i="2"/>
  <c r="AB62" i="2"/>
  <c r="AA62" i="2"/>
  <c r="Z62" i="2"/>
  <c r="Y62" i="2"/>
  <c r="X62" i="2"/>
  <c r="AE61" i="2"/>
  <c r="AD61" i="2"/>
  <c r="AC61" i="2"/>
  <c r="AB61" i="2"/>
  <c r="AA61" i="2"/>
  <c r="Z61" i="2"/>
  <c r="Y61" i="2"/>
  <c r="X61" i="2"/>
  <c r="AE60" i="2"/>
  <c r="AD60" i="2"/>
  <c r="AC60" i="2"/>
  <c r="AB60" i="2"/>
  <c r="AA60" i="2"/>
  <c r="Z60" i="2"/>
  <c r="Y60" i="2"/>
  <c r="X60" i="2"/>
  <c r="AE59" i="2"/>
  <c r="AD59" i="2"/>
  <c r="AC59" i="2"/>
  <c r="AB59" i="2"/>
  <c r="AA59" i="2"/>
  <c r="Z59" i="2"/>
  <c r="Y59" i="2"/>
  <c r="X59" i="2"/>
  <c r="AE58" i="2"/>
  <c r="AD58" i="2"/>
  <c r="AC58" i="2"/>
  <c r="AB58" i="2"/>
  <c r="AA58" i="2"/>
  <c r="Z58" i="2"/>
  <c r="Y58" i="2"/>
  <c r="X58" i="2"/>
  <c r="AE57" i="2"/>
  <c r="AD57" i="2"/>
  <c r="AC57" i="2"/>
  <c r="AB57" i="2"/>
  <c r="AA57" i="2"/>
  <c r="Z57" i="2"/>
  <c r="Y57" i="2"/>
  <c r="X57" i="2"/>
  <c r="AE56" i="2"/>
  <c r="AD56" i="2"/>
  <c r="AC56" i="2"/>
  <c r="AB56" i="2"/>
  <c r="AA56" i="2"/>
  <c r="Z56" i="2"/>
  <c r="Y56" i="2"/>
  <c r="X56" i="2"/>
  <c r="AE54" i="2"/>
  <c r="AD54" i="2"/>
  <c r="AC54" i="2"/>
  <c r="AB54" i="2"/>
  <c r="AA54" i="2"/>
  <c r="Z54" i="2"/>
  <c r="Y54" i="2"/>
  <c r="X54" i="2"/>
  <c r="AE53" i="2"/>
  <c r="AD53" i="2"/>
  <c r="AC53" i="2"/>
  <c r="AB53" i="2"/>
  <c r="AA53" i="2"/>
  <c r="Z53" i="2"/>
  <c r="Y53" i="2"/>
  <c r="X53" i="2"/>
  <c r="AE52" i="2"/>
  <c r="AD52" i="2"/>
  <c r="AC52" i="2"/>
  <c r="AB52" i="2"/>
  <c r="AA52" i="2"/>
  <c r="Z52" i="2"/>
  <c r="Y52" i="2"/>
  <c r="X52" i="2"/>
  <c r="AE51" i="2"/>
  <c r="AD51" i="2"/>
  <c r="AC51" i="2"/>
  <c r="AB51" i="2"/>
  <c r="AA51" i="2"/>
  <c r="Z51" i="2"/>
  <c r="Y51" i="2"/>
  <c r="X51" i="2"/>
  <c r="AE50" i="2"/>
  <c r="AD50" i="2"/>
  <c r="AC50" i="2"/>
  <c r="AB50" i="2"/>
  <c r="AA50" i="2"/>
  <c r="Z50" i="2"/>
  <c r="Y50" i="2"/>
  <c r="X50" i="2"/>
  <c r="AE49" i="2"/>
  <c r="AD49" i="2"/>
  <c r="AC49" i="2"/>
  <c r="AB49" i="2"/>
  <c r="AA49" i="2"/>
  <c r="Z49" i="2"/>
  <c r="Y49" i="2"/>
  <c r="X49" i="2"/>
  <c r="AE48" i="2"/>
  <c r="AD48" i="2"/>
  <c r="AC48" i="2"/>
  <c r="AB48" i="2"/>
  <c r="AA48" i="2"/>
  <c r="Z48" i="2"/>
  <c r="Y48" i="2"/>
  <c r="X48" i="2"/>
  <c r="AE47" i="2"/>
  <c r="AD47" i="2"/>
  <c r="AC47" i="2"/>
  <c r="AB47" i="2"/>
  <c r="AA47" i="2"/>
  <c r="Z47" i="2"/>
  <c r="Y47" i="2"/>
  <c r="X47" i="2"/>
  <c r="AE45" i="2"/>
  <c r="AD45" i="2"/>
  <c r="AC45" i="2"/>
  <c r="AB45" i="2"/>
  <c r="AA45" i="2"/>
  <c r="Z45" i="2"/>
  <c r="Y45" i="2"/>
  <c r="X45" i="2"/>
  <c r="AE44" i="2"/>
  <c r="AD44" i="2"/>
  <c r="AC44" i="2"/>
  <c r="AB44" i="2"/>
  <c r="AA44" i="2"/>
  <c r="Z44" i="2"/>
  <c r="Y44" i="2"/>
  <c r="X44" i="2"/>
  <c r="AE43" i="2"/>
  <c r="AD43" i="2"/>
  <c r="AC43" i="2"/>
  <c r="AB43" i="2"/>
  <c r="AA43" i="2"/>
  <c r="Z43" i="2"/>
  <c r="Y43" i="2"/>
  <c r="X43" i="2"/>
  <c r="AE42" i="2"/>
  <c r="AD42" i="2"/>
  <c r="AC42" i="2"/>
  <c r="AB42" i="2"/>
  <c r="AA42" i="2"/>
  <c r="Z42" i="2"/>
  <c r="Y42" i="2"/>
  <c r="X42" i="2"/>
  <c r="AE41" i="2"/>
  <c r="AD41" i="2"/>
  <c r="AC41" i="2"/>
  <c r="AB41" i="2"/>
  <c r="AA41" i="2"/>
  <c r="Z41" i="2"/>
  <c r="Y41" i="2"/>
  <c r="X41" i="2"/>
  <c r="AE39" i="2"/>
  <c r="AD39" i="2"/>
  <c r="AC39" i="2"/>
  <c r="AB39" i="2"/>
  <c r="AA39" i="2"/>
  <c r="Z39" i="2"/>
  <c r="Y39" i="2"/>
  <c r="X39" i="2"/>
  <c r="AE38" i="2"/>
  <c r="AD38" i="2"/>
  <c r="AC38" i="2"/>
  <c r="AB38" i="2"/>
  <c r="AA38" i="2"/>
  <c r="Z38" i="2"/>
  <c r="Y38" i="2"/>
  <c r="X38" i="2"/>
  <c r="AE37" i="2"/>
  <c r="AD37" i="2"/>
  <c r="AC37" i="2"/>
  <c r="AB37" i="2"/>
  <c r="AA37" i="2"/>
  <c r="Z37" i="2"/>
  <c r="Y37" i="2"/>
  <c r="X37" i="2"/>
  <c r="AE36" i="2"/>
  <c r="AD36" i="2"/>
  <c r="AC36" i="2"/>
  <c r="AB36" i="2"/>
  <c r="AA36" i="2"/>
  <c r="Z36" i="2"/>
  <c r="Y36" i="2"/>
  <c r="X36" i="2"/>
  <c r="AE35" i="2"/>
  <c r="AD35" i="2"/>
  <c r="AC35" i="2"/>
  <c r="AB35" i="2"/>
  <c r="AA35" i="2"/>
  <c r="Z35" i="2"/>
  <c r="Y35" i="2"/>
  <c r="X35" i="2"/>
  <c r="AE34" i="2"/>
  <c r="AD34" i="2"/>
  <c r="AC34" i="2"/>
  <c r="AB34" i="2"/>
  <c r="AA34" i="2"/>
  <c r="Z34" i="2"/>
  <c r="Y34" i="2"/>
  <c r="X34" i="2"/>
  <c r="AE33" i="2"/>
  <c r="AD33" i="2"/>
  <c r="AC33" i="2"/>
  <c r="AB33" i="2"/>
  <c r="AA33" i="2"/>
  <c r="Z33" i="2"/>
  <c r="Y33" i="2"/>
  <c r="X33" i="2"/>
  <c r="AE32" i="2"/>
  <c r="AD32" i="2"/>
  <c r="AC32" i="2"/>
  <c r="AB32" i="2"/>
  <c r="AA32" i="2"/>
  <c r="Z32" i="2"/>
  <c r="Y32" i="2"/>
  <c r="X32" i="2"/>
  <c r="AE31" i="2"/>
  <c r="AD31" i="2"/>
  <c r="AC31" i="2"/>
  <c r="AB31" i="2"/>
  <c r="AA31" i="2"/>
  <c r="Z31" i="2"/>
  <c r="Y31" i="2"/>
  <c r="X31" i="2"/>
  <c r="AE29" i="2"/>
  <c r="AD29" i="2"/>
  <c r="AC29" i="2"/>
  <c r="AB29" i="2"/>
  <c r="AA29" i="2"/>
  <c r="Z29" i="2"/>
  <c r="Y29" i="2"/>
  <c r="X29" i="2"/>
  <c r="AE28" i="2"/>
  <c r="AD28" i="2"/>
  <c r="AC28" i="2"/>
  <c r="AB28" i="2"/>
  <c r="AA28" i="2"/>
  <c r="Z28" i="2"/>
  <c r="Y28" i="2"/>
  <c r="X28" i="2"/>
  <c r="AE27" i="2"/>
  <c r="AD27" i="2"/>
  <c r="AC27" i="2"/>
  <c r="AB27" i="2"/>
  <c r="AA27" i="2"/>
  <c r="Z27" i="2"/>
  <c r="Y27" i="2"/>
  <c r="X27" i="2"/>
  <c r="AE26" i="2"/>
  <c r="AD26" i="2"/>
  <c r="AC26" i="2"/>
  <c r="AB26" i="2"/>
  <c r="AA26" i="2"/>
  <c r="Z26" i="2"/>
  <c r="Y26" i="2"/>
  <c r="X26" i="2"/>
  <c r="AE25" i="2"/>
  <c r="AD25" i="2"/>
  <c r="AC25" i="2"/>
  <c r="AB25" i="2"/>
  <c r="AA25" i="2"/>
  <c r="Z25" i="2"/>
  <c r="Y25" i="2"/>
  <c r="X25" i="2"/>
  <c r="AE23" i="2"/>
  <c r="AD23" i="2"/>
  <c r="AC23" i="2"/>
  <c r="AB23" i="2"/>
  <c r="AA23" i="2"/>
  <c r="Z23" i="2"/>
  <c r="Y23" i="2"/>
  <c r="X23" i="2"/>
  <c r="AE22" i="2"/>
  <c r="AD22" i="2"/>
  <c r="AC22" i="2"/>
  <c r="AB22" i="2"/>
  <c r="AA22" i="2"/>
  <c r="Z22" i="2"/>
  <c r="Y22" i="2"/>
  <c r="X22" i="2"/>
  <c r="AE21" i="2"/>
  <c r="AD21" i="2"/>
  <c r="AC21" i="2"/>
  <c r="AB21" i="2"/>
  <c r="AA21" i="2"/>
  <c r="Z21" i="2"/>
  <c r="Y21" i="2"/>
  <c r="X21" i="2"/>
  <c r="AE20" i="2"/>
  <c r="AD20" i="2"/>
  <c r="AC20" i="2"/>
  <c r="AB20" i="2"/>
  <c r="AA20" i="2"/>
  <c r="Z20" i="2"/>
  <c r="Y20" i="2"/>
  <c r="X20" i="2"/>
  <c r="AE19" i="2"/>
  <c r="AD19" i="2"/>
  <c r="AC19" i="2"/>
  <c r="AB19" i="2"/>
  <c r="AA19" i="2"/>
  <c r="Z19" i="2"/>
  <c r="Y19" i="2"/>
  <c r="X19" i="2"/>
  <c r="AE17" i="2"/>
  <c r="AD17" i="2"/>
  <c r="AC17" i="2"/>
  <c r="AB17" i="2"/>
  <c r="AA17" i="2"/>
  <c r="Z17" i="2"/>
  <c r="Y17" i="2"/>
  <c r="X17" i="2"/>
  <c r="AE16" i="2"/>
  <c r="AD16" i="2"/>
  <c r="AC16" i="2"/>
  <c r="AB16" i="2"/>
  <c r="AA16" i="2"/>
  <c r="Z16" i="2"/>
  <c r="Y16" i="2"/>
  <c r="X16" i="2"/>
  <c r="AE15" i="2"/>
  <c r="AD15" i="2"/>
  <c r="AC15" i="2"/>
  <c r="AB15" i="2"/>
  <c r="AA15" i="2"/>
  <c r="Z15" i="2"/>
  <c r="Y15" i="2"/>
  <c r="X15" i="2"/>
  <c r="AE14" i="2"/>
  <c r="AD14" i="2"/>
  <c r="AC14" i="2"/>
  <c r="AB14" i="2"/>
  <c r="AA14" i="2"/>
  <c r="Z14" i="2"/>
  <c r="Y14" i="2"/>
  <c r="X14" i="2"/>
  <c r="AE13" i="2"/>
  <c r="AD13" i="2"/>
  <c r="AC13" i="2"/>
  <c r="AB13" i="2"/>
  <c r="AA13" i="2"/>
  <c r="Z13" i="2"/>
  <c r="Y13" i="2"/>
  <c r="X13" i="2"/>
  <c r="AE12" i="2"/>
  <c r="AD12" i="2"/>
  <c r="AC12" i="2"/>
  <c r="AB12" i="2"/>
  <c r="AA12" i="2"/>
  <c r="Z12" i="2"/>
  <c r="Y12" i="2"/>
  <c r="X12" i="2"/>
  <c r="AE10" i="2"/>
  <c r="AD10" i="2"/>
  <c r="AC10" i="2"/>
  <c r="AB10" i="2"/>
  <c r="AA10" i="2"/>
  <c r="Z10" i="2"/>
  <c r="Y10" i="2"/>
  <c r="X10" i="2"/>
  <c r="AE5" i="2"/>
  <c r="AD5" i="2"/>
  <c r="AC5" i="2"/>
  <c r="AB5" i="2"/>
  <c r="AA5" i="2"/>
  <c r="Z5" i="2"/>
  <c r="Y5" i="2"/>
  <c r="X5" i="2"/>
  <c r="AC4" i="4"/>
  <c r="AB4" i="4"/>
  <c r="AA4" i="4"/>
  <c r="E94" i="30"/>
  <c r="E55" i="26"/>
  <c r="E95" i="26"/>
  <c r="E94" i="26"/>
  <c r="E25" i="24"/>
  <c r="E24" i="24"/>
  <c r="E23" i="24"/>
  <c r="E100" i="24"/>
  <c r="E99" i="24"/>
  <c r="E50" i="24"/>
  <c r="E29" i="31"/>
  <c r="E29" i="27"/>
  <c r="E29" i="25"/>
  <c r="E73" i="30"/>
  <c r="E49" i="30"/>
  <c r="E82" i="30"/>
  <c r="E56" i="30"/>
  <c r="E54" i="30"/>
  <c r="E47" i="30"/>
  <c r="E44" i="30"/>
  <c r="E25" i="30"/>
  <c r="E24" i="30"/>
  <c r="E74" i="26"/>
  <c r="E25" i="26"/>
  <c r="E24" i="26"/>
  <c r="E83" i="26"/>
  <c r="E57" i="26"/>
  <c r="E48" i="26"/>
  <c r="E45" i="26"/>
  <c r="E78" i="24"/>
  <c r="E57" i="24"/>
  <c r="E48" i="24"/>
  <c r="E45" i="24"/>
  <c r="G106" i="8"/>
  <c r="E17" i="24"/>
  <c r="H52" i="31"/>
  <c r="H53" i="27"/>
  <c r="CA166" i="7" s="1"/>
  <c r="H52" i="27"/>
  <c r="AV89" i="24"/>
  <c r="AN56" i="30"/>
  <c r="AN57" i="26"/>
  <c r="AV57" i="24"/>
  <c r="AM53" i="1"/>
  <c r="AN32" i="31"/>
  <c r="AN32" i="27"/>
  <c r="AV32" i="25"/>
  <c r="H110" i="30"/>
  <c r="CA163" i="7" s="1"/>
  <c r="H109" i="30"/>
  <c r="AN47" i="30"/>
  <c r="H111" i="26"/>
  <c r="CA162" i="7" s="1"/>
  <c r="H110" i="26"/>
  <c r="AN48" i="26"/>
  <c r="H116" i="24"/>
  <c r="CA161" i="7" s="1"/>
  <c r="H115" i="24"/>
  <c r="AV48" i="24"/>
  <c r="G114" i="1"/>
  <c r="AM44" i="1"/>
  <c r="G115" i="1"/>
  <c r="CA160" i="7" s="1"/>
  <c r="E108" i="30"/>
  <c r="E109" i="26"/>
  <c r="E114" i="24"/>
  <c r="AM113" i="1"/>
  <c r="AI45" i="4"/>
  <c r="AN44" i="30"/>
  <c r="AN45" i="26"/>
  <c r="AV45" i="24"/>
  <c r="AM41" i="1"/>
  <c r="AI46" i="4"/>
  <c r="AI44" i="4"/>
  <c r="AN54" i="30"/>
  <c r="AN55" i="26"/>
  <c r="AM51" i="1"/>
  <c r="AV55" i="24"/>
  <c r="AN82" i="30"/>
  <c r="AN83" i="26"/>
  <c r="AV87" i="24"/>
  <c r="AM80" i="1"/>
  <c r="AB17" i="34"/>
  <c r="D28" i="34" s="1"/>
  <c r="AB10" i="34"/>
  <c r="AB7" i="34"/>
  <c r="AB4" i="34"/>
  <c r="AN50" i="31"/>
  <c r="E50" i="31"/>
  <c r="AN49" i="31"/>
  <c r="E49" i="31"/>
  <c r="AN48" i="31"/>
  <c r="E48" i="31"/>
  <c r="AN50" i="27"/>
  <c r="AN49" i="27"/>
  <c r="E49" i="27"/>
  <c r="AN48" i="27"/>
  <c r="E48" i="27"/>
  <c r="AV51" i="25"/>
  <c r="E51" i="25"/>
  <c r="AV50" i="25"/>
  <c r="E50" i="25"/>
  <c r="AV49" i="25"/>
  <c r="E49" i="25"/>
  <c r="E106" i="30"/>
  <c r="AN106" i="30"/>
  <c r="AN105" i="30"/>
  <c r="E105" i="30"/>
  <c r="E104" i="30"/>
  <c r="AN104" i="30"/>
  <c r="AN103" i="30"/>
  <c r="E103" i="30"/>
  <c r="AN102" i="30"/>
  <c r="E102" i="30"/>
  <c r="AN101" i="30"/>
  <c r="E101" i="30"/>
  <c r="AN100" i="30"/>
  <c r="E100" i="30"/>
  <c r="AN99" i="30"/>
  <c r="E99" i="30"/>
  <c r="AN98" i="30"/>
  <c r="E98" i="30"/>
  <c r="AN97" i="30"/>
  <c r="E97" i="30"/>
  <c r="AN94" i="30"/>
  <c r="AN93" i="30"/>
  <c r="E93" i="30"/>
  <c r="E92" i="30"/>
  <c r="AN92" i="30"/>
  <c r="E107" i="26"/>
  <c r="AN107" i="26"/>
  <c r="AN106" i="26"/>
  <c r="E106" i="26"/>
  <c r="E105" i="26"/>
  <c r="AN105" i="26"/>
  <c r="AN104" i="26"/>
  <c r="E104" i="26"/>
  <c r="AN103" i="26"/>
  <c r="E103" i="26"/>
  <c r="AN102" i="26"/>
  <c r="E102" i="26"/>
  <c r="AN101" i="26"/>
  <c r="E101" i="26"/>
  <c r="AN100" i="26"/>
  <c r="E100" i="26"/>
  <c r="AN99" i="26"/>
  <c r="E99" i="26"/>
  <c r="AN98" i="26"/>
  <c r="E98" i="26"/>
  <c r="AN95" i="26"/>
  <c r="AN94" i="26"/>
  <c r="E93" i="26"/>
  <c r="AN93" i="26"/>
  <c r="E112" i="24"/>
  <c r="AV112" i="24"/>
  <c r="AV111" i="24"/>
  <c r="E111" i="24"/>
  <c r="E110" i="24"/>
  <c r="AV110" i="24"/>
  <c r="AV109" i="24"/>
  <c r="E109" i="24"/>
  <c r="AV108" i="24"/>
  <c r="E108" i="24"/>
  <c r="AV107" i="24"/>
  <c r="E107" i="24"/>
  <c r="AV106" i="24"/>
  <c r="E106" i="24"/>
  <c r="AV105" i="24"/>
  <c r="E105" i="24"/>
  <c r="AV104" i="24"/>
  <c r="E104" i="24"/>
  <c r="E103" i="24"/>
  <c r="AV103" i="24"/>
  <c r="AV100" i="24"/>
  <c r="E98" i="24"/>
  <c r="E97" i="24"/>
  <c r="AV99" i="24"/>
  <c r="AV98" i="24"/>
  <c r="AV71" i="24"/>
  <c r="AM89" i="1"/>
  <c r="E77" i="24"/>
  <c r="E73" i="26"/>
  <c r="E72" i="30"/>
  <c r="E44" i="26"/>
  <c r="E19" i="31"/>
  <c r="E37" i="30"/>
  <c r="N79" i="2"/>
  <c r="CA169" i="7" s="1"/>
  <c r="K65" i="3"/>
  <c r="CA168" i="7" s="1"/>
  <c r="H54" i="25"/>
  <c r="CA165" i="7" s="1"/>
  <c r="G55" i="9"/>
  <c r="CA164" i="7" s="1"/>
  <c r="CA159" i="7"/>
  <c r="CA157" i="7"/>
  <c r="AM118" i="7"/>
  <c r="AM90" i="7"/>
  <c r="AL17" i="7"/>
  <c r="AL16" i="7"/>
  <c r="AL15" i="7"/>
  <c r="AL14" i="7"/>
  <c r="AG92" i="7"/>
  <c r="AG61" i="7"/>
  <c r="AG54" i="7"/>
  <c r="AG46" i="7"/>
  <c r="AG42" i="7"/>
  <c r="AG36" i="7"/>
  <c r="AG31" i="7"/>
  <c r="AG25" i="7"/>
  <c r="AG20" i="7"/>
  <c r="AL13" i="7"/>
  <c r="AG13" i="7" s="1"/>
  <c r="AP6" i="25"/>
  <c r="AO6" i="25"/>
  <c r="AP6" i="24"/>
  <c r="AO6" i="24"/>
  <c r="E38" i="31"/>
  <c r="AN38" i="31"/>
  <c r="AN37" i="31"/>
  <c r="E37" i="31"/>
  <c r="AN25" i="31"/>
  <c r="E25" i="31"/>
  <c r="AN38" i="27"/>
  <c r="E38" i="27"/>
  <c r="E37" i="27"/>
  <c r="AN37" i="27"/>
  <c r="AN25" i="27"/>
  <c r="E25" i="27"/>
  <c r="AV39" i="25"/>
  <c r="E39" i="25"/>
  <c r="AV38" i="25"/>
  <c r="E38" i="25"/>
  <c r="E25" i="25"/>
  <c r="AV25" i="25"/>
  <c r="AL35" i="9"/>
  <c r="AL34" i="9"/>
  <c r="AL24" i="9"/>
  <c r="AN43" i="30"/>
  <c r="E43" i="30"/>
  <c r="AN44" i="26"/>
  <c r="E44" i="24"/>
  <c r="E43" i="24"/>
  <c r="AV44" i="24"/>
  <c r="AM40" i="1"/>
  <c r="AL94" i="7"/>
  <c r="AL93" i="7"/>
  <c r="E88" i="30"/>
  <c r="E89" i="30"/>
  <c r="E90" i="30"/>
  <c r="E91" i="30"/>
  <c r="E95" i="30"/>
  <c r="E96" i="30"/>
  <c r="E107" i="30"/>
  <c r="E89" i="26"/>
  <c r="E90" i="26"/>
  <c r="E91" i="26"/>
  <c r="E92" i="26"/>
  <c r="E96" i="26"/>
  <c r="E97" i="26"/>
  <c r="E108" i="26"/>
  <c r="E94" i="24"/>
  <c r="E95" i="24"/>
  <c r="E96" i="24"/>
  <c r="E101" i="24"/>
  <c r="E102" i="24"/>
  <c r="E113" i="24"/>
  <c r="E31" i="31"/>
  <c r="E31" i="27"/>
  <c r="E31" i="25"/>
  <c r="E79" i="30"/>
  <c r="E80" i="26"/>
  <c r="E84" i="24"/>
  <c r="AL59" i="7"/>
  <c r="AM59" i="7" s="1"/>
  <c r="AL50" i="7"/>
  <c r="AL49" i="7"/>
  <c r="AL58" i="7"/>
  <c r="AL57" i="7"/>
  <c r="AL56" i="7"/>
  <c r="AN51" i="31"/>
  <c r="AN47" i="31"/>
  <c r="AN44" i="31"/>
  <c r="AN43" i="31"/>
  <c r="AN42" i="31"/>
  <c r="AN41" i="31"/>
  <c r="AN40" i="31"/>
  <c r="AN39" i="31"/>
  <c r="AN36" i="31"/>
  <c r="AN35" i="31"/>
  <c r="AN34" i="31"/>
  <c r="AN31" i="31"/>
  <c r="AN30" i="31"/>
  <c r="AN29" i="31"/>
  <c r="AN28" i="31"/>
  <c r="AN27" i="31"/>
  <c r="AN26" i="31"/>
  <c r="AN24" i="31"/>
  <c r="AN23" i="31"/>
  <c r="AN20" i="31"/>
  <c r="AN19" i="31"/>
  <c r="AN18" i="31"/>
  <c r="AN17" i="31"/>
  <c r="AN16" i="31"/>
  <c r="AN12" i="31"/>
  <c r="AN11" i="31"/>
  <c r="AN10" i="31"/>
  <c r="AN51" i="27"/>
  <c r="AN47" i="27"/>
  <c r="AN44" i="27"/>
  <c r="AN43" i="27"/>
  <c r="AN42" i="27"/>
  <c r="AN41" i="27"/>
  <c r="AN40" i="27"/>
  <c r="AN39" i="27"/>
  <c r="AN36" i="27"/>
  <c r="AN35" i="27"/>
  <c r="AN34" i="27"/>
  <c r="AN31" i="27"/>
  <c r="AN30" i="27"/>
  <c r="AN29" i="27"/>
  <c r="AN28" i="27"/>
  <c r="AN27" i="27"/>
  <c r="AN26" i="27"/>
  <c r="AN24" i="27"/>
  <c r="AN23" i="27"/>
  <c r="AN20" i="27"/>
  <c r="AN19" i="27"/>
  <c r="AN18" i="27"/>
  <c r="AN17" i="27"/>
  <c r="AN16" i="27"/>
  <c r="AN12" i="27"/>
  <c r="AN11" i="27"/>
  <c r="AN10" i="27"/>
  <c r="AV52" i="25"/>
  <c r="AV48" i="25"/>
  <c r="AV45" i="25"/>
  <c r="AV44" i="25"/>
  <c r="AV43" i="25"/>
  <c r="AV42" i="25"/>
  <c r="AV41" i="25"/>
  <c r="AV40" i="25"/>
  <c r="AV37" i="25"/>
  <c r="AV36" i="25"/>
  <c r="AV35" i="25"/>
  <c r="AV34" i="25"/>
  <c r="AV31" i="25"/>
  <c r="AV30" i="25"/>
  <c r="AV29" i="25"/>
  <c r="AV28" i="25"/>
  <c r="AV27" i="25"/>
  <c r="AV26" i="25"/>
  <c r="AV24" i="25"/>
  <c r="AV23" i="25"/>
  <c r="AV20" i="25"/>
  <c r="AV19" i="25"/>
  <c r="AV18" i="25"/>
  <c r="AV17" i="25"/>
  <c r="AV16" i="25"/>
  <c r="AV12" i="25"/>
  <c r="AV11" i="25"/>
  <c r="AV10" i="25"/>
  <c r="AL53" i="9"/>
  <c r="AL52" i="9"/>
  <c r="AL51" i="9"/>
  <c r="AL50" i="9"/>
  <c r="AL49" i="9"/>
  <c r="AL48" i="9"/>
  <c r="AL47" i="9"/>
  <c r="AL46" i="9"/>
  <c r="AL45" i="9"/>
  <c r="AL44" i="9"/>
  <c r="AL41" i="9"/>
  <c r="AL40" i="9"/>
  <c r="AL39" i="9"/>
  <c r="AL38" i="9"/>
  <c r="AL37" i="9"/>
  <c r="AL36" i="9"/>
  <c r="AL33" i="9"/>
  <c r="AL32" i="9"/>
  <c r="AL30" i="9"/>
  <c r="AL29" i="9"/>
  <c r="AL28" i="9"/>
  <c r="AL27" i="9"/>
  <c r="AL26" i="9"/>
  <c r="AL25" i="9"/>
  <c r="AL23" i="9"/>
  <c r="AL22" i="9"/>
  <c r="AL19" i="9"/>
  <c r="AL18" i="9"/>
  <c r="AL17" i="9"/>
  <c r="AL16" i="9"/>
  <c r="AL15" i="9"/>
  <c r="AL11" i="9"/>
  <c r="AL10" i="9"/>
  <c r="AL9" i="9"/>
  <c r="AN108" i="30"/>
  <c r="AN107" i="30"/>
  <c r="AN96" i="30"/>
  <c r="AN95" i="30"/>
  <c r="AN91" i="30"/>
  <c r="AN90" i="30"/>
  <c r="AN89" i="30"/>
  <c r="AN88" i="30"/>
  <c r="AN87" i="30"/>
  <c r="AN86" i="30"/>
  <c r="AN81" i="30"/>
  <c r="AN80" i="30"/>
  <c r="AN79" i="30"/>
  <c r="AN78" i="30"/>
  <c r="AN77" i="30"/>
  <c r="AN76" i="30"/>
  <c r="AN75" i="30"/>
  <c r="AN74" i="30"/>
  <c r="AN73" i="30"/>
  <c r="AN72" i="30"/>
  <c r="AN71" i="30"/>
  <c r="AN70" i="30"/>
  <c r="AN69" i="30"/>
  <c r="AN66" i="30"/>
  <c r="AN65" i="30"/>
  <c r="AN64" i="30"/>
  <c r="AN63" i="30"/>
  <c r="AN61" i="30"/>
  <c r="AN60" i="30"/>
  <c r="AN59" i="30"/>
  <c r="AN58" i="30"/>
  <c r="AN57" i="30"/>
  <c r="AN53" i="30"/>
  <c r="AN52" i="30"/>
  <c r="AN49" i="30"/>
  <c r="AN46" i="30"/>
  <c r="AN42" i="30"/>
  <c r="AN41" i="30"/>
  <c r="AN40" i="30"/>
  <c r="AN37" i="30"/>
  <c r="AN36" i="30"/>
  <c r="AN35" i="30"/>
  <c r="AN34" i="30"/>
  <c r="AN33" i="30"/>
  <c r="AN30" i="30"/>
  <c r="AN29" i="30"/>
  <c r="AN28" i="30"/>
  <c r="AN27" i="30"/>
  <c r="AN25" i="30"/>
  <c r="AN24" i="30"/>
  <c r="AN23" i="30"/>
  <c r="AN22" i="30"/>
  <c r="AN21" i="30"/>
  <c r="AN20" i="30"/>
  <c r="AN19" i="30"/>
  <c r="AN18" i="30"/>
  <c r="AN17" i="30"/>
  <c r="AN15" i="30"/>
  <c r="AN14" i="30"/>
  <c r="AN13" i="30"/>
  <c r="AN12" i="30"/>
  <c r="AN11" i="30"/>
  <c r="AN10" i="30"/>
  <c r="AN109" i="26"/>
  <c r="AN108" i="26"/>
  <c r="AN97" i="26"/>
  <c r="AN96" i="26"/>
  <c r="AN92" i="26"/>
  <c r="AN91" i="26"/>
  <c r="AN90" i="26"/>
  <c r="AN89" i="26"/>
  <c r="AN88" i="26"/>
  <c r="AN87" i="26"/>
  <c r="AN82" i="26"/>
  <c r="AN81" i="26"/>
  <c r="AN80" i="26"/>
  <c r="AN79" i="26"/>
  <c r="AN78" i="26"/>
  <c r="AN77" i="26"/>
  <c r="AN76" i="26"/>
  <c r="AN75" i="26"/>
  <c r="AN74" i="26"/>
  <c r="AN73" i="26"/>
  <c r="AN72" i="26"/>
  <c r="AN71" i="26"/>
  <c r="AN70" i="26"/>
  <c r="AN67" i="26"/>
  <c r="AN66" i="26"/>
  <c r="AN65" i="26"/>
  <c r="AN64" i="26"/>
  <c r="AN62" i="26"/>
  <c r="AN61" i="26"/>
  <c r="AN60" i="26"/>
  <c r="AN59" i="26"/>
  <c r="AN58" i="26"/>
  <c r="AN54" i="26"/>
  <c r="AN53" i="26"/>
  <c r="AN47" i="26"/>
  <c r="AN43" i="26"/>
  <c r="AN42" i="26"/>
  <c r="AN41" i="26"/>
  <c r="AN38" i="26"/>
  <c r="AN37" i="26"/>
  <c r="AN36" i="26"/>
  <c r="AN35" i="26"/>
  <c r="AN34" i="26"/>
  <c r="AN33" i="26"/>
  <c r="AN30" i="26"/>
  <c r="AN29" i="26"/>
  <c r="AN28" i="26"/>
  <c r="AN27" i="26"/>
  <c r="AN25" i="26"/>
  <c r="AN24" i="26"/>
  <c r="AN23" i="26"/>
  <c r="AN22" i="26"/>
  <c r="AN21" i="26"/>
  <c r="AN20" i="26"/>
  <c r="AN19" i="26"/>
  <c r="AN18" i="26"/>
  <c r="AN17" i="26"/>
  <c r="AN15" i="26"/>
  <c r="AN14" i="26"/>
  <c r="AN13" i="26"/>
  <c r="AN12" i="26"/>
  <c r="AN11" i="26"/>
  <c r="AN10" i="26"/>
  <c r="AV114" i="24"/>
  <c r="AV113" i="24"/>
  <c r="AV102" i="24"/>
  <c r="AV101" i="24"/>
  <c r="AV97" i="24"/>
  <c r="AV96" i="24"/>
  <c r="AV95" i="24"/>
  <c r="AV94" i="24"/>
  <c r="AV93" i="24"/>
  <c r="AV92" i="24"/>
  <c r="AV86" i="24"/>
  <c r="AV85" i="24"/>
  <c r="AV84" i="24"/>
  <c r="AV83" i="24"/>
  <c r="AV82" i="24"/>
  <c r="AV81" i="24"/>
  <c r="AV80" i="24"/>
  <c r="AV79" i="24"/>
  <c r="AV78" i="24"/>
  <c r="AV77" i="24"/>
  <c r="AV76" i="24"/>
  <c r="AV75" i="24"/>
  <c r="AV74" i="24"/>
  <c r="AV70" i="24"/>
  <c r="AV69" i="24"/>
  <c r="AV68" i="24"/>
  <c r="AV67" i="24"/>
  <c r="AV66" i="24"/>
  <c r="AV65" i="24"/>
  <c r="AV64" i="24"/>
  <c r="AV62" i="24"/>
  <c r="AV61" i="24"/>
  <c r="AV60" i="24"/>
  <c r="AV59" i="24"/>
  <c r="AV58" i="24"/>
  <c r="AV54" i="24"/>
  <c r="AV53" i="24"/>
  <c r="AV50" i="24"/>
  <c r="AV47" i="24"/>
  <c r="AV43" i="24"/>
  <c r="AV42" i="24"/>
  <c r="AV41" i="24"/>
  <c r="AV38" i="24"/>
  <c r="AV37" i="24"/>
  <c r="AV36" i="24"/>
  <c r="AV35" i="24"/>
  <c r="AV34" i="24"/>
  <c r="AV33" i="24"/>
  <c r="AV30" i="24"/>
  <c r="AV29" i="24"/>
  <c r="AV28" i="24"/>
  <c r="AV27" i="24"/>
  <c r="AV25" i="24"/>
  <c r="AV24" i="24"/>
  <c r="AV23" i="24"/>
  <c r="AV22" i="24"/>
  <c r="AV21" i="24"/>
  <c r="AV20" i="24"/>
  <c r="AV19" i="24"/>
  <c r="AV18" i="24"/>
  <c r="AV17" i="24"/>
  <c r="AV15" i="24"/>
  <c r="AV14" i="24"/>
  <c r="AV13" i="24"/>
  <c r="AV12" i="24"/>
  <c r="AV11" i="24"/>
  <c r="AV10" i="24"/>
  <c r="AM112" i="1"/>
  <c r="AM111" i="1"/>
  <c r="AM93" i="1"/>
  <c r="AM109" i="1"/>
  <c r="AM108" i="1"/>
  <c r="AM107" i="1"/>
  <c r="AM106" i="1"/>
  <c r="AM105" i="1"/>
  <c r="AM92" i="1"/>
  <c r="AM91" i="1"/>
  <c r="AM102" i="1"/>
  <c r="AM90" i="1"/>
  <c r="AM101" i="1"/>
  <c r="AM88" i="1"/>
  <c r="AM99" i="1"/>
  <c r="AM98" i="1"/>
  <c r="AM97" i="1"/>
  <c r="AM96" i="1"/>
  <c r="AM87" i="1"/>
  <c r="AM110" i="1"/>
  <c r="AM104" i="1"/>
  <c r="AM103" i="1"/>
  <c r="AM85" i="1"/>
  <c r="AM100" i="1"/>
  <c r="AM95" i="1"/>
  <c r="AM86" i="1"/>
  <c r="AM94" i="1"/>
  <c r="AM84" i="1"/>
  <c r="AM79" i="1"/>
  <c r="AM78" i="1"/>
  <c r="AM77" i="1"/>
  <c r="AM76" i="1"/>
  <c r="AM75" i="1"/>
  <c r="AM74" i="1"/>
  <c r="AM73" i="1"/>
  <c r="AM72" i="1"/>
  <c r="AM71" i="1"/>
  <c r="AM70" i="1"/>
  <c r="AM69" i="1"/>
  <c r="AM68" i="1"/>
  <c r="AM67" i="1"/>
  <c r="AM66" i="1"/>
  <c r="AM65" i="1"/>
  <c r="AM62" i="1"/>
  <c r="AM61" i="1"/>
  <c r="AM60" i="1"/>
  <c r="AM58" i="1"/>
  <c r="AM57" i="1"/>
  <c r="AM56" i="1"/>
  <c r="AM55" i="1"/>
  <c r="AM54" i="1"/>
  <c r="AM50" i="1"/>
  <c r="AM49" i="1"/>
  <c r="AM46" i="1"/>
  <c r="AM43" i="1"/>
  <c r="AM39" i="1"/>
  <c r="AM38" i="1"/>
  <c r="AM37" i="1"/>
  <c r="AM34" i="1"/>
  <c r="AM33" i="1"/>
  <c r="AM32" i="1"/>
  <c r="AM31" i="1"/>
  <c r="AM30" i="1"/>
  <c r="AM27" i="1"/>
  <c r="AM26" i="1"/>
  <c r="AM25" i="1"/>
  <c r="AM23" i="1"/>
  <c r="AM22" i="1"/>
  <c r="AM21" i="1"/>
  <c r="AM20" i="1"/>
  <c r="AM19" i="1"/>
  <c r="AM18" i="1"/>
  <c r="AM17" i="1"/>
  <c r="AM16" i="1"/>
  <c r="AM15" i="1"/>
  <c r="AM13" i="1"/>
  <c r="AM12" i="1"/>
  <c r="AM11" i="1"/>
  <c r="AM10" i="1"/>
  <c r="AM9" i="1"/>
  <c r="AI43" i="4"/>
  <c r="AI42" i="4"/>
  <c r="AI40" i="4"/>
  <c r="AI39" i="4"/>
  <c r="AI38" i="4"/>
  <c r="AI36" i="4"/>
  <c r="AI35" i="4"/>
  <c r="AI33" i="4"/>
  <c r="AI32" i="4"/>
  <c r="AI31" i="4"/>
  <c r="AI30" i="4"/>
  <c r="AI29" i="4"/>
  <c r="AI28" i="4"/>
  <c r="AI27" i="4"/>
  <c r="AI26" i="4"/>
  <c r="AI25" i="4"/>
  <c r="AI24" i="4"/>
  <c r="AI23" i="4"/>
  <c r="AI22" i="4"/>
  <c r="AI21" i="4"/>
  <c r="AI20" i="4"/>
  <c r="AI19" i="4"/>
  <c r="AI18" i="4"/>
  <c r="AI17" i="4"/>
  <c r="AI16" i="4"/>
  <c r="AI15" i="4"/>
  <c r="AI14" i="4"/>
  <c r="AI12" i="4"/>
  <c r="AI11" i="4"/>
  <c r="AI10" i="4"/>
  <c r="AI9" i="4"/>
  <c r="AI8" i="4"/>
  <c r="Z105" i="8"/>
  <c r="Z104" i="8"/>
  <c r="Z103" i="8"/>
  <c r="Z102" i="8"/>
  <c r="Z101" i="8"/>
  <c r="Z97" i="8"/>
  <c r="Z96" i="8"/>
  <c r="Z95" i="8"/>
  <c r="Z94" i="8"/>
  <c r="Z93"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7" i="8"/>
  <c r="Z36" i="8"/>
  <c r="Z35" i="8"/>
  <c r="Z34" i="8"/>
  <c r="Z33" i="8"/>
  <c r="Z32" i="8"/>
  <c r="Z31" i="8"/>
  <c r="Z30" i="8"/>
  <c r="Z29" i="8"/>
  <c r="Z28" i="8"/>
  <c r="Z27" i="8"/>
  <c r="Z26" i="8"/>
  <c r="Z25" i="8"/>
  <c r="Z22" i="8"/>
  <c r="Z21" i="8"/>
  <c r="Z20" i="8"/>
  <c r="Z17" i="8"/>
  <c r="Z14" i="8"/>
  <c r="Z13" i="8"/>
  <c r="Z12" i="8"/>
  <c r="Z11" i="8"/>
  <c r="Z10" i="8"/>
  <c r="AL33" i="7"/>
  <c r="AL32" i="7"/>
  <c r="E52" i="25"/>
  <c r="AL88" i="7"/>
  <c r="Z6" i="31" s="1"/>
  <c r="AL87" i="7"/>
  <c r="U4" i="4" s="1"/>
  <c r="AL86" i="7"/>
  <c r="Y6" i="27" s="1"/>
  <c r="AL76" i="7"/>
  <c r="V5" i="2" s="1"/>
  <c r="AL75" i="7"/>
  <c r="S4" i="3" s="1"/>
  <c r="AL68" i="7"/>
  <c r="R4" i="5" s="1"/>
  <c r="AL67" i="7"/>
  <c r="Q4" i="5" s="1"/>
  <c r="AL117" i="7"/>
  <c r="S6" i="30" s="1"/>
  <c r="AL116" i="7"/>
  <c r="S6" i="26" s="1"/>
  <c r="AL110" i="7"/>
  <c r="S6" i="25" s="1"/>
  <c r="AL109" i="7"/>
  <c r="R5" i="1" s="1"/>
  <c r="AL63" i="7"/>
  <c r="AL62" i="7"/>
  <c r="AL106" i="7"/>
  <c r="AM106" i="7" s="1"/>
  <c r="AL96" i="7"/>
  <c r="AM96" i="7" s="1"/>
  <c r="AL64" i="7"/>
  <c r="AM64" i="7" s="1"/>
  <c r="AL37" i="7"/>
  <c r="E60" i="26"/>
  <c r="E59" i="26"/>
  <c r="E61" i="26"/>
  <c r="E59" i="30"/>
  <c r="E58" i="30"/>
  <c r="E60" i="30"/>
  <c r="E60" i="24"/>
  <c r="E59" i="24"/>
  <c r="E61" i="24"/>
  <c r="E30" i="31"/>
  <c r="E30" i="27"/>
  <c r="E30" i="25"/>
  <c r="AL44" i="7"/>
  <c r="AG5" i="1" s="1"/>
  <c r="AL43" i="7"/>
  <c r="AD6" i="27" s="1"/>
  <c r="AL40" i="7"/>
  <c r="AL39" i="7"/>
  <c r="T5" i="2" s="1"/>
  <c r="AL38" i="7"/>
  <c r="AL27" i="7"/>
  <c r="AL26" i="7"/>
  <c r="AL22" i="7"/>
  <c r="AL21" i="7"/>
  <c r="AN6" i="25"/>
  <c r="AM6" i="25"/>
  <c r="AN6" i="24"/>
  <c r="AM6" i="24"/>
  <c r="AL6" i="24"/>
  <c r="AK6" i="24"/>
  <c r="AJ6" i="24"/>
  <c r="AI6" i="24"/>
  <c r="AA6" i="27"/>
  <c r="Y6" i="25"/>
  <c r="Z5" i="9"/>
  <c r="Z6" i="30"/>
  <c r="X5" i="1"/>
  <c r="E47" i="31"/>
  <c r="E48" i="25"/>
  <c r="E47" i="27"/>
  <c r="E47" i="24"/>
  <c r="E83" i="24"/>
  <c r="N78" i="2"/>
  <c r="K64" i="3"/>
  <c r="H53" i="25"/>
  <c r="E66" i="30"/>
  <c r="E67" i="26"/>
  <c r="E70" i="24"/>
  <c r="E76" i="30"/>
  <c r="E77" i="26"/>
  <c r="E80" i="24"/>
  <c r="E81" i="24"/>
  <c r="E51" i="31"/>
  <c r="E43" i="31"/>
  <c r="E42" i="31"/>
  <c r="E41" i="31"/>
  <c r="E40" i="31"/>
  <c r="E39" i="31"/>
  <c r="E36" i="31"/>
  <c r="E35" i="31"/>
  <c r="E28" i="31"/>
  <c r="E27" i="31"/>
  <c r="E26" i="31"/>
  <c r="E24" i="31"/>
  <c r="E23" i="31"/>
  <c r="E20" i="31"/>
  <c r="E18" i="31"/>
  <c r="E17" i="31"/>
  <c r="E16" i="31"/>
  <c r="E12" i="31"/>
  <c r="E11" i="31"/>
  <c r="E10" i="31"/>
  <c r="E51" i="27"/>
  <c r="E43" i="27"/>
  <c r="E42" i="27"/>
  <c r="E41" i="27"/>
  <c r="E40" i="27"/>
  <c r="E39" i="27"/>
  <c r="E36" i="27"/>
  <c r="E35" i="27"/>
  <c r="E28" i="27"/>
  <c r="E27" i="27"/>
  <c r="E26" i="27"/>
  <c r="E24" i="27"/>
  <c r="E23" i="27"/>
  <c r="E20" i="27"/>
  <c r="E19" i="27"/>
  <c r="E18" i="27"/>
  <c r="E17" i="27"/>
  <c r="E16" i="27"/>
  <c r="E12" i="27"/>
  <c r="E11" i="27"/>
  <c r="E10" i="27"/>
  <c r="E44" i="25"/>
  <c r="E43" i="25"/>
  <c r="E42" i="25"/>
  <c r="E41" i="25"/>
  <c r="E40" i="25"/>
  <c r="E37" i="25"/>
  <c r="E36" i="25"/>
  <c r="E28" i="25"/>
  <c r="E27" i="25"/>
  <c r="E26" i="25"/>
  <c r="E24" i="25"/>
  <c r="E23" i="25"/>
  <c r="E11" i="25"/>
  <c r="E12" i="25"/>
  <c r="E17" i="25"/>
  <c r="E18" i="25"/>
  <c r="E19" i="25"/>
  <c r="E20" i="25"/>
  <c r="E10" i="25"/>
  <c r="E81" i="30"/>
  <c r="E80" i="30"/>
  <c r="E78" i="30"/>
  <c r="E77" i="30"/>
  <c r="E75" i="30"/>
  <c r="E74" i="30"/>
  <c r="E71" i="30"/>
  <c r="E65" i="30"/>
  <c r="E64" i="30"/>
  <c r="E61" i="30"/>
  <c r="E57" i="30"/>
  <c r="E53" i="30"/>
  <c r="E52" i="30"/>
  <c r="E46" i="30"/>
  <c r="E42" i="30"/>
  <c r="E41" i="30"/>
  <c r="E40" i="30"/>
  <c r="E36" i="30"/>
  <c r="E35" i="30"/>
  <c r="E34" i="30"/>
  <c r="E30" i="30"/>
  <c r="E29" i="30"/>
  <c r="E23" i="30"/>
  <c r="E22" i="30"/>
  <c r="E21" i="30"/>
  <c r="E20" i="30"/>
  <c r="E19" i="30"/>
  <c r="E18" i="30"/>
  <c r="E17" i="30"/>
  <c r="E15" i="30"/>
  <c r="E14" i="30"/>
  <c r="E13" i="30"/>
  <c r="E12" i="30"/>
  <c r="E11" i="30"/>
  <c r="E82" i="26"/>
  <c r="E81" i="26"/>
  <c r="E79" i="26"/>
  <c r="E78" i="26"/>
  <c r="E76" i="26"/>
  <c r="E75" i="26"/>
  <c r="E72" i="26"/>
  <c r="E66" i="26"/>
  <c r="E65" i="26"/>
  <c r="E62" i="26"/>
  <c r="E58" i="26"/>
  <c r="E54" i="26"/>
  <c r="E53" i="26"/>
  <c r="E47" i="26"/>
  <c r="E43" i="26"/>
  <c r="E42" i="26"/>
  <c r="E41" i="26"/>
  <c r="E38" i="26"/>
  <c r="E37" i="26"/>
  <c r="E36" i="26"/>
  <c r="E35" i="26"/>
  <c r="E34" i="26"/>
  <c r="E30" i="26"/>
  <c r="E29" i="26"/>
  <c r="E28" i="26"/>
  <c r="E23" i="26"/>
  <c r="E21" i="26"/>
  <c r="E20" i="26"/>
  <c r="E19" i="26"/>
  <c r="E18" i="26"/>
  <c r="E17" i="26"/>
  <c r="E15" i="26"/>
  <c r="E14" i="26"/>
  <c r="E13" i="26"/>
  <c r="E12" i="26"/>
  <c r="E11" i="26"/>
  <c r="E86" i="24"/>
  <c r="E85" i="24"/>
  <c r="E82" i="24"/>
  <c r="E79" i="24"/>
  <c r="E76" i="24"/>
  <c r="E69" i="24"/>
  <c r="E68" i="24"/>
  <c r="E62" i="24"/>
  <c r="E58" i="24"/>
  <c r="E54" i="24"/>
  <c r="E53" i="24"/>
  <c r="E42" i="24"/>
  <c r="E41" i="24"/>
  <c r="E38" i="24"/>
  <c r="E36" i="24"/>
  <c r="E35" i="24"/>
  <c r="E34" i="24"/>
  <c r="E30" i="24"/>
  <c r="E29" i="24"/>
  <c r="E28" i="24"/>
  <c r="E22" i="24"/>
  <c r="E21" i="24"/>
  <c r="E19" i="24"/>
  <c r="E18" i="24"/>
  <c r="E15" i="24"/>
  <c r="E14" i="24"/>
  <c r="E13" i="24"/>
  <c r="E12" i="24"/>
  <c r="E11" i="24"/>
  <c r="AL105" i="7"/>
  <c r="AL6" i="25"/>
  <c r="AK6" i="25"/>
  <c r="AJ6" i="25"/>
  <c r="AI6" i="25"/>
  <c r="AL95" i="7"/>
  <c r="Q6" i="27"/>
  <c r="AC6" i="27" l="1"/>
  <c r="P6" i="8"/>
  <c r="Q6" i="26"/>
  <c r="Q6" i="30"/>
  <c r="R6" i="25"/>
  <c r="M4" i="5"/>
  <c r="M4" i="4"/>
  <c r="P5" i="9"/>
  <c r="Q4" i="3"/>
  <c r="Q6" i="31"/>
  <c r="P5" i="1"/>
  <c r="Q6" i="24"/>
  <c r="Q6" i="25"/>
  <c r="G51" i="4" a="1"/>
  <c r="G51" i="4" s="1"/>
  <c r="CB158" i="7" s="1"/>
  <c r="G50" i="4" a="1"/>
  <c r="G50" i="4" s="1"/>
  <c r="AG6" i="30"/>
  <c r="L4" i="5"/>
  <c r="AB5" i="1"/>
  <c r="T6" i="25"/>
  <c r="V6" i="24"/>
  <c r="R6" i="24"/>
  <c r="AA5" i="9"/>
  <c r="T6" i="27"/>
  <c r="AC6" i="25"/>
  <c r="O4" i="4"/>
  <c r="X6" i="24"/>
  <c r="U6" i="31"/>
  <c r="O5" i="1"/>
  <c r="AE5" i="9"/>
  <c r="AC6" i="24"/>
  <c r="R4" i="4"/>
  <c r="H56" i="25" a="1"/>
  <c r="H56" i="25" s="1"/>
  <c r="CB165" i="7" s="1"/>
  <c r="G57" i="9" a="1"/>
  <c r="G57" i="9" s="1"/>
  <c r="CB164" i="7" s="1"/>
  <c r="G108" i="8" a="1"/>
  <c r="G108" i="8" s="1"/>
  <c r="G109" i="8" a="1"/>
  <c r="G109" i="8" s="1"/>
  <c r="CB157" i="7" s="1"/>
  <c r="H55" i="31" a="1"/>
  <c r="H55" i="31" s="1"/>
  <c r="CB167" i="7" s="1"/>
  <c r="H54" i="31" a="1"/>
  <c r="H54" i="31" s="1"/>
  <c r="H54" i="27" a="1"/>
  <c r="H54" i="27" s="1"/>
  <c r="H55" i="25" a="1"/>
  <c r="H55" i="25" s="1"/>
  <c r="R5" i="9"/>
  <c r="Y6" i="26"/>
  <c r="Y6" i="31"/>
  <c r="AH6" i="25"/>
  <c r="P6" i="31"/>
  <c r="N4" i="5"/>
  <c r="P6" i="26"/>
  <c r="R6" i="31"/>
  <c r="S6" i="8"/>
  <c r="T6" i="8"/>
  <c r="AH6" i="27"/>
  <c r="AE6" i="26"/>
  <c r="AH6" i="30"/>
  <c r="S6" i="27"/>
  <c r="AC5" i="9"/>
  <c r="AD6" i="31"/>
  <c r="AD5" i="1"/>
  <c r="W5" i="1"/>
  <c r="W6" i="31"/>
  <c r="AC6" i="26"/>
  <c r="AB5" i="9"/>
  <c r="T6" i="30"/>
  <c r="AA6" i="25"/>
  <c r="AA6" i="31"/>
  <c r="U5" i="2"/>
  <c r="Z5" i="1"/>
  <c r="AB6" i="25"/>
  <c r="V4" i="4"/>
  <c r="P6" i="25"/>
  <c r="P4" i="3"/>
  <c r="AH6" i="24"/>
  <c r="AF5" i="9"/>
  <c r="AG6" i="25"/>
  <c r="AA6" i="24"/>
  <c r="AA6" i="30"/>
  <c r="Z6" i="27"/>
  <c r="R6" i="27"/>
  <c r="O4" i="5"/>
  <c r="X6" i="31"/>
  <c r="AC6" i="31"/>
  <c r="AC6" i="30"/>
  <c r="V6" i="31"/>
  <c r="U6" i="30"/>
  <c r="S5" i="9"/>
  <c r="V6" i="26"/>
  <c r="AH6" i="26"/>
  <c r="AH6" i="31"/>
  <c r="AG6" i="27"/>
  <c r="AA6" i="26"/>
  <c r="R6" i="30"/>
  <c r="Q5" i="9"/>
  <c r="T4" i="4"/>
  <c r="T6" i="24"/>
  <c r="T5" i="1"/>
  <c r="S5" i="1"/>
  <c r="V5" i="9"/>
  <c r="O5" i="9"/>
  <c r="Z6" i="26"/>
  <c r="R6" i="26"/>
  <c r="N4" i="4"/>
  <c r="R4" i="3"/>
  <c r="P4" i="4"/>
  <c r="X6" i="27"/>
  <c r="AB6" i="27"/>
  <c r="V6" i="30"/>
  <c r="V5" i="1"/>
  <c r="W6" i="25"/>
  <c r="T6" i="26"/>
  <c r="V6" i="25"/>
  <c r="W6" i="26"/>
  <c r="Q4" i="4"/>
  <c r="U6" i="25"/>
  <c r="AB6" i="24"/>
  <c r="W6" i="27"/>
  <c r="AE6" i="24"/>
  <c r="AD6" i="25"/>
  <c r="P6" i="24"/>
  <c r="S5" i="2"/>
  <c r="AF60" i="2" s="1"/>
  <c r="R60" i="2" s="1" a="1"/>
  <c r="R60" i="2" s="1"/>
  <c r="AF5" i="1"/>
  <c r="Y4" i="4"/>
  <c r="AG6" i="31"/>
  <c r="AE6" i="30"/>
  <c r="P6" i="30"/>
  <c r="L4" i="4"/>
  <c r="P6" i="27"/>
  <c r="O6" i="8"/>
  <c r="AG6" i="26"/>
  <c r="AG6" i="24"/>
  <c r="Y5" i="1"/>
  <c r="Q6" i="8"/>
  <c r="Q5" i="1"/>
  <c r="X6" i="30"/>
  <c r="R6" i="8"/>
  <c r="AF6" i="25"/>
  <c r="AI36" i="25" s="1"/>
  <c r="U6" i="27"/>
  <c r="AB6" i="26"/>
  <c r="AB6" i="31"/>
  <c r="U5" i="9"/>
  <c r="W6" i="24"/>
  <c r="X6" i="25"/>
  <c r="W5" i="9"/>
  <c r="U6" i="26"/>
  <c r="AB6" i="30"/>
  <c r="T6" i="31"/>
  <c r="T5" i="9"/>
  <c r="AA5" i="1"/>
  <c r="V6" i="27"/>
  <c r="W6" i="30"/>
  <c r="U5" i="1"/>
  <c r="H55" i="27" a="1"/>
  <c r="H55" i="27" s="1"/>
  <c r="CB166" i="7" s="1"/>
  <c r="G56" i="9" a="1"/>
  <c r="G56" i="9" s="1"/>
  <c r="H118" i="24" a="1"/>
  <c r="H118" i="24" s="1"/>
  <c r="CB161" i="7" s="1"/>
  <c r="H112" i="30" a="1"/>
  <c r="H112" i="30" s="1"/>
  <c r="CB163" i="7" s="1"/>
  <c r="H111" i="30" a="1"/>
  <c r="H111" i="30" s="1"/>
  <c r="H112" i="26" a="1"/>
  <c r="H112" i="26" s="1"/>
  <c r="H117" i="24" a="1"/>
  <c r="H117" i="24" s="1"/>
  <c r="H113" i="26" a="1"/>
  <c r="H113" i="26" s="1"/>
  <c r="CB162" i="7" s="1"/>
  <c r="G117" i="1" a="1"/>
  <c r="G117" i="1" s="1"/>
  <c r="CB160" i="7" s="1"/>
  <c r="G116" i="1" a="1"/>
  <c r="G116" i="1" s="1"/>
  <c r="X6" i="26"/>
  <c r="AL4" i="7"/>
  <c r="CA155" i="7" s="1"/>
  <c r="Y6" i="24"/>
  <c r="X5" i="9"/>
  <c r="Y6" i="30"/>
  <c r="AB3" i="34"/>
  <c r="AB2" i="34" s="1"/>
  <c r="D10" i="34" s="1"/>
  <c r="Z6" i="24"/>
  <c r="Z6" i="25"/>
  <c r="Y5" i="9"/>
  <c r="AL66" i="7"/>
  <c r="AG66" i="7" s="1"/>
  <c r="AF6" i="27"/>
  <c r="AD6" i="24"/>
  <c r="AF6" i="31"/>
  <c r="S4" i="4"/>
  <c r="AD5" i="9"/>
  <c r="AD6" i="30"/>
  <c r="W4" i="4"/>
  <c r="AF6" i="30"/>
  <c r="X4" i="4"/>
  <c r="AF6" i="24"/>
  <c r="AC5" i="1"/>
  <c r="S6" i="31"/>
  <c r="U6" i="24"/>
  <c r="S6" i="24"/>
  <c r="AL108" i="7"/>
  <c r="AG108" i="7" s="1"/>
  <c r="AE6" i="25"/>
  <c r="P4" i="5"/>
  <c r="AE6" i="31"/>
  <c r="AF6" i="26"/>
  <c r="AE6" i="27"/>
  <c r="AE5" i="1"/>
  <c r="T17" i="3" l="1"/>
  <c r="O17" i="3" s="1" a="1"/>
  <c r="O17" i="3" s="1"/>
  <c r="AF66" i="2"/>
  <c r="R66" i="2" s="1" a="1"/>
  <c r="R66" i="2" s="1"/>
  <c r="U51" i="8"/>
  <c r="N51" i="8" s="1" a="1"/>
  <c r="N51" i="8" s="1"/>
  <c r="T40" i="3"/>
  <c r="O40" i="3" s="1" a="1"/>
  <c r="O40" i="3" s="1"/>
  <c r="T28" i="3"/>
  <c r="O28" i="3" s="1" a="1"/>
  <c r="O28" i="3" s="1"/>
  <c r="AF51" i="2"/>
  <c r="R51" i="2" s="1" a="1"/>
  <c r="R51" i="2" s="1"/>
  <c r="T30" i="3"/>
  <c r="O30" i="3" s="1" a="1"/>
  <c r="O30" i="3" s="1"/>
  <c r="AF56" i="2"/>
  <c r="R56" i="2" s="1" a="1"/>
  <c r="R56" i="2" s="1"/>
  <c r="AF77" i="2"/>
  <c r="R77" i="2" s="1" a="1"/>
  <c r="R77" i="2" s="1"/>
  <c r="T39" i="3"/>
  <c r="O39" i="3" s="1" a="1"/>
  <c r="O39" i="3" s="1"/>
  <c r="AF59" i="2"/>
  <c r="R59" i="2" s="1" a="1"/>
  <c r="R59" i="2" s="1"/>
  <c r="AF19" i="2"/>
  <c r="R19" i="2" s="1" a="1"/>
  <c r="R19" i="2" s="1"/>
  <c r="T56" i="3"/>
  <c r="O56" i="3" s="1" a="1"/>
  <c r="O56" i="3" s="1"/>
  <c r="T53" i="3"/>
  <c r="O53" i="3" s="1" a="1"/>
  <c r="O53" i="3" s="1"/>
  <c r="AF23" i="2"/>
  <c r="R23" i="2" s="1" a="1"/>
  <c r="R23" i="2" s="1"/>
  <c r="T37" i="3"/>
  <c r="O37" i="3" s="1" a="1"/>
  <c r="O37" i="3" s="1"/>
  <c r="T62" i="3"/>
  <c r="O62" i="3" s="1" a="1"/>
  <c r="O62" i="3" s="1"/>
  <c r="T44" i="3"/>
  <c r="O44" i="3" s="1" a="1"/>
  <c r="O44" i="3" s="1"/>
  <c r="U82" i="8"/>
  <c r="N82" i="8" s="1" a="1"/>
  <c r="N82" i="8" s="1"/>
  <c r="AF50" i="2"/>
  <c r="R50" i="2" s="1" a="1"/>
  <c r="R50" i="2" s="1"/>
  <c r="T27" i="3"/>
  <c r="O27" i="3" s="1" a="1"/>
  <c r="O27" i="3" s="1"/>
  <c r="U36" i="8"/>
  <c r="N36" i="8" s="1" a="1"/>
  <c r="N36" i="8" s="1"/>
  <c r="U34" i="8"/>
  <c r="N34" i="8" s="1" a="1"/>
  <c r="N34" i="8" s="1"/>
  <c r="U86" i="8"/>
  <c r="N86" i="8" s="1" a="1"/>
  <c r="N86" i="8" s="1"/>
  <c r="AF36" i="2"/>
  <c r="R36" i="2" s="1" a="1"/>
  <c r="R36" i="2" s="1"/>
  <c r="AF27" i="2"/>
  <c r="R27" i="2" s="1" a="1"/>
  <c r="R27" i="2" s="1"/>
  <c r="AF16" i="2"/>
  <c r="R16" i="2" s="1" a="1"/>
  <c r="R16" i="2" s="1"/>
  <c r="AF44" i="2"/>
  <c r="R44" i="2" s="1" a="1"/>
  <c r="R44" i="2" s="1"/>
  <c r="AF70" i="2"/>
  <c r="R70" i="2" s="1" a="1"/>
  <c r="R70" i="2" s="1"/>
  <c r="AF58" i="2"/>
  <c r="R58" i="2" s="1" a="1"/>
  <c r="R58" i="2" s="1"/>
  <c r="AF10" i="2"/>
  <c r="R10" i="2" s="1" a="1"/>
  <c r="R10" i="2" s="1"/>
  <c r="AF53" i="2"/>
  <c r="R53" i="2" s="1" a="1"/>
  <c r="R53" i="2" s="1"/>
  <c r="T12" i="3"/>
  <c r="O12" i="3" s="1" a="1"/>
  <c r="O12" i="3" s="1"/>
  <c r="T32" i="3"/>
  <c r="O32" i="3" s="1" a="1"/>
  <c r="O32" i="3" s="1"/>
  <c r="T60" i="3"/>
  <c r="O60" i="3" s="1" a="1"/>
  <c r="O60" i="3" s="1"/>
  <c r="T42" i="3"/>
  <c r="O42" i="3" s="1" a="1"/>
  <c r="O42" i="3" s="1"/>
  <c r="T43" i="3"/>
  <c r="O43" i="3" s="1" a="1"/>
  <c r="O43" i="3" s="1"/>
  <c r="T20" i="3"/>
  <c r="O20" i="3" s="1" a="1"/>
  <c r="O20" i="3" s="1"/>
  <c r="T10" i="3"/>
  <c r="O10" i="3" s="1" a="1"/>
  <c r="O10" i="3" s="1"/>
  <c r="T50" i="3"/>
  <c r="O50" i="3" s="1" a="1"/>
  <c r="O50" i="3" s="1"/>
  <c r="U11" i="8"/>
  <c r="N11" i="8" s="1" a="1"/>
  <c r="N11" i="8" s="1"/>
  <c r="U94" i="8"/>
  <c r="N94" i="8" s="1" a="1"/>
  <c r="N94" i="8" s="1"/>
  <c r="AF72" i="2"/>
  <c r="R72" i="2" s="1" a="1"/>
  <c r="R72" i="2" s="1"/>
  <c r="AF25" i="2"/>
  <c r="R25" i="2" s="1" a="1"/>
  <c r="R25" i="2" s="1"/>
  <c r="AF14" i="2"/>
  <c r="R14" i="2" s="1" a="1"/>
  <c r="R14" i="2" s="1"/>
  <c r="AF76" i="2"/>
  <c r="R76" i="2" s="1" a="1"/>
  <c r="R76" i="2" s="1"/>
  <c r="AF29" i="2"/>
  <c r="R29" i="2" s="1" a="1"/>
  <c r="R29" i="2" s="1"/>
  <c r="AF15" i="2"/>
  <c r="R15" i="2" s="1" a="1"/>
  <c r="R15" i="2" s="1"/>
  <c r="AF39" i="2"/>
  <c r="R39" i="2" s="1" a="1"/>
  <c r="R39" i="2" s="1"/>
  <c r="T46" i="3"/>
  <c r="O46" i="3" s="1" a="1"/>
  <c r="O46" i="3" s="1"/>
  <c r="T54" i="3"/>
  <c r="O54" i="3" s="1" a="1"/>
  <c r="O54" i="3" s="1"/>
  <c r="T18" i="3"/>
  <c r="O18" i="3" s="1" a="1"/>
  <c r="O18" i="3" s="1"/>
  <c r="T14" i="3"/>
  <c r="O14" i="3" s="1" a="1"/>
  <c r="O14" i="3" s="1"/>
  <c r="T41" i="3"/>
  <c r="O41" i="3" s="1" a="1"/>
  <c r="O41" i="3" s="1"/>
  <c r="T34" i="3"/>
  <c r="O34" i="3" s="1" a="1"/>
  <c r="O34" i="3" s="1"/>
  <c r="T9" i="3"/>
  <c r="O9" i="3" s="1" a="1"/>
  <c r="O9" i="3" s="1"/>
  <c r="T47" i="3"/>
  <c r="O47" i="3" s="1" a="1"/>
  <c r="O47" i="3" s="1"/>
  <c r="AI13" i="27"/>
  <c r="O13" i="27" s="1" a="1"/>
  <c r="O13" i="27" s="1"/>
  <c r="U47" i="8"/>
  <c r="N47" i="8" s="1" a="1"/>
  <c r="N47" i="8" s="1"/>
  <c r="AF52" i="2"/>
  <c r="R52" i="2" s="1" a="1"/>
  <c r="R52" i="2" s="1"/>
  <c r="AF20" i="2"/>
  <c r="R20" i="2" s="1" a="1"/>
  <c r="R20" i="2" s="1"/>
  <c r="AF37" i="2"/>
  <c r="R37" i="2" s="1" a="1"/>
  <c r="R37" i="2" s="1"/>
  <c r="AF28" i="2"/>
  <c r="R28" i="2" s="1" a="1"/>
  <c r="R28" i="2" s="1"/>
  <c r="AF45" i="2"/>
  <c r="R45" i="2" s="1" a="1"/>
  <c r="R45" i="2" s="1"/>
  <c r="AF67" i="2"/>
  <c r="R67" i="2" s="1" a="1"/>
  <c r="R67" i="2" s="1"/>
  <c r="AF38" i="2"/>
  <c r="R38" i="2" s="1" a="1"/>
  <c r="R38" i="2" s="1"/>
  <c r="T38" i="3"/>
  <c r="O38" i="3" s="1" a="1"/>
  <c r="O38" i="3" s="1"/>
  <c r="T35" i="3"/>
  <c r="O35" i="3" s="1" a="1"/>
  <c r="O35" i="3" s="1"/>
  <c r="T49" i="3"/>
  <c r="O49" i="3" s="1" a="1"/>
  <c r="O49" i="3" s="1"/>
  <c r="T58" i="3"/>
  <c r="O58" i="3" s="1" a="1"/>
  <c r="O58" i="3" s="1"/>
  <c r="T24" i="3"/>
  <c r="O24" i="3" s="1" a="1"/>
  <c r="O24" i="3" s="1"/>
  <c r="T15" i="3"/>
  <c r="O15" i="3" s="1" a="1"/>
  <c r="O15" i="3" s="1"/>
  <c r="T45" i="3"/>
  <c r="O45" i="3" s="1" a="1"/>
  <c r="O45" i="3" s="1"/>
  <c r="T55" i="3"/>
  <c r="O55" i="3" s="1" a="1"/>
  <c r="O55" i="3" s="1"/>
  <c r="AI13" i="31"/>
  <c r="O13" i="31" s="1" a="1"/>
  <c r="O13" i="31" s="1"/>
  <c r="AQ13" i="25"/>
  <c r="O13" i="25" s="1" a="1"/>
  <c r="O13" i="25" s="1"/>
  <c r="AG12" i="9"/>
  <c r="N12" i="9" s="1" a="1"/>
  <c r="N12" i="9" s="1"/>
  <c r="U53" i="8"/>
  <c r="N53" i="8" s="1" a="1"/>
  <c r="N53" i="8" s="1"/>
  <c r="T31" i="3"/>
  <c r="O31" i="3" s="1" a="1"/>
  <c r="O31" i="3" s="1"/>
  <c r="U32" i="8"/>
  <c r="N32" i="8" s="1" a="1"/>
  <c r="N32" i="8" s="1"/>
  <c r="U39" i="8"/>
  <c r="N39" i="8" s="1" a="1"/>
  <c r="N39" i="8" s="1"/>
  <c r="U105" i="8"/>
  <c r="N105" i="8" s="1" a="1"/>
  <c r="N105" i="8" s="1"/>
  <c r="U29" i="8"/>
  <c r="N29" i="8" s="1" a="1"/>
  <c r="N29" i="8" s="1"/>
  <c r="U79" i="8"/>
  <c r="N79" i="8" s="1" a="1"/>
  <c r="N79" i="8" s="1"/>
  <c r="U62" i="8"/>
  <c r="N62" i="8" s="1" a="1"/>
  <c r="N62" i="8" s="1"/>
  <c r="U57" i="8"/>
  <c r="N57" i="8" s="1" a="1"/>
  <c r="N57" i="8" s="1"/>
  <c r="T13" i="3"/>
  <c r="O13" i="3" s="1" a="1"/>
  <c r="O13" i="3" s="1"/>
  <c r="AI35" i="27"/>
  <c r="O35" i="27" s="1" a="1"/>
  <c r="O35" i="27" s="1"/>
  <c r="U97" i="8"/>
  <c r="N97" i="8" s="1" a="1"/>
  <c r="N97" i="8" s="1"/>
  <c r="U60" i="8"/>
  <c r="N60" i="8" s="1" a="1"/>
  <c r="N60" i="8" s="1"/>
  <c r="U73" i="8"/>
  <c r="N73" i="8" s="1" a="1"/>
  <c r="N73" i="8" s="1"/>
  <c r="U58" i="8"/>
  <c r="N58" i="8" s="1" a="1"/>
  <c r="N58" i="8" s="1"/>
  <c r="U88" i="8"/>
  <c r="N88" i="8" s="1" a="1"/>
  <c r="N88" i="8" s="1"/>
  <c r="U64" i="8"/>
  <c r="N64" i="8" s="1" a="1"/>
  <c r="N64" i="8" s="1"/>
  <c r="U48" i="8"/>
  <c r="N48" i="8" s="1" a="1"/>
  <c r="N48" i="8" s="1"/>
  <c r="U52" i="8"/>
  <c r="N52" i="8" s="1" a="1"/>
  <c r="N52" i="8" s="1"/>
  <c r="U102" i="8"/>
  <c r="N102" i="8" s="1" a="1"/>
  <c r="N102" i="8" s="1"/>
  <c r="U42" i="8"/>
  <c r="N42" i="8" s="1" a="1"/>
  <c r="N42" i="8" s="1"/>
  <c r="U37" i="8"/>
  <c r="N37" i="8" s="1" a="1"/>
  <c r="N37" i="8" s="1"/>
  <c r="U75" i="8"/>
  <c r="N75" i="8" s="1" a="1"/>
  <c r="N75" i="8" s="1"/>
  <c r="U68" i="8"/>
  <c r="N68" i="8" s="1" a="1"/>
  <c r="N68" i="8" s="1"/>
  <c r="U43" i="8"/>
  <c r="N43" i="8" s="1" a="1"/>
  <c r="N43" i="8" s="1"/>
  <c r="U70" i="8"/>
  <c r="N70" i="8" s="1" a="1"/>
  <c r="N70" i="8" s="1"/>
  <c r="U54" i="8"/>
  <c r="N54" i="8" s="1" a="1"/>
  <c r="N54" i="8" s="1"/>
  <c r="AI11" i="31"/>
  <c r="O11" i="31" s="1" a="1"/>
  <c r="O11" i="31" s="1"/>
  <c r="AI19" i="30"/>
  <c r="O19" i="30" s="1" a="1"/>
  <c r="O19" i="30" s="1"/>
  <c r="U56" i="8"/>
  <c r="N56" i="8" s="1" a="1"/>
  <c r="N56" i="8" s="1"/>
  <c r="U25" i="8"/>
  <c r="N25" i="8" s="1" a="1"/>
  <c r="N25" i="8" s="1"/>
  <c r="U45" i="8"/>
  <c r="N45" i="8" s="1" a="1"/>
  <c r="N45" i="8" s="1"/>
  <c r="U84" i="8"/>
  <c r="N84" i="8" s="1" a="1"/>
  <c r="N84" i="8" s="1"/>
  <c r="U30" i="8"/>
  <c r="N30" i="8" s="1" a="1"/>
  <c r="N30" i="8" s="1"/>
  <c r="U14" i="8"/>
  <c r="N14" i="8" s="1" a="1"/>
  <c r="N14" i="8" s="1"/>
  <c r="U95" i="8"/>
  <c r="N95" i="8" s="1" a="1"/>
  <c r="N95" i="8" s="1"/>
  <c r="U103" i="8"/>
  <c r="N103" i="8" s="1" a="1"/>
  <c r="N103" i="8" s="1"/>
  <c r="T57" i="3"/>
  <c r="O57" i="3" s="1" a="1"/>
  <c r="O57" i="3" s="1"/>
  <c r="T19" i="3"/>
  <c r="O19" i="3" s="1" a="1"/>
  <c r="O19" i="3" s="1"/>
  <c r="T16" i="3"/>
  <c r="O16" i="3" s="1" a="1"/>
  <c r="O16" i="3" s="1"/>
  <c r="T59" i="3"/>
  <c r="O59" i="3" s="1" a="1"/>
  <c r="O59" i="3" s="1"/>
  <c r="T23" i="3"/>
  <c r="O23" i="3" s="1" a="1"/>
  <c r="O23" i="3" s="1"/>
  <c r="T22" i="3"/>
  <c r="O22" i="3" s="1" a="1"/>
  <c r="O22" i="3" s="1"/>
  <c r="T61" i="3"/>
  <c r="O61" i="3" s="1" a="1"/>
  <c r="O61" i="3" s="1"/>
  <c r="T25" i="3"/>
  <c r="O25" i="3" s="1" a="1"/>
  <c r="O25" i="3" s="1"/>
  <c r="T26" i="3"/>
  <c r="O26" i="3" s="1" a="1"/>
  <c r="O26" i="3" s="1"/>
  <c r="U76" i="8"/>
  <c r="N76" i="8" s="1" a="1"/>
  <c r="N76" i="8" s="1"/>
  <c r="T51" i="3"/>
  <c r="O51" i="3" s="1" a="1"/>
  <c r="O51" i="3" s="1"/>
  <c r="T33" i="3"/>
  <c r="O33" i="3" s="1" a="1"/>
  <c r="O33" i="3" s="1"/>
  <c r="T11" i="3"/>
  <c r="O11" i="3" s="1" a="1"/>
  <c r="O11" i="3" s="1"/>
  <c r="T63" i="3"/>
  <c r="O63" i="3" s="1" a="1"/>
  <c r="O63" i="3" s="1"/>
  <c r="AH9" i="1"/>
  <c r="T36" i="3"/>
  <c r="O36" i="3" s="1" a="1"/>
  <c r="O36" i="3" s="1"/>
  <c r="U80" i="8"/>
  <c r="N80" i="8" s="1" a="1"/>
  <c r="N80" i="8" s="1"/>
  <c r="AG26" i="9"/>
  <c r="N26" i="9" s="1" a="1"/>
  <c r="N26" i="9" s="1"/>
  <c r="AF73" i="2"/>
  <c r="R73" i="2" s="1" a="1"/>
  <c r="R73" i="2" s="1"/>
  <c r="AF21" i="2"/>
  <c r="R21" i="2" s="1" a="1"/>
  <c r="R21" i="2" s="1"/>
  <c r="AF32" i="2"/>
  <c r="R32" i="2" s="1" a="1"/>
  <c r="R32" i="2" s="1"/>
  <c r="AF69" i="2"/>
  <c r="R69" i="2" s="1" a="1"/>
  <c r="R69" i="2" s="1"/>
  <c r="AF12" i="2"/>
  <c r="R12" i="2" s="1" a="1"/>
  <c r="R12" i="2" s="1"/>
  <c r="AF63" i="2"/>
  <c r="R63" i="2" s="1" a="1"/>
  <c r="R63" i="2" s="1"/>
  <c r="AF57" i="2"/>
  <c r="R57" i="2" s="1" a="1"/>
  <c r="R57" i="2" s="1"/>
  <c r="U78" i="8"/>
  <c r="N78" i="8" s="1" a="1"/>
  <c r="N78" i="8" s="1"/>
  <c r="U71" i="8"/>
  <c r="N71" i="8" s="1" a="1"/>
  <c r="N71" i="8" s="1"/>
  <c r="AQ10" i="24"/>
  <c r="O10" i="24" s="1" a="1"/>
  <c r="O10" i="24" s="1"/>
  <c r="U81" i="8"/>
  <c r="N81" i="8" s="1" a="1"/>
  <c r="N81" i="8" s="1"/>
  <c r="U59" i="8"/>
  <c r="N59" i="8" s="1" a="1"/>
  <c r="N59" i="8" s="1"/>
  <c r="U66" i="8"/>
  <c r="N66" i="8" s="1" a="1"/>
  <c r="N66" i="8" s="1"/>
  <c r="U49" i="8"/>
  <c r="N49" i="8" s="1" a="1"/>
  <c r="N49" i="8" s="1"/>
  <c r="U74" i="8"/>
  <c r="N74" i="8" s="1" a="1"/>
  <c r="N74" i="8" s="1"/>
  <c r="U98" i="8"/>
  <c r="N98" i="8" s="1" a="1"/>
  <c r="N98" i="8" s="1"/>
  <c r="U28" i="8"/>
  <c r="N28" i="8" s="1" a="1"/>
  <c r="N28" i="8" s="1"/>
  <c r="U96" i="8"/>
  <c r="N96" i="8" s="1" a="1"/>
  <c r="N96" i="8" s="1"/>
  <c r="U72" i="8"/>
  <c r="N72" i="8" s="1" a="1"/>
  <c r="N72" i="8" s="1"/>
  <c r="U20" i="8"/>
  <c r="N20" i="8" s="1" a="1"/>
  <c r="N20" i="8" s="1"/>
  <c r="U31" i="8"/>
  <c r="N31" i="8" s="1" a="1"/>
  <c r="N31" i="8" s="1"/>
  <c r="U35" i="8"/>
  <c r="N35" i="8" s="1" a="1"/>
  <c r="N35" i="8" s="1"/>
  <c r="U12" i="8"/>
  <c r="N12" i="8" s="1" a="1"/>
  <c r="N12" i="8" s="1"/>
  <c r="U87" i="8"/>
  <c r="N87" i="8" s="1" a="1"/>
  <c r="N87" i="8" s="1"/>
  <c r="U40" i="8"/>
  <c r="N40" i="8" s="1" a="1"/>
  <c r="N40" i="8" s="1"/>
  <c r="U104" i="8"/>
  <c r="N104" i="8" s="1" a="1"/>
  <c r="N104" i="8" s="1"/>
  <c r="U10" i="8"/>
  <c r="N10" i="8" s="1" a="1"/>
  <c r="N10" i="8" s="1"/>
  <c r="U65" i="8"/>
  <c r="N65" i="8" s="1" a="1"/>
  <c r="N65" i="8" s="1"/>
  <c r="U44" i="8"/>
  <c r="N44" i="8" s="1" a="1"/>
  <c r="N44" i="8" s="1"/>
  <c r="U41" i="8"/>
  <c r="N41" i="8" s="1" a="1"/>
  <c r="N41" i="8" s="1"/>
  <c r="U21" i="8"/>
  <c r="N21" i="8" s="1" a="1"/>
  <c r="N21" i="8" s="1"/>
  <c r="U63" i="8"/>
  <c r="N63" i="8" s="1" a="1"/>
  <c r="N63" i="8" s="1"/>
  <c r="AF64" i="2"/>
  <c r="R64" i="2" s="1" a="1"/>
  <c r="R64" i="2" s="1"/>
  <c r="AF33" i="2"/>
  <c r="R33" i="2" s="1" a="1"/>
  <c r="R33" i="2" s="1"/>
  <c r="AF54" i="2"/>
  <c r="R54" i="2" s="1" a="1"/>
  <c r="R54" i="2" s="1"/>
  <c r="AF22" i="2"/>
  <c r="R22" i="2" s="1" a="1"/>
  <c r="R22" i="2" s="1"/>
  <c r="AF74" i="2"/>
  <c r="R74" i="2" s="1" a="1"/>
  <c r="R74" i="2" s="1"/>
  <c r="AF48" i="2"/>
  <c r="R48" i="2" s="1" a="1"/>
  <c r="R48" i="2" s="1"/>
  <c r="AF42" i="2"/>
  <c r="R42" i="2" s="1" a="1"/>
  <c r="R42" i="2" s="1"/>
  <c r="AF61" i="2"/>
  <c r="R61" i="2" s="1" a="1"/>
  <c r="R61" i="2" s="1"/>
  <c r="U38" i="8"/>
  <c r="N38" i="8" s="1" a="1"/>
  <c r="N38" i="8" s="1"/>
  <c r="U61" i="8"/>
  <c r="N61" i="8" s="1" a="1"/>
  <c r="N61" i="8" s="1"/>
  <c r="U33" i="8"/>
  <c r="N33" i="8" s="1" a="1"/>
  <c r="N33" i="8" s="1"/>
  <c r="U69" i="8"/>
  <c r="N69" i="8" s="1" a="1"/>
  <c r="N69" i="8" s="1"/>
  <c r="U90" i="8"/>
  <c r="N90" i="8" s="1" a="1"/>
  <c r="N90" i="8" s="1"/>
  <c r="U50" i="8"/>
  <c r="N50" i="8" s="1" a="1"/>
  <c r="N50" i="8" s="1"/>
  <c r="U85" i="8"/>
  <c r="N85" i="8" s="1" a="1"/>
  <c r="N85" i="8" s="1"/>
  <c r="U83" i="8"/>
  <c r="N83" i="8" s="1" a="1"/>
  <c r="N83" i="8" s="1"/>
  <c r="U27" i="8"/>
  <c r="N27" i="8" s="1" a="1"/>
  <c r="N27" i="8" s="1"/>
  <c r="U89" i="8"/>
  <c r="N89" i="8" s="1" a="1"/>
  <c r="N89" i="8" s="1"/>
  <c r="U101" i="8"/>
  <c r="N101" i="8" s="1" a="1"/>
  <c r="N101" i="8" s="1"/>
  <c r="U46" i="8"/>
  <c r="N46" i="8" s="1" a="1"/>
  <c r="N46" i="8" s="1"/>
  <c r="U17" i="8"/>
  <c r="N17" i="8" s="1" a="1"/>
  <c r="N17" i="8" s="1"/>
  <c r="U13" i="8"/>
  <c r="N13" i="8" s="1" a="1"/>
  <c r="N13" i="8" s="1"/>
  <c r="U22" i="8"/>
  <c r="N22" i="8" s="1" a="1"/>
  <c r="N22" i="8" s="1"/>
  <c r="U55" i="8"/>
  <c r="N55" i="8" s="1" a="1"/>
  <c r="N55" i="8" s="1"/>
  <c r="AD47" i="4"/>
  <c r="K47" i="4" s="1" a="1"/>
  <c r="K47" i="4" s="1"/>
  <c r="AF71" i="2"/>
  <c r="R71" i="2" s="1" a="1"/>
  <c r="R71" i="2" s="1"/>
  <c r="AF26" i="2"/>
  <c r="R26" i="2" s="1" a="1"/>
  <c r="R26" i="2" s="1"/>
  <c r="AF75" i="2"/>
  <c r="R75" i="2" s="1" a="1"/>
  <c r="R75" i="2" s="1"/>
  <c r="AF13" i="2"/>
  <c r="R13" i="2" s="1" a="1"/>
  <c r="R13" i="2" s="1"/>
  <c r="AF43" i="2"/>
  <c r="R43" i="2" s="1" a="1"/>
  <c r="R43" i="2" s="1"/>
  <c r="AF31" i="2"/>
  <c r="R31" i="2" s="1" a="1"/>
  <c r="R31" i="2" s="1"/>
  <c r="AF17" i="2"/>
  <c r="R17" i="2" s="1" a="1"/>
  <c r="R17" i="2" s="1"/>
  <c r="AF41" i="2"/>
  <c r="R41" i="2" s="1" a="1"/>
  <c r="R41" i="2" s="1"/>
  <c r="AF35" i="2"/>
  <c r="R35" i="2" s="1" a="1"/>
  <c r="R35" i="2" s="1"/>
  <c r="AF34" i="2"/>
  <c r="R34" i="2" s="1" a="1"/>
  <c r="R34" i="2" s="1"/>
  <c r="AF68" i="2"/>
  <c r="R68" i="2" s="1" a="1"/>
  <c r="R68" i="2" s="1"/>
  <c r="AF62" i="2"/>
  <c r="R62" i="2" s="1" a="1"/>
  <c r="R62" i="2" s="1"/>
  <c r="AF47" i="2"/>
  <c r="R47" i="2" s="1" a="1"/>
  <c r="R47" i="2" s="1"/>
  <c r="AF49" i="2"/>
  <c r="R49" i="2" s="1" a="1"/>
  <c r="R49" i="2" s="1"/>
  <c r="U93" i="8"/>
  <c r="N93" i="8" s="1" a="1"/>
  <c r="N93" i="8" s="1"/>
  <c r="U67" i="8"/>
  <c r="N67" i="8" s="1" a="1"/>
  <c r="N67" i="8" s="1"/>
  <c r="U26" i="8"/>
  <c r="N26" i="8" s="1" a="1"/>
  <c r="N26" i="8" s="1"/>
  <c r="U77" i="8"/>
  <c r="N77" i="8" s="1" a="1"/>
  <c r="N77" i="8" s="1"/>
  <c r="AD19" i="4"/>
  <c r="K19" i="4" s="1" a="1"/>
  <c r="K19" i="4" s="1"/>
  <c r="AG33" i="9"/>
  <c r="N33" i="9" s="1" a="1"/>
  <c r="N33" i="9" s="1"/>
  <c r="AG37" i="9"/>
  <c r="N37" i="9" s="1" a="1"/>
  <c r="N37" i="9" s="1"/>
  <c r="AG53" i="9"/>
  <c r="N53" i="9" s="1" a="1"/>
  <c r="N53" i="9" s="1"/>
  <c r="AI54" i="30"/>
  <c r="O54" i="30" s="1" a="1"/>
  <c r="O54" i="30" s="1"/>
  <c r="AI84" i="26"/>
  <c r="O84" i="26" s="1" a="1"/>
  <c r="O84" i="26" s="1"/>
  <c r="AD9" i="4"/>
  <c r="K9" i="4" s="1" a="1"/>
  <c r="K9" i="4" s="1"/>
  <c r="AD15" i="4"/>
  <c r="K15" i="4" s="1" a="1"/>
  <c r="K15" i="4" s="1"/>
  <c r="AD8" i="4"/>
  <c r="AL2" i="7"/>
  <c r="BU155" i="7" s="1"/>
  <c r="AI14" i="30"/>
  <c r="O14" i="30" s="1" a="1"/>
  <c r="O14" i="30" s="1"/>
  <c r="AI10" i="30"/>
  <c r="O10" i="30" s="1" a="1"/>
  <c r="O10" i="30" s="1"/>
  <c r="AI24" i="30"/>
  <c r="O24" i="30" s="1" a="1"/>
  <c r="O24" i="30" s="1"/>
  <c r="AI82" i="30"/>
  <c r="O82" i="30" s="1" a="1"/>
  <c r="O82" i="30" s="1"/>
  <c r="AI78" i="30"/>
  <c r="O78" i="30" s="1" a="1"/>
  <c r="O78" i="30" s="1"/>
  <c r="AI44" i="30"/>
  <c r="O44" i="30" s="1" a="1"/>
  <c r="O44" i="30" s="1"/>
  <c r="AQ17" i="24"/>
  <c r="O17" i="24" s="1" a="1"/>
  <c r="O17" i="24" s="1"/>
  <c r="AI93" i="30"/>
  <c r="O93" i="30" s="1" a="1"/>
  <c r="O93" i="30" s="1"/>
  <c r="AI83" i="30"/>
  <c r="O83" i="30" s="1" a="1"/>
  <c r="O83" i="30" s="1"/>
  <c r="AI74" i="30"/>
  <c r="O74" i="30" s="1" a="1"/>
  <c r="O74" i="30" s="1"/>
  <c r="AI73" i="30"/>
  <c r="O73" i="30" s="1" a="1"/>
  <c r="O73" i="30" s="1"/>
  <c r="AI79" i="30"/>
  <c r="O79" i="30" s="1" a="1"/>
  <c r="O79" i="30" s="1"/>
  <c r="AI69" i="30"/>
  <c r="O69" i="30" s="1" a="1"/>
  <c r="O69" i="30" s="1"/>
  <c r="AI47" i="30"/>
  <c r="O47" i="30" s="1" a="1"/>
  <c r="O47" i="30" s="1"/>
  <c r="AI104" i="30"/>
  <c r="O104" i="30" s="1" a="1"/>
  <c r="O104" i="30" s="1"/>
  <c r="AI18" i="30"/>
  <c r="O18" i="30" s="1" a="1"/>
  <c r="O18" i="30" s="1"/>
  <c r="AD39" i="4"/>
  <c r="K39" i="4" s="1" a="1"/>
  <c r="K39" i="4" s="1"/>
  <c r="AI103" i="30"/>
  <c r="O103" i="30" s="1" a="1"/>
  <c r="O103" i="30" s="1"/>
  <c r="AI100" i="30"/>
  <c r="O100" i="30" s="1" a="1"/>
  <c r="O100" i="30" s="1"/>
  <c r="AI27" i="30"/>
  <c r="O27" i="30" s="1" a="1"/>
  <c r="O27" i="30" s="1"/>
  <c r="AI87" i="30"/>
  <c r="O87" i="30" s="1" a="1"/>
  <c r="O87" i="30" s="1"/>
  <c r="AI90" i="30"/>
  <c r="O90" i="30" s="1" a="1"/>
  <c r="O90" i="30" s="1"/>
  <c r="AI63" i="30"/>
  <c r="O63" i="30" s="1" a="1"/>
  <c r="O63" i="30" s="1"/>
  <c r="AI42" i="30"/>
  <c r="O42" i="30" s="1" a="1"/>
  <c r="O42" i="30" s="1"/>
  <c r="AI28" i="30"/>
  <c r="O28" i="30" s="1" a="1"/>
  <c r="O28" i="30" s="1"/>
  <c r="AI108" i="30"/>
  <c r="O108" i="30" s="1" a="1"/>
  <c r="O108" i="30" s="1"/>
  <c r="AQ28" i="24"/>
  <c r="O28" i="24" s="1" a="1"/>
  <c r="O28" i="24" s="1"/>
  <c r="AI106" i="30"/>
  <c r="O106" i="30" s="1" a="1"/>
  <c r="O106" i="30" s="1"/>
  <c r="AI11" i="30"/>
  <c r="O11" i="30" s="1" a="1"/>
  <c r="O11" i="30" s="1"/>
  <c r="AI13" i="30"/>
  <c r="O13" i="30" s="1" a="1"/>
  <c r="O13" i="30" s="1"/>
  <c r="AI53" i="30"/>
  <c r="O53" i="30" s="1" a="1"/>
  <c r="O53" i="30" s="1"/>
  <c r="AI72" i="30"/>
  <c r="O72" i="30" s="1" a="1"/>
  <c r="O72" i="30" s="1"/>
  <c r="AI98" i="30"/>
  <c r="O98" i="30" s="1" a="1"/>
  <c r="O98" i="30" s="1"/>
  <c r="AI12" i="30"/>
  <c r="O12" i="30" s="1" a="1"/>
  <c r="O12" i="30" s="1"/>
  <c r="AI60" i="30"/>
  <c r="O60" i="30" s="1" a="1"/>
  <c r="O60" i="30" s="1"/>
  <c r="AI101" i="30"/>
  <c r="O101" i="30" s="1" a="1"/>
  <c r="O101" i="30" s="1"/>
  <c r="AI46" i="30"/>
  <c r="O46" i="30" s="1" a="1"/>
  <c r="O46" i="30" s="1"/>
  <c r="AI76" i="30"/>
  <c r="O76" i="30" s="1" a="1"/>
  <c r="O76" i="30" s="1"/>
  <c r="AI86" i="30"/>
  <c r="O86" i="30" s="1" a="1"/>
  <c r="O86" i="30" s="1"/>
  <c r="AI21" i="30"/>
  <c r="O21" i="30" s="1" a="1"/>
  <c r="O21" i="30" s="1"/>
  <c r="AI58" i="30"/>
  <c r="O58" i="30" s="1" a="1"/>
  <c r="O58" i="30" s="1"/>
  <c r="AI99" i="30"/>
  <c r="O99" i="30" s="1" a="1"/>
  <c r="O99" i="30" s="1"/>
  <c r="AI102" i="30"/>
  <c r="O102" i="30" s="1" a="1"/>
  <c r="O102" i="30" s="1"/>
  <c r="AI56" i="30"/>
  <c r="O56" i="30" s="1" a="1"/>
  <c r="O56" i="30" s="1"/>
  <c r="AI59" i="30"/>
  <c r="O59" i="30" s="1" a="1"/>
  <c r="O59" i="30" s="1"/>
  <c r="AI64" i="30"/>
  <c r="O64" i="30" s="1" a="1"/>
  <c r="O64" i="30" s="1"/>
  <c r="AI96" i="30"/>
  <c r="O96" i="30" s="1" a="1"/>
  <c r="O96" i="30" s="1"/>
  <c r="AI35" i="30"/>
  <c r="O35" i="30" s="1" a="1"/>
  <c r="O35" i="30" s="1"/>
  <c r="AI40" i="30"/>
  <c r="O40" i="30" s="1" a="1"/>
  <c r="O40" i="30" s="1"/>
  <c r="AI65" i="30"/>
  <c r="O65" i="30" s="1" a="1"/>
  <c r="O65" i="30" s="1"/>
  <c r="AI105" i="30"/>
  <c r="O105" i="30" s="1" a="1"/>
  <c r="O105" i="30" s="1"/>
  <c r="AI49" i="30"/>
  <c r="O49" i="30" s="1" a="1"/>
  <c r="O49" i="30" s="1"/>
  <c r="AI34" i="30"/>
  <c r="O34" i="30" s="1" a="1"/>
  <c r="O34" i="30" s="1"/>
  <c r="AI36" i="30"/>
  <c r="O36" i="30" s="1" a="1"/>
  <c r="O36" i="30" s="1"/>
  <c r="AI20" i="30"/>
  <c r="O20" i="30" s="1" a="1"/>
  <c r="O20" i="30" s="1"/>
  <c r="AI29" i="30"/>
  <c r="O29" i="30" s="1" a="1"/>
  <c r="O29" i="30" s="1"/>
  <c r="AG30" i="9"/>
  <c r="N30" i="9" s="1" a="1"/>
  <c r="N30" i="9" s="1"/>
  <c r="AI91" i="30"/>
  <c r="O91" i="30" s="1" a="1"/>
  <c r="O91" i="30" s="1"/>
  <c r="AI88" i="30"/>
  <c r="O88" i="30" s="1" a="1"/>
  <c r="O88" i="30" s="1"/>
  <c r="AI71" i="30"/>
  <c r="O71" i="30" s="1" a="1"/>
  <c r="O71" i="30" s="1"/>
  <c r="AI70" i="30"/>
  <c r="O70" i="30" s="1" a="1"/>
  <c r="O70" i="30" s="1"/>
  <c r="AI75" i="30"/>
  <c r="O75" i="30" s="1" a="1"/>
  <c r="O75" i="30" s="1"/>
  <c r="AI66" i="30"/>
  <c r="O66" i="30" s="1" a="1"/>
  <c r="O66" i="30" s="1"/>
  <c r="AI15" i="30"/>
  <c r="O15" i="30" s="1" a="1"/>
  <c r="O15" i="30" s="1"/>
  <c r="AI61" i="30"/>
  <c r="O61" i="30" s="1" a="1"/>
  <c r="O61" i="30" s="1"/>
  <c r="AI43" i="30"/>
  <c r="O43" i="30" s="1" a="1"/>
  <c r="O43" i="30" s="1"/>
  <c r="AI41" i="30"/>
  <c r="O41" i="30" s="1" a="1"/>
  <c r="O41" i="30" s="1"/>
  <c r="AI57" i="30"/>
  <c r="O57" i="30" s="1" a="1"/>
  <c r="O57" i="30" s="1"/>
  <c r="AI94" i="30"/>
  <c r="O94" i="30" s="1" a="1"/>
  <c r="O94" i="30" s="1"/>
  <c r="AI37" i="30"/>
  <c r="O37" i="30" s="1" a="1"/>
  <c r="O37" i="30" s="1"/>
  <c r="AI17" i="30"/>
  <c r="O17" i="30" s="1" a="1"/>
  <c r="O17" i="30" s="1"/>
  <c r="AI89" i="30"/>
  <c r="O89" i="30" s="1" a="1"/>
  <c r="O89" i="30" s="1"/>
  <c r="AI81" i="30"/>
  <c r="O81" i="30" s="1" a="1"/>
  <c r="O81" i="30" s="1"/>
  <c r="AI95" i="30"/>
  <c r="O95" i="30" s="1" a="1"/>
  <c r="O95" i="30" s="1"/>
  <c r="AI23" i="30"/>
  <c r="O23" i="30" s="1" a="1"/>
  <c r="O23" i="30" s="1"/>
  <c r="AI22" i="30"/>
  <c r="O22" i="30" s="1" a="1"/>
  <c r="O22" i="30" s="1"/>
  <c r="AI25" i="30"/>
  <c r="O25" i="30" s="1" a="1"/>
  <c r="O25" i="30" s="1"/>
  <c r="AI77" i="30"/>
  <c r="O77" i="30" s="1" a="1"/>
  <c r="O77" i="30" s="1"/>
  <c r="AI107" i="30"/>
  <c r="O107" i="30" s="1" a="1"/>
  <c r="O107" i="30" s="1"/>
  <c r="AI30" i="30"/>
  <c r="O30" i="30" s="1" a="1"/>
  <c r="O30" i="30" s="1"/>
  <c r="AQ74" i="24"/>
  <c r="O74" i="24" s="1" a="1"/>
  <c r="O74" i="24" s="1"/>
  <c r="AI29" i="31"/>
  <c r="O29" i="31" s="1" a="1"/>
  <c r="O29" i="31" s="1"/>
  <c r="AQ106" i="24"/>
  <c r="O106" i="24" s="1" a="1"/>
  <c r="O106" i="24" s="1"/>
  <c r="AD45" i="4"/>
  <c r="K45" i="4" s="1" a="1"/>
  <c r="K45" i="4" s="1"/>
  <c r="AI33" i="30"/>
  <c r="O33" i="30" s="1" a="1"/>
  <c r="O33" i="30" s="1"/>
  <c r="AI27" i="31"/>
  <c r="O27" i="31" s="1" a="1"/>
  <c r="O27" i="31" s="1"/>
  <c r="AI97" i="30"/>
  <c r="O97" i="30" s="1" a="1"/>
  <c r="O97" i="30" s="1"/>
  <c r="AI92" i="30"/>
  <c r="O92" i="30" s="1" a="1"/>
  <c r="O92" i="30" s="1"/>
  <c r="AI80" i="30"/>
  <c r="O80" i="30" s="1" a="1"/>
  <c r="O80" i="30" s="1"/>
  <c r="AI52" i="30"/>
  <c r="O52" i="30" s="1" a="1"/>
  <c r="O52" i="30" s="1"/>
  <c r="AQ33" i="24"/>
  <c r="O33" i="24" s="1" a="1"/>
  <c r="O33" i="24" s="1"/>
  <c r="AQ37" i="24"/>
  <c r="O37" i="24" s="1" a="1"/>
  <c r="O37" i="24" s="1"/>
  <c r="AQ14" i="24"/>
  <c r="O14" i="24" s="1" a="1"/>
  <c r="O14" i="24" s="1"/>
  <c r="AQ13" i="24"/>
  <c r="O13" i="24" s="1" a="1"/>
  <c r="O13" i="24" s="1"/>
  <c r="AI19" i="31"/>
  <c r="O19" i="31" s="1" a="1"/>
  <c r="O19" i="31" s="1"/>
  <c r="AQ79" i="24"/>
  <c r="O79" i="24" s="1" a="1"/>
  <c r="O79" i="24" s="1"/>
  <c r="AQ41" i="24"/>
  <c r="O41" i="24" s="1" a="1"/>
  <c r="O41" i="24" s="1"/>
  <c r="AQ64" i="24"/>
  <c r="O64" i="24" s="1" a="1"/>
  <c r="O64" i="24" s="1"/>
  <c r="AQ80" i="24"/>
  <c r="O80" i="24" s="1" a="1"/>
  <c r="O80" i="24" s="1"/>
  <c r="AQ81" i="24"/>
  <c r="O81" i="24" s="1" a="1"/>
  <c r="O81" i="24" s="1"/>
  <c r="AQ101" i="24"/>
  <c r="O101" i="24" s="1" a="1"/>
  <c r="O101" i="24" s="1"/>
  <c r="AQ22" i="24"/>
  <c r="O22" i="24" s="1" a="1"/>
  <c r="O22" i="24" s="1"/>
  <c r="AQ60" i="24"/>
  <c r="O60" i="24" s="1" a="1"/>
  <c r="O60" i="24" s="1"/>
  <c r="AI44" i="31"/>
  <c r="O44" i="31" s="1" a="1"/>
  <c r="O44" i="31" s="1"/>
  <c r="AQ87" i="24"/>
  <c r="O87" i="24" s="1" a="1"/>
  <c r="O87" i="24" s="1"/>
  <c r="AQ95" i="24"/>
  <c r="O95" i="24" s="1" a="1"/>
  <c r="O95" i="24" s="1"/>
  <c r="AQ54" i="24"/>
  <c r="O54" i="24" s="1" a="1"/>
  <c r="O54" i="24" s="1"/>
  <c r="AI17" i="31"/>
  <c r="O17" i="31" s="1" a="1"/>
  <c r="O17" i="31" s="1"/>
  <c r="AI32" i="31"/>
  <c r="O32" i="31" s="1" a="1"/>
  <c r="O32" i="31" s="1"/>
  <c r="AI39" i="31"/>
  <c r="O39" i="31" s="1" a="1"/>
  <c r="O39" i="31" s="1"/>
  <c r="AI48" i="31"/>
  <c r="O48" i="31" s="1" a="1"/>
  <c r="O48" i="31" s="1"/>
  <c r="AG18" i="9"/>
  <c r="N18" i="9" s="1" a="1"/>
  <c r="N18" i="9" s="1"/>
  <c r="AG49" i="9"/>
  <c r="N49" i="9" s="1" a="1"/>
  <c r="N49" i="9" s="1"/>
  <c r="AG11" i="9"/>
  <c r="N11" i="9" s="1" a="1"/>
  <c r="N11" i="9" s="1"/>
  <c r="AG39" i="9"/>
  <c r="N39" i="9" s="1" a="1"/>
  <c r="N39" i="9" s="1"/>
  <c r="AG38" i="9"/>
  <c r="N38" i="9" s="1" a="1"/>
  <c r="N38" i="9" s="1"/>
  <c r="AI49" i="31"/>
  <c r="O49" i="31" s="1" a="1"/>
  <c r="O49" i="31" s="1"/>
  <c r="AI24" i="31"/>
  <c r="O24" i="31" s="1" a="1"/>
  <c r="O24" i="31" s="1"/>
  <c r="AI30" i="31"/>
  <c r="O30" i="31" s="1" a="1"/>
  <c r="O30" i="31" s="1"/>
  <c r="AD25" i="4"/>
  <c r="K25" i="4" s="1" a="1"/>
  <c r="K25" i="4" s="1"/>
  <c r="AG29" i="9"/>
  <c r="N29" i="9" s="1" a="1"/>
  <c r="N29" i="9" s="1"/>
  <c r="AG40" i="9"/>
  <c r="N40" i="9" s="1" a="1"/>
  <c r="N40" i="9" s="1"/>
  <c r="AG45" i="9"/>
  <c r="N45" i="9" s="1" a="1"/>
  <c r="N45" i="9" s="1"/>
  <c r="AG44" i="9"/>
  <c r="N44" i="9" s="1" a="1"/>
  <c r="N44" i="9" s="1"/>
  <c r="AG23" i="9"/>
  <c r="N23" i="9" s="1" a="1"/>
  <c r="N23" i="9" s="1"/>
  <c r="AD10" i="4"/>
  <c r="K10" i="4" s="1" a="1"/>
  <c r="K10" i="4" s="1"/>
  <c r="AG50" i="9"/>
  <c r="N50" i="9" s="1" a="1"/>
  <c r="N50" i="9" s="1"/>
  <c r="AI41" i="31"/>
  <c r="O41" i="31" s="1" a="1"/>
  <c r="O41" i="31" s="1"/>
  <c r="AI20" i="31"/>
  <c r="O20" i="31" s="1" a="1"/>
  <c r="O20" i="31" s="1"/>
  <c r="AI36" i="31"/>
  <c r="O36" i="31" s="1" a="1"/>
  <c r="O36" i="31" s="1"/>
  <c r="AI42" i="31"/>
  <c r="O42" i="31" s="1" a="1"/>
  <c r="O42" i="31" s="1"/>
  <c r="AD33" i="4"/>
  <c r="K33" i="4" s="1" a="1"/>
  <c r="K33" i="4" s="1"/>
  <c r="AG15" i="9"/>
  <c r="N15" i="9" s="1" a="1"/>
  <c r="N15" i="9" s="1"/>
  <c r="AG27" i="9"/>
  <c r="N27" i="9" s="1" a="1"/>
  <c r="N27" i="9" s="1"/>
  <c r="AG51" i="9"/>
  <c r="N51" i="9" s="1" a="1"/>
  <c r="N51" i="9" s="1"/>
  <c r="AG35" i="9"/>
  <c r="N35" i="9" s="1" a="1"/>
  <c r="N35" i="9" s="1"/>
  <c r="AG9" i="9"/>
  <c r="N9" i="9" s="1" a="1"/>
  <c r="N9" i="9" s="1"/>
  <c r="AD18" i="4"/>
  <c r="K18" i="4" s="1" a="1"/>
  <c r="K18" i="4" s="1"/>
  <c r="AD17" i="4"/>
  <c r="K17" i="4" s="1" a="1"/>
  <c r="K17" i="4" s="1"/>
  <c r="AD46" i="4"/>
  <c r="K46" i="4" s="1" a="1"/>
  <c r="K46" i="4" s="1"/>
  <c r="AD20" i="4"/>
  <c r="K20" i="4" s="1" a="1"/>
  <c r="K20" i="4" s="1"/>
  <c r="AD22" i="4"/>
  <c r="K22" i="4" s="1" a="1"/>
  <c r="K22" i="4" s="1"/>
  <c r="AD30" i="4"/>
  <c r="K30" i="4" s="1" a="1"/>
  <c r="K30" i="4" s="1"/>
  <c r="AD38" i="4"/>
  <c r="K38" i="4" s="1" a="1"/>
  <c r="K38" i="4" s="1"/>
  <c r="AG25" i="9"/>
  <c r="N25" i="9" s="1" a="1"/>
  <c r="N25" i="9" s="1"/>
  <c r="AG36" i="9"/>
  <c r="N36" i="9" s="1" a="1"/>
  <c r="N36" i="9" s="1"/>
  <c r="AD32" i="4"/>
  <c r="K32" i="4" s="1" a="1"/>
  <c r="K32" i="4" s="1"/>
  <c r="AD40" i="4"/>
  <c r="K40" i="4" s="1" a="1"/>
  <c r="K40" i="4" s="1"/>
  <c r="AD27" i="4"/>
  <c r="K27" i="4" s="1" a="1"/>
  <c r="K27" i="4" s="1"/>
  <c r="AD29" i="4"/>
  <c r="K29" i="4" s="1" a="1"/>
  <c r="K29" i="4" s="1"/>
  <c r="AD26" i="4"/>
  <c r="K26" i="4" s="1" a="1"/>
  <c r="K26" i="4" s="1"/>
  <c r="AD28" i="4"/>
  <c r="K28" i="4" s="1" a="1"/>
  <c r="K28" i="4" s="1"/>
  <c r="AD16" i="4"/>
  <c r="K16" i="4" s="1" a="1"/>
  <c r="K16" i="4" s="1"/>
  <c r="AD35" i="4"/>
  <c r="K35" i="4" s="1" a="1"/>
  <c r="K35" i="4" s="1"/>
  <c r="AD43" i="4"/>
  <c r="K43" i="4" s="1" a="1"/>
  <c r="K43" i="4" s="1"/>
  <c r="AG34" i="9"/>
  <c r="N34" i="9" s="1" a="1"/>
  <c r="N34" i="9" s="1"/>
  <c r="AG24" i="9"/>
  <c r="N24" i="9" s="1" a="1"/>
  <c r="N24" i="9" s="1"/>
  <c r="AG10" i="9"/>
  <c r="N10" i="9" s="1" a="1"/>
  <c r="N10" i="9" s="1"/>
  <c r="AG19" i="9"/>
  <c r="N19" i="9" s="1" a="1"/>
  <c r="N19" i="9" s="1"/>
  <c r="AG46" i="9"/>
  <c r="N46" i="9" s="1" a="1"/>
  <c r="N46" i="9" s="1"/>
  <c r="AG22" i="9"/>
  <c r="N22" i="9" s="1" a="1"/>
  <c r="N22" i="9" s="1"/>
  <c r="AG52" i="9"/>
  <c r="N52" i="9" s="1" a="1"/>
  <c r="N52" i="9" s="1"/>
  <c r="AG41" i="9"/>
  <c r="N41" i="9" s="1" a="1"/>
  <c r="N41" i="9" s="1"/>
  <c r="AG32" i="9"/>
  <c r="N32" i="9" s="1" a="1"/>
  <c r="N32" i="9" s="1"/>
  <c r="AG47" i="9"/>
  <c r="N47" i="9" s="1" a="1"/>
  <c r="N47" i="9" s="1"/>
  <c r="AG17" i="9"/>
  <c r="N17" i="9" s="1" a="1"/>
  <c r="N17" i="9" s="1"/>
  <c r="AD31" i="4"/>
  <c r="K31" i="4" s="1" a="1"/>
  <c r="K31" i="4" s="1"/>
  <c r="AD36" i="4"/>
  <c r="K36" i="4" s="1" a="1"/>
  <c r="K36" i="4" s="1"/>
  <c r="AD11" i="4"/>
  <c r="K11" i="4" s="1" a="1"/>
  <c r="K11" i="4" s="1"/>
  <c r="AD14" i="4"/>
  <c r="K14" i="4" s="1" a="1"/>
  <c r="K14" i="4" s="1"/>
  <c r="AD44" i="4"/>
  <c r="K44" i="4" s="1" a="1"/>
  <c r="K44" i="4" s="1"/>
  <c r="AD12" i="4"/>
  <c r="K12" i="4" s="1" a="1"/>
  <c r="K12" i="4" s="1"/>
  <c r="AD21" i="4"/>
  <c r="K21" i="4" s="1" a="1"/>
  <c r="K21" i="4" s="1"/>
  <c r="AD24" i="4"/>
  <c r="K24" i="4" s="1" a="1"/>
  <c r="K24" i="4" s="1"/>
  <c r="AD42" i="4"/>
  <c r="K42" i="4" s="1" a="1"/>
  <c r="K42" i="4" s="1"/>
  <c r="AD23" i="4"/>
  <c r="K23" i="4" s="1" a="1"/>
  <c r="K23" i="4" s="1"/>
  <c r="AG28" i="9"/>
  <c r="N28" i="9" s="1" a="1"/>
  <c r="N28" i="9" s="1"/>
  <c r="AG16" i="9"/>
  <c r="N16" i="9" s="1" a="1"/>
  <c r="N16" i="9" s="1"/>
  <c r="AG48" i="9"/>
  <c r="N48" i="9" s="1" a="1"/>
  <c r="N48" i="9" s="1"/>
  <c r="AQ96" i="24"/>
  <c r="O96" i="24" s="1" a="1"/>
  <c r="O96" i="24" s="1"/>
  <c r="AQ69" i="24"/>
  <c r="O69" i="24" s="1" a="1"/>
  <c r="O69" i="24" s="1"/>
  <c r="AQ42" i="24"/>
  <c r="O42" i="24" s="1" a="1"/>
  <c r="O42" i="24" s="1"/>
  <c r="AQ86" i="24"/>
  <c r="O86" i="24" s="1" a="1"/>
  <c r="O86" i="24" s="1"/>
  <c r="AQ21" i="24"/>
  <c r="O21" i="24" s="1" a="1"/>
  <c r="O21" i="24" s="1"/>
  <c r="AQ102" i="24"/>
  <c r="O102" i="24" s="1" a="1"/>
  <c r="O102" i="24" s="1"/>
  <c r="AQ35" i="24"/>
  <c r="O35" i="24" s="1" a="1"/>
  <c r="O35" i="24" s="1"/>
  <c r="AQ111" i="24"/>
  <c r="O111" i="24" s="1" a="1"/>
  <c r="O111" i="24" s="1"/>
  <c r="AQ112" i="24"/>
  <c r="O112" i="24" s="1" a="1"/>
  <c r="O112" i="24" s="1"/>
  <c r="AQ85" i="24"/>
  <c r="O85" i="24" s="1" a="1"/>
  <c r="O85" i="24" s="1"/>
  <c r="AQ70" i="24"/>
  <c r="O70" i="24" s="1" a="1"/>
  <c r="O70" i="24" s="1"/>
  <c r="AQ83" i="24"/>
  <c r="O83" i="24" s="1" a="1"/>
  <c r="O83" i="24" s="1"/>
  <c r="AQ65" i="24"/>
  <c r="O65" i="24" s="1" a="1"/>
  <c r="O65" i="24" s="1"/>
  <c r="AQ99" i="24"/>
  <c r="O99" i="24" s="1" a="1"/>
  <c r="O99" i="24" s="1"/>
  <c r="AQ55" i="24"/>
  <c r="O55" i="24" s="1" a="1"/>
  <c r="O55" i="24" s="1"/>
  <c r="AQ25" i="24"/>
  <c r="O25" i="24" s="1" a="1"/>
  <c r="O25" i="24" s="1"/>
  <c r="AQ71" i="24"/>
  <c r="O71" i="24" s="1" a="1"/>
  <c r="O71" i="24" s="1"/>
  <c r="AQ89" i="24"/>
  <c r="O89" i="24" s="1" a="1"/>
  <c r="O89" i="24" s="1"/>
  <c r="AQ93" i="24"/>
  <c r="O93" i="24" s="1" a="1"/>
  <c r="O93" i="24" s="1"/>
  <c r="AQ27" i="24"/>
  <c r="O27" i="24" s="1" a="1"/>
  <c r="O27" i="24" s="1"/>
  <c r="AQ104" i="24"/>
  <c r="O104" i="24" s="1" a="1"/>
  <c r="O104" i="24" s="1"/>
  <c r="AQ98" i="24"/>
  <c r="O98" i="24" s="1" a="1"/>
  <c r="O98" i="24" s="1"/>
  <c r="AQ30" i="24"/>
  <c r="O30" i="24" s="1" a="1"/>
  <c r="O30" i="24" s="1"/>
  <c r="AQ68" i="24"/>
  <c r="O68" i="24" s="1" a="1"/>
  <c r="O68" i="24" s="1"/>
  <c r="AQ23" i="24"/>
  <c r="O23" i="24" s="1" a="1"/>
  <c r="O23" i="24" s="1"/>
  <c r="AQ75" i="24"/>
  <c r="O75" i="24" s="1" a="1"/>
  <c r="O75" i="24" s="1"/>
  <c r="AQ88" i="24"/>
  <c r="O88" i="24" s="1" a="1"/>
  <c r="O88" i="24" s="1"/>
  <c r="AQ105" i="24"/>
  <c r="O105" i="24" s="1" a="1"/>
  <c r="O105" i="24" s="1"/>
  <c r="AQ84" i="24"/>
  <c r="O84" i="24" s="1" a="1"/>
  <c r="O84" i="24" s="1"/>
  <c r="AQ76" i="24"/>
  <c r="O76" i="24" s="1" a="1"/>
  <c r="O76" i="24" s="1"/>
  <c r="AQ24" i="24"/>
  <c r="O24" i="24" s="1" a="1"/>
  <c r="O24" i="24" s="1"/>
  <c r="AQ97" i="24"/>
  <c r="O97" i="24" s="1" a="1"/>
  <c r="O97" i="24" s="1"/>
  <c r="AQ59" i="24"/>
  <c r="O59" i="24" s="1" a="1"/>
  <c r="O59" i="24" s="1"/>
  <c r="AQ45" i="24"/>
  <c r="O45" i="24" s="1" a="1"/>
  <c r="O45" i="24" s="1"/>
  <c r="AQ19" i="24"/>
  <c r="O19" i="24" s="1" a="1"/>
  <c r="O19" i="24" s="1"/>
  <c r="AQ20" i="24"/>
  <c r="O20" i="24" s="1" a="1"/>
  <c r="O20" i="24" s="1"/>
  <c r="AQ58" i="24"/>
  <c r="O58" i="24" s="1" a="1"/>
  <c r="O58" i="24" s="1"/>
  <c r="AQ18" i="24"/>
  <c r="O18" i="24" s="1" a="1"/>
  <c r="O18" i="24" s="1"/>
  <c r="AQ77" i="24"/>
  <c r="O77" i="24" s="1" a="1"/>
  <c r="O77" i="24" s="1"/>
  <c r="AQ109" i="24"/>
  <c r="O109" i="24" s="1" a="1"/>
  <c r="O109" i="24" s="1"/>
  <c r="AQ48" i="24"/>
  <c r="O48" i="24" s="1" a="1"/>
  <c r="O48" i="24" s="1"/>
  <c r="AQ82" i="24"/>
  <c r="O82" i="24" s="1" a="1"/>
  <c r="O82" i="24" s="1"/>
  <c r="AQ114" i="24"/>
  <c r="O114" i="24" s="1" a="1"/>
  <c r="O114" i="24" s="1"/>
  <c r="AQ61" i="24"/>
  <c r="O61" i="24" s="1" a="1"/>
  <c r="O61" i="24" s="1"/>
  <c r="AQ15" i="24"/>
  <c r="O15" i="24" s="1" a="1"/>
  <c r="O15" i="24" s="1"/>
  <c r="AQ53" i="24"/>
  <c r="O53" i="24" s="1" a="1"/>
  <c r="O53" i="24" s="1"/>
  <c r="AQ92" i="24"/>
  <c r="O92" i="24" s="1" a="1"/>
  <c r="O92" i="24" s="1"/>
  <c r="AQ108" i="24"/>
  <c r="O108" i="24" s="1" a="1"/>
  <c r="O108" i="24" s="1"/>
  <c r="AQ11" i="24"/>
  <c r="O11" i="24" s="1" a="1"/>
  <c r="O11" i="24" s="1"/>
  <c r="AQ47" i="24"/>
  <c r="O47" i="24" s="1" a="1"/>
  <c r="O47" i="24" s="1"/>
  <c r="AQ44" i="24"/>
  <c r="O44" i="24" s="1" a="1"/>
  <c r="O44" i="24" s="1"/>
  <c r="AQ100" i="24"/>
  <c r="O100" i="24" s="1" a="1"/>
  <c r="O100" i="24" s="1"/>
  <c r="AQ29" i="24"/>
  <c r="O29" i="24" s="1" a="1"/>
  <c r="O29" i="24" s="1"/>
  <c r="AQ62" i="24"/>
  <c r="O62" i="24" s="1" a="1"/>
  <c r="O62" i="24" s="1"/>
  <c r="AQ43" i="24"/>
  <c r="O43" i="24" s="1" a="1"/>
  <c r="O43" i="24" s="1"/>
  <c r="AQ94" i="24"/>
  <c r="O94" i="24" s="1" a="1"/>
  <c r="O94" i="24" s="1"/>
  <c r="AL3" i="7"/>
  <c r="BW155" i="7" s="1"/>
  <c r="BT156" i="7" s="1"/>
  <c r="AQ110" i="24"/>
  <c r="O110" i="24" s="1" a="1"/>
  <c r="O110" i="24" s="1"/>
  <c r="AQ103" i="24"/>
  <c r="O103" i="24" s="1" a="1"/>
  <c r="O103" i="24" s="1"/>
  <c r="AQ57" i="24"/>
  <c r="O57" i="24" s="1" a="1"/>
  <c r="O57" i="24" s="1"/>
  <c r="AQ12" i="24"/>
  <c r="O12" i="24" s="1" a="1"/>
  <c r="O12" i="24" s="1"/>
  <c r="AQ113" i="24"/>
  <c r="O113" i="24" s="1" a="1"/>
  <c r="O113" i="24" s="1"/>
  <c r="AQ66" i="24"/>
  <c r="O66" i="24" s="1" a="1"/>
  <c r="O66" i="24" s="1"/>
  <c r="AQ34" i="24"/>
  <c r="O34" i="24" s="1" a="1"/>
  <c r="O34" i="24" s="1"/>
  <c r="AQ107" i="24"/>
  <c r="O107" i="24" s="1" a="1"/>
  <c r="O107" i="24" s="1"/>
  <c r="AQ38" i="24"/>
  <c r="O38" i="24" s="1" a="1"/>
  <c r="O38" i="24" s="1"/>
  <c r="AQ78" i="24"/>
  <c r="O78" i="24" s="1" a="1"/>
  <c r="O78" i="24" s="1"/>
  <c r="AQ36" i="24"/>
  <c r="O36" i="24" s="1" a="1"/>
  <c r="O36" i="24" s="1"/>
  <c r="AQ67" i="24"/>
  <c r="O67" i="24" s="1" a="1"/>
  <c r="O67" i="24" s="1"/>
  <c r="AQ50" i="24"/>
  <c r="O50" i="24" s="1" a="1"/>
  <c r="O50" i="24" s="1"/>
  <c r="AI16" i="27"/>
  <c r="O16" i="27" s="1" a="1"/>
  <c r="O16" i="27" s="1"/>
  <c r="AI34" i="27"/>
  <c r="O34" i="27" s="1" a="1"/>
  <c r="O34" i="27" s="1"/>
  <c r="AI12" i="27"/>
  <c r="O12" i="27" s="1" a="1"/>
  <c r="O12" i="27" s="1"/>
  <c r="AI37" i="27"/>
  <c r="O37" i="27" s="1" a="1"/>
  <c r="O37" i="27" s="1"/>
  <c r="AI18" i="27"/>
  <c r="O18" i="27" s="1" a="1"/>
  <c r="O18" i="27" s="1"/>
  <c r="AI40" i="27"/>
  <c r="O40" i="27" s="1" a="1"/>
  <c r="O40" i="27" s="1"/>
  <c r="AI36" i="27"/>
  <c r="O36" i="27" s="1" a="1"/>
  <c r="O36" i="27" s="1"/>
  <c r="AI39" i="27"/>
  <c r="O39" i="27" s="1" a="1"/>
  <c r="O39" i="27" s="1"/>
  <c r="AI20" i="27"/>
  <c r="O20" i="27" s="1" a="1"/>
  <c r="O20" i="27" s="1"/>
  <c r="AI38" i="27"/>
  <c r="O38" i="27" s="1" a="1"/>
  <c r="O38" i="27" s="1"/>
  <c r="AI19" i="27"/>
  <c r="O19" i="27" s="1" a="1"/>
  <c r="O19" i="27" s="1"/>
  <c r="AI41" i="27"/>
  <c r="O41" i="27" s="1" a="1"/>
  <c r="O41" i="27" s="1"/>
  <c r="AI24" i="27"/>
  <c r="O24" i="27" s="1" a="1"/>
  <c r="O24" i="27" s="1"/>
  <c r="AI27" i="27"/>
  <c r="O27" i="27" s="1" a="1"/>
  <c r="O27" i="27" s="1"/>
  <c r="AI10" i="27"/>
  <c r="AI43" i="27"/>
  <c r="O43" i="27" s="1" a="1"/>
  <c r="O43" i="27" s="1"/>
  <c r="AI26" i="27"/>
  <c r="O26" i="27" s="1" a="1"/>
  <c r="O26" i="27" s="1"/>
  <c r="AI42" i="27"/>
  <c r="O42" i="27" s="1" a="1"/>
  <c r="O42" i="27" s="1"/>
  <c r="AI25" i="27"/>
  <c r="O25" i="27" s="1" a="1"/>
  <c r="O25" i="27" s="1"/>
  <c r="AI47" i="27"/>
  <c r="O47" i="27" s="1" a="1"/>
  <c r="O47" i="27" s="1"/>
  <c r="AI28" i="27"/>
  <c r="O28" i="27" s="1" a="1"/>
  <c r="O28" i="27" s="1"/>
  <c r="AI44" i="27"/>
  <c r="O44" i="27" s="1" a="1"/>
  <c r="O44" i="27" s="1"/>
  <c r="AI50" i="27"/>
  <c r="O50" i="27" s="1" a="1"/>
  <c r="O50" i="27" s="1"/>
  <c r="AI17" i="27"/>
  <c r="O17" i="27" s="1" a="1"/>
  <c r="O17" i="27" s="1"/>
  <c r="AI49" i="27"/>
  <c r="O49" i="27" s="1" a="1"/>
  <c r="O49" i="27" s="1"/>
  <c r="AI30" i="27"/>
  <c r="O30" i="27" s="1" a="1"/>
  <c r="O30" i="27" s="1"/>
  <c r="AI48" i="27"/>
  <c r="O48" i="27" s="1" a="1"/>
  <c r="O48" i="27" s="1"/>
  <c r="AI29" i="27"/>
  <c r="O29" i="27" s="1" a="1"/>
  <c r="O29" i="27" s="1"/>
  <c r="AI51" i="27"/>
  <c r="O51" i="27" s="1" a="1"/>
  <c r="O51" i="27" s="1"/>
  <c r="AI32" i="27"/>
  <c r="O32" i="27" s="1" a="1"/>
  <c r="O32" i="27" s="1"/>
  <c r="AI11" i="27"/>
  <c r="O11" i="27" s="1" a="1"/>
  <c r="O11" i="27" s="1"/>
  <c r="AI23" i="27"/>
  <c r="O23" i="27" s="1" a="1"/>
  <c r="O23" i="27" s="1"/>
  <c r="AI31" i="27"/>
  <c r="O31" i="27" s="1" a="1"/>
  <c r="O31" i="27" s="1"/>
  <c r="AQ48" i="25"/>
  <c r="O48" i="25" s="1" a="1"/>
  <c r="O48" i="25" s="1"/>
  <c r="AQ29" i="25"/>
  <c r="O29" i="25" s="1" a="1"/>
  <c r="O29" i="25" s="1"/>
  <c r="AQ51" i="25"/>
  <c r="O51" i="25" s="1" a="1"/>
  <c r="O51" i="25" s="1"/>
  <c r="AQ32" i="25"/>
  <c r="O32" i="25" s="1" a="1"/>
  <c r="O32" i="25" s="1"/>
  <c r="AQ11" i="25"/>
  <c r="O11" i="25" s="1" a="1"/>
  <c r="O11" i="25" s="1"/>
  <c r="AQ36" i="25"/>
  <c r="O36" i="25" s="1" a="1"/>
  <c r="O36" i="25" s="1"/>
  <c r="AQ17" i="25"/>
  <c r="O17" i="25" s="1" a="1"/>
  <c r="O17" i="25" s="1"/>
  <c r="AQ43" i="25"/>
  <c r="O43" i="25" s="1" a="1"/>
  <c r="O43" i="25" s="1"/>
  <c r="AQ35" i="25"/>
  <c r="O35" i="25" s="1" a="1"/>
  <c r="O35" i="25" s="1"/>
  <c r="AQ52" i="25"/>
  <c r="O52" i="25" s="1" a="1"/>
  <c r="O52" i="25" s="1"/>
  <c r="AQ34" i="25"/>
  <c r="O34" i="25" s="1" a="1"/>
  <c r="O34" i="25" s="1"/>
  <c r="AQ12" i="25"/>
  <c r="O12" i="25" s="1" a="1"/>
  <c r="O12" i="25" s="1"/>
  <c r="AQ38" i="25"/>
  <c r="O38" i="25" s="1" a="1"/>
  <c r="O38" i="25" s="1"/>
  <c r="AQ19" i="25"/>
  <c r="O19" i="25" s="1" a="1"/>
  <c r="O19" i="25" s="1"/>
  <c r="AQ41" i="25"/>
  <c r="O41" i="25" s="1" a="1"/>
  <c r="O41" i="25" s="1"/>
  <c r="AQ24" i="25"/>
  <c r="O24" i="25" s="1" a="1"/>
  <c r="O24" i="25" s="1"/>
  <c r="AQ44" i="25"/>
  <c r="O44" i="25" s="1" a="1"/>
  <c r="O44" i="25" s="1"/>
  <c r="AQ27" i="25"/>
  <c r="O27" i="25" s="1" a="1"/>
  <c r="O27" i="25" s="1"/>
  <c r="AQ49" i="25"/>
  <c r="O49" i="25" s="1" a="1"/>
  <c r="O49" i="25" s="1"/>
  <c r="AQ16" i="25"/>
  <c r="O16" i="25" s="1" a="1"/>
  <c r="O16" i="25" s="1"/>
  <c r="AQ42" i="25"/>
  <c r="O42" i="25" s="1" a="1"/>
  <c r="O42" i="25" s="1"/>
  <c r="AQ25" i="25"/>
  <c r="O25" i="25" s="1" a="1"/>
  <c r="O25" i="25" s="1"/>
  <c r="AQ45" i="25"/>
  <c r="O45" i="25" s="1" a="1"/>
  <c r="O45" i="25" s="1"/>
  <c r="AQ28" i="25"/>
  <c r="O28" i="25" s="1" a="1"/>
  <c r="O28" i="25" s="1"/>
  <c r="AQ50" i="25"/>
  <c r="O50" i="25" s="1" a="1"/>
  <c r="O50" i="25" s="1"/>
  <c r="AQ31" i="25"/>
  <c r="O31" i="25" s="1" a="1"/>
  <c r="O31" i="25" s="1"/>
  <c r="AQ10" i="25"/>
  <c r="AQ26" i="25"/>
  <c r="O26" i="25" s="1" a="1"/>
  <c r="O26" i="25" s="1"/>
  <c r="AQ20" i="25"/>
  <c r="O20" i="25" s="1" a="1"/>
  <c r="O20" i="25" s="1"/>
  <c r="AQ23" i="25"/>
  <c r="O23" i="25" s="1" a="1"/>
  <c r="O23" i="25" s="1"/>
  <c r="AQ40" i="25"/>
  <c r="O40" i="25" s="1" a="1"/>
  <c r="O40" i="25" s="1"/>
  <c r="AQ18" i="25"/>
  <c r="O18" i="25" s="1" a="1"/>
  <c r="O18" i="25" s="1"/>
  <c r="AQ39" i="25"/>
  <c r="O39" i="25" s="1" a="1"/>
  <c r="O39" i="25" s="1"/>
  <c r="AQ37" i="25"/>
  <c r="O37" i="25" s="1" a="1"/>
  <c r="O37" i="25" s="1"/>
  <c r="AQ30" i="25"/>
  <c r="O30" i="25" s="1" a="1"/>
  <c r="O30" i="25" s="1"/>
  <c r="AH105" i="1"/>
  <c r="N105" i="1" s="1" a="1"/>
  <c r="N105" i="1" s="1"/>
  <c r="AH89" i="1"/>
  <c r="N89" i="1" s="1" a="1"/>
  <c r="N89" i="1" s="1"/>
  <c r="AH70" i="1"/>
  <c r="N70" i="1" s="1" a="1"/>
  <c r="N70" i="1" s="1"/>
  <c r="AH50" i="1"/>
  <c r="N50" i="1" s="1" a="1"/>
  <c r="N50" i="1" s="1"/>
  <c r="AH101" i="1"/>
  <c r="N101" i="1" s="1" a="1"/>
  <c r="N101" i="1" s="1"/>
  <c r="AH85" i="1"/>
  <c r="N85" i="1" s="1" a="1"/>
  <c r="N85" i="1" s="1"/>
  <c r="AH66" i="1"/>
  <c r="N66" i="1" s="1" a="1"/>
  <c r="N66" i="1" s="1"/>
  <c r="AH43" i="1"/>
  <c r="N43" i="1" s="1" a="1"/>
  <c r="N43" i="1" s="1"/>
  <c r="AH21" i="1"/>
  <c r="N21" i="1" s="1" a="1"/>
  <c r="N21" i="1" s="1"/>
  <c r="AH104" i="1"/>
  <c r="N104" i="1" s="1" a="1"/>
  <c r="N104" i="1" s="1"/>
  <c r="AH80" i="1"/>
  <c r="N80" i="1" s="1" a="1"/>
  <c r="N80" i="1" s="1"/>
  <c r="AH56" i="1"/>
  <c r="N56" i="1" s="1" a="1"/>
  <c r="N56" i="1" s="1"/>
  <c r="AH25" i="1"/>
  <c r="N25" i="1" s="1" a="1"/>
  <c r="N25" i="1" s="1"/>
  <c r="AH61" i="1"/>
  <c r="N61" i="1" s="1" a="1"/>
  <c r="N61" i="1" s="1"/>
  <c r="AH108" i="1"/>
  <c r="N108" i="1" s="1" a="1"/>
  <c r="N108" i="1" s="1"/>
  <c r="AH79" i="1"/>
  <c r="N79" i="1" s="1" a="1"/>
  <c r="N79" i="1" s="1"/>
  <c r="AH39" i="1"/>
  <c r="N39" i="1" s="1" a="1"/>
  <c r="N39" i="1" s="1"/>
  <c r="AH107" i="1"/>
  <c r="N107" i="1" s="1" a="1"/>
  <c r="N107" i="1" s="1"/>
  <c r="AH86" i="1"/>
  <c r="N86" i="1" s="1" a="1"/>
  <c r="N86" i="1" s="1"/>
  <c r="AH58" i="1"/>
  <c r="N58" i="1" s="1" a="1"/>
  <c r="N58" i="1" s="1"/>
  <c r="AH30" i="1"/>
  <c r="N30" i="1" s="1" a="1"/>
  <c r="N30" i="1" s="1"/>
  <c r="AH111" i="1"/>
  <c r="N111" i="1" s="1" a="1"/>
  <c r="N111" i="1" s="1"/>
  <c r="AH90" i="1"/>
  <c r="N90" i="1" s="1" a="1"/>
  <c r="N90" i="1" s="1"/>
  <c r="AH65" i="1"/>
  <c r="N65" i="1" s="1" a="1"/>
  <c r="N65" i="1" s="1"/>
  <c r="AH34" i="1"/>
  <c r="N34" i="1" s="1" a="1"/>
  <c r="N34" i="1" s="1"/>
  <c r="AH97" i="1"/>
  <c r="N97" i="1" s="1" a="1"/>
  <c r="N97" i="1" s="1"/>
  <c r="AH60" i="1"/>
  <c r="N60" i="1" s="1" a="1"/>
  <c r="N60" i="1" s="1"/>
  <c r="AH32" i="1"/>
  <c r="N32" i="1" s="1" a="1"/>
  <c r="N32" i="1" s="1"/>
  <c r="AH99" i="1"/>
  <c r="N99" i="1" s="1" a="1"/>
  <c r="N99" i="1" s="1"/>
  <c r="AH88" i="1"/>
  <c r="N88" i="1" s="1" a="1"/>
  <c r="N88" i="1" s="1"/>
  <c r="AH40" i="1"/>
  <c r="N40" i="1" s="1" a="1"/>
  <c r="N40" i="1" s="1"/>
  <c r="AH46" i="1"/>
  <c r="N46" i="1" s="1" a="1"/>
  <c r="N46" i="1" s="1"/>
  <c r="AH18" i="1"/>
  <c r="N18" i="1" s="1" a="1"/>
  <c r="N18" i="1" s="1"/>
  <c r="AH68" i="1"/>
  <c r="N68" i="1" s="1" a="1"/>
  <c r="N68" i="1" s="1"/>
  <c r="AH102" i="1"/>
  <c r="N102" i="1" s="1" a="1"/>
  <c r="N102" i="1" s="1"/>
  <c r="AH91" i="1"/>
  <c r="N91" i="1" s="1" a="1"/>
  <c r="N91" i="1" s="1"/>
  <c r="AH44" i="1"/>
  <c r="N44" i="1" s="1" a="1"/>
  <c r="N44" i="1" s="1"/>
  <c r="AH106" i="1"/>
  <c r="N106" i="1" s="1" a="1"/>
  <c r="N106" i="1" s="1"/>
  <c r="AH95" i="1"/>
  <c r="N95" i="1" s="1" a="1"/>
  <c r="N95" i="1" s="1"/>
  <c r="AH51" i="1"/>
  <c r="N51" i="1" s="1" a="1"/>
  <c r="N51" i="1" s="1"/>
  <c r="AH93" i="1"/>
  <c r="N93" i="1" s="1" a="1"/>
  <c r="N93" i="1" s="1"/>
  <c r="AH55" i="1"/>
  <c r="N55" i="1" s="1" a="1"/>
  <c r="N55" i="1" s="1"/>
  <c r="AH12" i="1"/>
  <c r="N12" i="1" s="1" a="1"/>
  <c r="N12" i="1" s="1"/>
  <c r="AH75" i="1"/>
  <c r="N75" i="1" s="1" a="1"/>
  <c r="N75" i="1" s="1"/>
  <c r="AH62" i="1"/>
  <c r="N62" i="1" s="1" a="1"/>
  <c r="N62" i="1" s="1"/>
  <c r="AH13" i="1"/>
  <c r="N13" i="1" s="1" a="1"/>
  <c r="N13" i="1" s="1"/>
  <c r="AH103" i="1"/>
  <c r="N103" i="1" s="1" a="1"/>
  <c r="N103" i="1" s="1"/>
  <c r="AH92" i="1"/>
  <c r="N92" i="1" s="1" a="1"/>
  <c r="N92" i="1" s="1"/>
  <c r="AH11" i="1"/>
  <c r="N11" i="1" s="1" a="1"/>
  <c r="N11" i="1" s="1"/>
  <c r="AH77" i="1"/>
  <c r="N77" i="1" s="1" a="1"/>
  <c r="N77" i="1" s="1"/>
  <c r="AH67" i="1"/>
  <c r="N67" i="1" s="1" a="1"/>
  <c r="N67" i="1" s="1"/>
  <c r="AH16" i="1"/>
  <c r="N16" i="1" s="1" a="1"/>
  <c r="N16" i="1" s="1"/>
  <c r="AH84" i="1"/>
  <c r="N84" i="1" s="1" a="1"/>
  <c r="N84" i="1" s="1"/>
  <c r="AH71" i="1"/>
  <c r="N71" i="1" s="1" a="1"/>
  <c r="N71" i="1" s="1"/>
  <c r="AH20" i="1"/>
  <c r="N20" i="1" s="1" a="1"/>
  <c r="N20" i="1" s="1"/>
  <c r="AH113" i="1"/>
  <c r="N113" i="1" s="1" a="1"/>
  <c r="N113" i="1" s="1"/>
  <c r="AH78" i="1"/>
  <c r="N78" i="1" s="1" a="1"/>
  <c r="N78" i="1" s="1"/>
  <c r="AH38" i="1"/>
  <c r="N38" i="1" s="1" a="1"/>
  <c r="N38" i="1" s="1"/>
  <c r="AH26" i="1"/>
  <c r="N26" i="1" s="1" a="1"/>
  <c r="N26" i="1" s="1"/>
  <c r="AH94" i="1"/>
  <c r="N94" i="1" s="1" a="1"/>
  <c r="N94" i="1" s="1"/>
  <c r="AH49" i="1"/>
  <c r="N49" i="1" s="1" a="1"/>
  <c r="N49" i="1" s="1"/>
  <c r="AH33" i="1"/>
  <c r="N33" i="1" s="1" a="1"/>
  <c r="N33" i="1" s="1"/>
  <c r="AH31" i="1"/>
  <c r="N31" i="1" s="1" a="1"/>
  <c r="N31" i="1" s="1"/>
  <c r="AH73" i="1"/>
  <c r="N73" i="1" s="1" a="1"/>
  <c r="N73" i="1" s="1"/>
  <c r="AH54" i="1"/>
  <c r="N54" i="1" s="1" a="1"/>
  <c r="N54" i="1" s="1"/>
  <c r="AH96" i="1"/>
  <c r="N96" i="1" s="1" a="1"/>
  <c r="N96" i="1" s="1"/>
  <c r="AH53" i="1"/>
  <c r="N53" i="1" s="1" a="1"/>
  <c r="N53" i="1" s="1"/>
  <c r="AH37" i="1"/>
  <c r="N37" i="1" s="1" a="1"/>
  <c r="N37" i="1" s="1"/>
  <c r="AH100" i="1"/>
  <c r="N100" i="1" s="1" a="1"/>
  <c r="N100" i="1" s="1"/>
  <c r="AH57" i="1"/>
  <c r="N57" i="1" s="1" a="1"/>
  <c r="N57" i="1" s="1"/>
  <c r="AH41" i="1"/>
  <c r="N41" i="1" s="1" a="1"/>
  <c r="N41" i="1" s="1"/>
  <c r="AH109" i="1"/>
  <c r="N109" i="1" s="1" a="1"/>
  <c r="N109" i="1" s="1"/>
  <c r="AH74" i="1"/>
  <c r="N74" i="1" s="1" a="1"/>
  <c r="N74" i="1" s="1"/>
  <c r="AH17" i="1"/>
  <c r="N17" i="1" s="1" a="1"/>
  <c r="N17" i="1" s="1"/>
  <c r="AH110" i="1"/>
  <c r="N110" i="1" s="1" a="1"/>
  <c r="N110" i="1" s="1"/>
  <c r="AH69" i="1"/>
  <c r="N69" i="1" s="1" a="1"/>
  <c r="N69" i="1" s="1"/>
  <c r="AH19" i="1"/>
  <c r="N19" i="1" s="1" a="1"/>
  <c r="N19" i="1" s="1"/>
  <c r="AH87" i="1"/>
  <c r="N87" i="1" s="1" a="1"/>
  <c r="N87" i="1" s="1"/>
  <c r="AH98" i="1"/>
  <c r="N98" i="1" s="1" a="1"/>
  <c r="N98" i="1" s="1"/>
  <c r="AH23" i="1"/>
  <c r="N23" i="1" s="1" a="1"/>
  <c r="N23" i="1" s="1"/>
  <c r="AH112" i="1"/>
  <c r="N112" i="1" s="1" a="1"/>
  <c r="N112" i="1" s="1"/>
  <c r="AH72" i="1"/>
  <c r="N72" i="1" s="1" a="1"/>
  <c r="N72" i="1" s="1"/>
  <c r="AH22" i="1"/>
  <c r="N22" i="1" s="1" a="1"/>
  <c r="N22" i="1" s="1"/>
  <c r="AH10" i="1"/>
  <c r="N10" i="1" s="1" a="1"/>
  <c r="N10" i="1" s="1"/>
  <c r="AH76" i="1"/>
  <c r="N76" i="1" s="1" a="1"/>
  <c r="N76" i="1" s="1"/>
  <c r="AH27" i="1"/>
  <c r="N27" i="1" s="1" a="1"/>
  <c r="N27" i="1" s="1"/>
  <c r="AH15" i="1"/>
  <c r="N15" i="1" s="1" a="1"/>
  <c r="N15" i="1" s="1"/>
  <c r="AI50" i="26"/>
  <c r="O50" i="26" s="1" a="1"/>
  <c r="O50" i="26" s="1"/>
  <c r="AI95" i="26"/>
  <c r="O95" i="26" s="1" a="1"/>
  <c r="O95" i="26" s="1"/>
  <c r="AI76" i="26"/>
  <c r="O76" i="26" s="1" a="1"/>
  <c r="O76" i="26" s="1"/>
  <c r="AI57" i="26"/>
  <c r="O57" i="26" s="1" a="1"/>
  <c r="O57" i="26" s="1"/>
  <c r="AI33" i="26"/>
  <c r="O33" i="26" s="1" a="1"/>
  <c r="O33" i="26" s="1"/>
  <c r="AI13" i="26"/>
  <c r="O13" i="26" s="1" a="1"/>
  <c r="O13" i="26" s="1"/>
  <c r="AI94" i="26"/>
  <c r="O94" i="26" s="1" a="1"/>
  <c r="O94" i="26" s="1"/>
  <c r="AI75" i="26"/>
  <c r="O75" i="26" s="1" a="1"/>
  <c r="O75" i="26" s="1"/>
  <c r="AI55" i="26"/>
  <c r="O55" i="26" s="1" a="1"/>
  <c r="O55" i="26" s="1"/>
  <c r="AI30" i="26"/>
  <c r="O30" i="26" s="1" a="1"/>
  <c r="O30" i="26" s="1"/>
  <c r="AI12" i="26"/>
  <c r="O12" i="26" s="1" a="1"/>
  <c r="O12" i="26" s="1"/>
  <c r="AI97" i="26"/>
  <c r="O97" i="26" s="1" a="1"/>
  <c r="O97" i="26" s="1"/>
  <c r="AI78" i="26"/>
  <c r="O78" i="26" s="1" a="1"/>
  <c r="O78" i="26" s="1"/>
  <c r="AI107" i="26"/>
  <c r="O107" i="26" s="1" a="1"/>
  <c r="O107" i="26" s="1"/>
  <c r="AI99" i="26"/>
  <c r="O99" i="26" s="1" a="1"/>
  <c r="O99" i="26" s="1"/>
  <c r="AI66" i="26"/>
  <c r="O66" i="26" s="1" a="1"/>
  <c r="O66" i="26" s="1"/>
  <c r="AI27" i="26"/>
  <c r="O27" i="26" s="1" a="1"/>
  <c r="O27" i="26" s="1"/>
  <c r="AI18" i="26"/>
  <c r="O18" i="26" s="1" a="1"/>
  <c r="O18" i="26" s="1"/>
  <c r="AI83" i="26"/>
  <c r="O83" i="26" s="1" a="1"/>
  <c r="O83" i="26" s="1"/>
  <c r="AI47" i="26"/>
  <c r="O47" i="26" s="1" a="1"/>
  <c r="O47" i="26" s="1"/>
  <c r="AI36" i="26"/>
  <c r="O36" i="26" s="1" a="1"/>
  <c r="O36" i="26" s="1"/>
  <c r="AI105" i="26"/>
  <c r="O105" i="26" s="1" a="1"/>
  <c r="O105" i="26" s="1"/>
  <c r="AI74" i="26"/>
  <c r="O74" i="26" s="1" a="1"/>
  <c r="O74" i="26" s="1"/>
  <c r="AI64" i="26"/>
  <c r="O64" i="26" s="1" a="1"/>
  <c r="O64" i="26" s="1"/>
  <c r="AI41" i="26"/>
  <c r="O41" i="26" s="1" a="1"/>
  <c r="O41" i="26" s="1"/>
  <c r="AI91" i="26"/>
  <c r="O91" i="26" s="1" a="1"/>
  <c r="O91" i="26" s="1"/>
  <c r="AI80" i="26"/>
  <c r="O80" i="26" s="1" a="1"/>
  <c r="O80" i="26" s="1"/>
  <c r="AI43" i="26"/>
  <c r="O43" i="26" s="1" a="1"/>
  <c r="O43" i="26" s="1"/>
  <c r="AI106" i="26"/>
  <c r="O106" i="26" s="1" a="1"/>
  <c r="O106" i="26" s="1"/>
  <c r="AI98" i="26"/>
  <c r="O98" i="26" s="1" a="1"/>
  <c r="O98" i="26" s="1"/>
  <c r="AI65" i="26"/>
  <c r="O65" i="26" s="1" a="1"/>
  <c r="O65" i="26" s="1"/>
  <c r="AI25" i="26"/>
  <c r="O25" i="26" s="1" a="1"/>
  <c r="O25" i="26" s="1"/>
  <c r="AI17" i="26"/>
  <c r="O17" i="26" s="1" a="1"/>
  <c r="O17" i="26" s="1"/>
  <c r="AI89" i="26"/>
  <c r="O89" i="26" s="1" a="1"/>
  <c r="O89" i="26" s="1"/>
  <c r="AI45" i="26"/>
  <c r="O45" i="26" s="1" a="1"/>
  <c r="O45" i="26" s="1"/>
  <c r="AI24" i="26"/>
  <c r="O24" i="26" s="1" a="1"/>
  <c r="O24" i="26" s="1"/>
  <c r="AI103" i="26"/>
  <c r="O103" i="26" s="1" a="1"/>
  <c r="O103" i="26" s="1"/>
  <c r="AI72" i="26"/>
  <c r="O72" i="26" s="1" a="1"/>
  <c r="O72" i="26" s="1"/>
  <c r="AI61" i="26"/>
  <c r="O61" i="26" s="1" a="1"/>
  <c r="O61" i="26" s="1"/>
  <c r="AI22" i="26"/>
  <c r="O22" i="26" s="1" a="1"/>
  <c r="O22" i="26" s="1"/>
  <c r="AI90" i="26"/>
  <c r="O90" i="26" s="1" a="1"/>
  <c r="O90" i="26" s="1"/>
  <c r="AI79" i="26"/>
  <c r="O79" i="26" s="1" a="1"/>
  <c r="O79" i="26" s="1"/>
  <c r="AI42" i="26"/>
  <c r="O42" i="26" s="1" a="1"/>
  <c r="O42" i="26" s="1"/>
  <c r="AI109" i="26"/>
  <c r="O109" i="26" s="1" a="1"/>
  <c r="O109" i="26" s="1"/>
  <c r="AI101" i="26"/>
  <c r="O101" i="26" s="1" a="1"/>
  <c r="O101" i="26" s="1"/>
  <c r="AI70" i="26"/>
  <c r="O70" i="26" s="1" a="1"/>
  <c r="O70" i="26" s="1"/>
  <c r="AI54" i="26"/>
  <c r="O54" i="26" s="1" a="1"/>
  <c r="O54" i="26" s="1"/>
  <c r="AI29" i="26"/>
  <c r="O29" i="26" s="1" a="1"/>
  <c r="O29" i="26" s="1"/>
  <c r="AI11" i="26"/>
  <c r="O11" i="26" s="1" a="1"/>
  <c r="O11" i="26" s="1"/>
  <c r="AI38" i="26"/>
  <c r="O38" i="26" s="1" a="1"/>
  <c r="O38" i="26" s="1"/>
  <c r="AI58" i="26"/>
  <c r="O58" i="26" s="1" a="1"/>
  <c r="O58" i="26" s="1"/>
  <c r="AI67" i="26"/>
  <c r="O67" i="26" s="1" a="1"/>
  <c r="O67" i="26" s="1"/>
  <c r="AI10" i="26"/>
  <c r="AI73" i="26"/>
  <c r="O73" i="26" s="1" a="1"/>
  <c r="O73" i="26" s="1"/>
  <c r="AI87" i="26"/>
  <c r="O87" i="26" s="1" a="1"/>
  <c r="O87" i="26" s="1"/>
  <c r="AI48" i="26"/>
  <c r="O48" i="26" s="1" a="1"/>
  <c r="O48" i="26" s="1"/>
  <c r="AI37" i="26"/>
  <c r="O37" i="26" s="1" a="1"/>
  <c r="O37" i="26" s="1"/>
  <c r="AI102" i="26"/>
  <c r="O102" i="26" s="1" a="1"/>
  <c r="O102" i="26" s="1"/>
  <c r="AI71" i="26"/>
  <c r="O71" i="26" s="1" a="1"/>
  <c r="O71" i="26" s="1"/>
  <c r="AI60" i="26"/>
  <c r="O60" i="26" s="1" a="1"/>
  <c r="O60" i="26" s="1"/>
  <c r="AI21" i="26"/>
  <c r="O21" i="26" s="1" a="1"/>
  <c r="O21" i="26" s="1"/>
  <c r="AI93" i="26"/>
  <c r="O93" i="26" s="1" a="1"/>
  <c r="O93" i="26" s="1"/>
  <c r="AI82" i="26"/>
  <c r="O82" i="26" s="1" a="1"/>
  <c r="O82" i="26" s="1"/>
  <c r="AI59" i="26"/>
  <c r="O59" i="26" s="1" a="1"/>
  <c r="O59" i="26" s="1"/>
  <c r="AI35" i="26"/>
  <c r="O35" i="26" s="1" a="1"/>
  <c r="O35" i="26" s="1"/>
  <c r="AI15" i="26"/>
  <c r="O15" i="26" s="1" a="1"/>
  <c r="O15" i="26" s="1"/>
  <c r="AI62" i="26"/>
  <c r="O62" i="26" s="1" a="1"/>
  <c r="O62" i="26" s="1"/>
  <c r="AI77" i="26"/>
  <c r="O77" i="26" s="1" a="1"/>
  <c r="O77" i="26" s="1"/>
  <c r="AI104" i="26"/>
  <c r="O104" i="26" s="1" a="1"/>
  <c r="O104" i="26" s="1"/>
  <c r="AI53" i="26"/>
  <c r="O53" i="26" s="1" a="1"/>
  <c r="O53" i="26" s="1"/>
  <c r="AI108" i="26"/>
  <c r="O108" i="26" s="1" a="1"/>
  <c r="O108" i="26" s="1"/>
  <c r="AI96" i="26"/>
  <c r="O96" i="26" s="1" a="1"/>
  <c r="O96" i="26" s="1"/>
  <c r="AI92" i="26"/>
  <c r="O92" i="26" s="1" a="1"/>
  <c r="O92" i="26" s="1"/>
  <c r="AI20" i="26"/>
  <c r="O20" i="26" s="1" a="1"/>
  <c r="O20" i="26" s="1"/>
  <c r="AI100" i="26"/>
  <c r="O100" i="26" s="1" a="1"/>
  <c r="O100" i="26" s="1"/>
  <c r="AI34" i="26"/>
  <c r="O34" i="26" s="1" a="1"/>
  <c r="O34" i="26" s="1"/>
  <c r="AI88" i="26"/>
  <c r="O88" i="26" s="1" a="1"/>
  <c r="O88" i="26" s="1"/>
  <c r="AI81" i="26"/>
  <c r="O81" i="26" s="1" a="1"/>
  <c r="O81" i="26" s="1"/>
  <c r="AI14" i="26"/>
  <c r="O14" i="26" s="1" a="1"/>
  <c r="O14" i="26" s="1"/>
  <c r="AI44" i="26"/>
  <c r="O44" i="26" s="1" a="1"/>
  <c r="O44" i="26" s="1"/>
  <c r="AI19" i="26"/>
  <c r="O19" i="26" s="1" a="1"/>
  <c r="O19" i="26" s="1"/>
  <c r="AI23" i="26"/>
  <c r="O23" i="26" s="1" a="1"/>
  <c r="O23" i="26" s="1"/>
  <c r="AI28" i="26"/>
  <c r="O28" i="26" s="1" a="1"/>
  <c r="O28" i="26" s="1"/>
  <c r="AI28" i="31"/>
  <c r="O28" i="31" s="1" a="1"/>
  <c r="O28" i="31" s="1"/>
  <c r="AI31" i="31"/>
  <c r="O31" i="31" s="1" a="1"/>
  <c r="O31" i="31" s="1"/>
  <c r="AI26" i="31"/>
  <c r="O26" i="31" s="1" a="1"/>
  <c r="O26" i="31" s="1"/>
  <c r="AI38" i="31"/>
  <c r="O38" i="31" s="1" a="1"/>
  <c r="O38" i="31" s="1"/>
  <c r="AI47" i="31"/>
  <c r="O47" i="31" s="1" a="1"/>
  <c r="O47" i="31" s="1"/>
  <c r="AI40" i="31"/>
  <c r="O40" i="31" s="1" a="1"/>
  <c r="O40" i="31" s="1"/>
  <c r="AI12" i="31"/>
  <c r="O12" i="31" s="1" a="1"/>
  <c r="O12" i="31" s="1"/>
  <c r="AI37" i="31"/>
  <c r="O37" i="31" s="1" a="1"/>
  <c r="O37" i="31" s="1"/>
  <c r="AI18" i="31"/>
  <c r="O18" i="31" s="1" a="1"/>
  <c r="O18" i="31" s="1"/>
  <c r="AI10" i="31"/>
  <c r="AI35" i="31"/>
  <c r="O35" i="31" s="1" a="1"/>
  <c r="O35" i="31" s="1"/>
  <c r="AI16" i="31"/>
  <c r="O16" i="31" s="1" a="1"/>
  <c r="O16" i="31" s="1"/>
  <c r="AI25" i="31"/>
  <c r="O25" i="31" s="1" a="1"/>
  <c r="O25" i="31" s="1"/>
  <c r="AI34" i="31"/>
  <c r="O34" i="31" s="1" a="1"/>
  <c r="O34" i="31" s="1"/>
  <c r="AI50" i="31"/>
  <c r="O50" i="31" s="1" a="1"/>
  <c r="O50" i="31" s="1"/>
  <c r="AI23" i="31"/>
  <c r="O23" i="31" s="1" a="1"/>
  <c r="O23" i="31" s="1"/>
  <c r="AI43" i="31"/>
  <c r="O43" i="31" s="1" a="1"/>
  <c r="O43" i="31" s="1"/>
  <c r="AH81" i="1"/>
  <c r="N81" i="1" s="1" a="1"/>
  <c r="N81" i="1" s="1"/>
  <c r="S19" i="5"/>
  <c r="K19" i="5" s="1" a="1"/>
  <c r="K19" i="5" s="1"/>
  <c r="S15" i="5"/>
  <c r="K15" i="5" s="1" a="1"/>
  <c r="K15" i="5" s="1"/>
  <c r="S48" i="5"/>
  <c r="K48" i="5" s="1" a="1"/>
  <c r="K48" i="5" s="1"/>
  <c r="S51" i="5"/>
  <c r="K51" i="5" s="1" a="1"/>
  <c r="K51" i="5" s="1"/>
  <c r="S29" i="5"/>
  <c r="K29" i="5" s="1" a="1"/>
  <c r="K29" i="5" s="1"/>
  <c r="S20" i="5"/>
  <c r="K20" i="5" s="1" a="1"/>
  <c r="K20" i="5" s="1"/>
  <c r="S45" i="5"/>
  <c r="K45" i="5" s="1" a="1"/>
  <c r="K45" i="5" s="1"/>
  <c r="S46" i="5"/>
  <c r="K46" i="5" s="1" a="1"/>
  <c r="K46" i="5" s="1"/>
  <c r="S8" i="5"/>
  <c r="S14" i="5"/>
  <c r="K14" i="5" s="1" a="1"/>
  <c r="K14" i="5" s="1"/>
  <c r="S35" i="5"/>
  <c r="K35" i="5" s="1" a="1"/>
  <c r="K35" i="5" s="1"/>
  <c r="S36" i="5"/>
  <c r="K36" i="5" s="1" a="1"/>
  <c r="K36" i="5" s="1"/>
  <c r="S40" i="5"/>
  <c r="K40" i="5" s="1" a="1"/>
  <c r="K40" i="5" s="1"/>
  <c r="S41" i="5"/>
  <c r="K41" i="5" s="1" a="1"/>
  <c r="K41" i="5" s="1"/>
  <c r="S28" i="5"/>
  <c r="K28" i="5" s="1" a="1"/>
  <c r="K28" i="5" s="1"/>
  <c r="S25" i="5"/>
  <c r="K25" i="5" s="1" a="1"/>
  <c r="K25" i="5" s="1"/>
  <c r="S49" i="5"/>
  <c r="K49" i="5" s="1" a="1"/>
  <c r="K49" i="5" s="1"/>
  <c r="S11" i="5"/>
  <c r="K11" i="5" s="1" a="1"/>
  <c r="K11" i="5" s="1"/>
  <c r="S12" i="5"/>
  <c r="K12" i="5" s="1" a="1"/>
  <c r="K12" i="5" s="1"/>
  <c r="S17" i="5"/>
  <c r="K17" i="5" s="1" a="1"/>
  <c r="K17" i="5" s="1"/>
  <c r="S22" i="5"/>
  <c r="K22" i="5" s="1" a="1"/>
  <c r="K22" i="5" s="1"/>
  <c r="S30" i="5"/>
  <c r="K30" i="5" s="1" a="1"/>
  <c r="K30" i="5" s="1"/>
  <c r="S18" i="5"/>
  <c r="K18" i="5" s="1" a="1"/>
  <c r="K18" i="5" s="1"/>
  <c r="S44" i="5"/>
  <c r="K44" i="5" s="1" a="1"/>
  <c r="K44" i="5" s="1"/>
  <c r="S9" i="5"/>
  <c r="K9" i="5" s="1" a="1"/>
  <c r="K9" i="5" s="1"/>
  <c r="S34" i="5"/>
  <c r="K34" i="5" s="1" a="1"/>
  <c r="K34" i="5" s="1"/>
  <c r="S37" i="5"/>
  <c r="K37" i="5" s="1" a="1"/>
  <c r="K37" i="5" s="1"/>
  <c r="S39" i="5"/>
  <c r="K39" i="5" s="1" a="1"/>
  <c r="K39" i="5" s="1"/>
  <c r="S42" i="5"/>
  <c r="K42" i="5" s="1" a="1"/>
  <c r="K42" i="5" s="1"/>
  <c r="S27" i="5"/>
  <c r="K27" i="5" s="1" a="1"/>
  <c r="K27" i="5" s="1"/>
  <c r="S33" i="5"/>
  <c r="K33" i="5" s="1" a="1"/>
  <c r="K33" i="5" s="1"/>
  <c r="S21" i="5"/>
  <c r="K21" i="5" s="1" a="1"/>
  <c r="K21" i="5" s="1"/>
  <c r="S47" i="5"/>
  <c r="K47" i="5" s="1" a="1"/>
  <c r="K47" i="5" s="1"/>
  <c r="S10" i="5"/>
  <c r="K10" i="5" s="1" a="1"/>
  <c r="K10" i="5" s="1"/>
  <c r="S13" i="5"/>
  <c r="K13" i="5" s="1" a="1"/>
  <c r="K13" i="5" s="1"/>
  <c r="S16" i="5"/>
  <c r="K16" i="5" s="1" a="1"/>
  <c r="K16" i="5" s="1"/>
  <c r="S24" i="5"/>
  <c r="K24" i="5" s="1" a="1"/>
  <c r="K24" i="5" s="1"/>
  <c r="S26" i="5"/>
  <c r="K26" i="5" s="1" a="1"/>
  <c r="K26" i="5" s="1"/>
  <c r="S32" i="5"/>
  <c r="K32" i="5" s="1" a="1"/>
  <c r="K32" i="5" s="1"/>
  <c r="AI51" i="31"/>
  <c r="O51" i="31" s="1" a="1"/>
  <c r="O51" i="31" s="1"/>
  <c r="M1" i="3" l="1"/>
  <c r="M1" i="30" a="1"/>
  <c r="M1" i="30" s="1"/>
  <c r="P1" i="2"/>
  <c r="L1" i="9" a="1"/>
  <c r="L1" i="9" s="1"/>
  <c r="M1" i="24" a="1"/>
  <c r="M1" i="24" s="1"/>
  <c r="L1" i="8" a="1"/>
  <c r="L1" i="8" s="1"/>
  <c r="N107" i="8" a="1"/>
  <c r="N107" i="8" s="1"/>
  <c r="U107" i="8" a="1"/>
  <c r="U107" i="8" s="1"/>
  <c r="BV157" i="7" s="1"/>
  <c r="BX157" i="7" s="1"/>
  <c r="N106" i="8"/>
  <c r="T64" i="3"/>
  <c r="BU168" i="7" s="1"/>
  <c r="BW168" i="7" s="1"/>
  <c r="U106" i="8"/>
  <c r="BU157" i="7" s="1"/>
  <c r="BW157" i="7" s="1"/>
  <c r="AQ115" i="24"/>
  <c r="BU161" i="7" s="1"/>
  <c r="BW161" i="7" s="1"/>
  <c r="AF78" i="2"/>
  <c r="BU169" i="7" s="1"/>
  <c r="BW169" i="7" s="1"/>
  <c r="AD48" i="4"/>
  <c r="BU158" i="7" s="1"/>
  <c r="BW158" i="7" s="1"/>
  <c r="AH114" i="1"/>
  <c r="AH115" i="1" a="1"/>
  <c r="AH115" i="1" s="1"/>
  <c r="K8" i="4" a="1"/>
  <c r="K8" i="4" s="1"/>
  <c r="I1" i="4" s="1" a="1"/>
  <c r="I1" i="4" s="1"/>
  <c r="AD49" i="4" a="1"/>
  <c r="AD49" i="4" s="1"/>
  <c r="BV158" i="7" s="1"/>
  <c r="BX158" i="7" s="1"/>
  <c r="O64" i="3"/>
  <c r="R78" i="2"/>
  <c r="AI110" i="30" a="1"/>
  <c r="AI110" i="30" s="1"/>
  <c r="BV163" i="7" s="1"/>
  <c r="BX163" i="7" s="1"/>
  <c r="AI109" i="30"/>
  <c r="BU163" i="7" s="1"/>
  <c r="BW163" i="7" s="1"/>
  <c r="N54" i="9"/>
  <c r="AG54" i="9"/>
  <c r="AG55" i="9" a="1"/>
  <c r="AG55" i="9" s="1"/>
  <c r="BV164" i="7" s="1"/>
  <c r="BX164" i="7" s="1"/>
  <c r="N55" i="9" a="1"/>
  <c r="N55" i="9" s="1"/>
  <c r="O110" i="30" a="1"/>
  <c r="O110" i="30" s="1"/>
  <c r="O109" i="30"/>
  <c r="AQ116" i="24" a="1"/>
  <c r="AQ116" i="24" s="1"/>
  <c r="BV161" i="7" s="1"/>
  <c r="BX161" i="7" s="1"/>
  <c r="K8" i="5" a="1"/>
  <c r="K8" i="5" s="1"/>
  <c r="I1" i="5" s="1"/>
  <c r="S52" i="5"/>
  <c r="O115" i="24"/>
  <c r="O116" i="24" a="1"/>
  <c r="O116" i="24" s="1"/>
  <c r="O10" i="27" a="1"/>
  <c r="O10" i="27" s="1"/>
  <c r="M1" i="27" s="1" a="1"/>
  <c r="M1" i="27" s="1"/>
  <c r="AI53" i="27" a="1"/>
  <c r="AI53" i="27" s="1"/>
  <c r="AI52" i="27"/>
  <c r="O10" i="31" a="1"/>
  <c r="O10" i="31" s="1"/>
  <c r="M1" i="31" s="1" a="1"/>
  <c r="M1" i="31" s="1"/>
  <c r="AI52" i="31"/>
  <c r="AI53" i="31" a="1"/>
  <c r="AI53" i="31" s="1"/>
  <c r="N9" i="1" a="1"/>
  <c r="N9" i="1" s="1"/>
  <c r="L1" i="1" s="1" a="1"/>
  <c r="L1" i="1" s="1"/>
  <c r="O10" i="26" a="1"/>
  <c r="O10" i="26" s="1"/>
  <c r="M1" i="26" s="1" a="1"/>
  <c r="M1" i="26" s="1"/>
  <c r="AI111" i="26" a="1"/>
  <c r="AI111" i="26" s="1"/>
  <c r="AI110" i="26"/>
  <c r="O10" i="25" a="1"/>
  <c r="O10" i="25" s="1"/>
  <c r="M1" i="25" s="1" a="1"/>
  <c r="M1" i="25" s="1"/>
  <c r="AQ54" i="25" a="1"/>
  <c r="AQ54" i="25" s="1"/>
  <c r="AQ53" i="25"/>
  <c r="K48" i="4" l="1"/>
  <c r="BY158" i="7" s="1"/>
  <c r="BY168" i="7"/>
  <c r="BZ157" i="7"/>
  <c r="BY157" i="7"/>
  <c r="BY169" i="7"/>
  <c r="K49" i="4" a="1"/>
  <c r="K49" i="4" s="1"/>
  <c r="BZ158" i="7" s="1"/>
  <c r="BY163" i="7"/>
  <c r="N114" i="1"/>
  <c r="BY160" i="7" s="1"/>
  <c r="N115" i="1" a="1"/>
  <c r="N115" i="1" s="1"/>
  <c r="BZ160" i="7" s="1"/>
  <c r="BZ163" i="7"/>
  <c r="BZ164" i="7"/>
  <c r="BZ161" i="7"/>
  <c r="BU164" i="7"/>
  <c r="BW164" i="7" s="1"/>
  <c r="BY164" i="7"/>
  <c r="BY161" i="7"/>
  <c r="BV160" i="7"/>
  <c r="BX160" i="7" s="1"/>
  <c r="BV165" i="7"/>
  <c r="BX165" i="7" s="1"/>
  <c r="O53" i="25"/>
  <c r="BY165" i="7" s="1"/>
  <c r="O54" i="25" a="1"/>
  <c r="O54" i="25" s="1"/>
  <c r="BZ165" i="7" s="1"/>
  <c r="BV167" i="7"/>
  <c r="BX167" i="7" s="1"/>
  <c r="BU160" i="7"/>
  <c r="BW160" i="7" s="1"/>
  <c r="BU167" i="7"/>
  <c r="BW167" i="7" s="1"/>
  <c r="BU166" i="7"/>
  <c r="BW166" i="7" s="1"/>
  <c r="BU165" i="7"/>
  <c r="BW165" i="7" s="1"/>
  <c r="BV166" i="7"/>
  <c r="BX166" i="7" s="1"/>
  <c r="BV162" i="7"/>
  <c r="BX162" i="7" s="1"/>
  <c r="O53" i="27" a="1"/>
  <c r="O53" i="27" s="1"/>
  <c r="BZ166" i="7" s="1"/>
  <c r="O52" i="27"/>
  <c r="BY166" i="7" s="1"/>
  <c r="BU159" i="7"/>
  <c r="BW159" i="7" s="1"/>
  <c r="BU162" i="7"/>
  <c r="BW162" i="7" s="1"/>
  <c r="O52" i="31"/>
  <c r="BY167" i="7" s="1"/>
  <c r="O53" i="31" a="1"/>
  <c r="O53" i="31" s="1"/>
  <c r="BZ167" i="7" s="1"/>
  <c r="O111" i="26" a="1"/>
  <c r="O111" i="26" s="1"/>
  <c r="BZ162" i="7" s="1"/>
  <c r="O110" i="26"/>
  <c r="BY162" i="7" s="1"/>
  <c r="K52" i="5"/>
  <c r="BY159"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岩渕　康平</author>
    <author>川俣 虎月SE</author>
  </authors>
  <commentList>
    <comment ref="M14" authorId="0" shapeId="0" xr:uid="{00000000-0006-0000-0100-000001000000}">
      <text>
        <r>
          <rPr>
            <b/>
            <sz val="9"/>
            <color indexed="81"/>
            <rFont val="MS P ゴシック"/>
            <family val="3"/>
            <charset val="128"/>
          </rPr>
          <t>アウトソースシステムの場合でも、インデックスSheetはシステムズ担当者が記入してください。</t>
        </r>
      </text>
    </comment>
    <comment ref="M17" authorId="0" shapeId="0" xr:uid="{00000000-0006-0000-0100-000002000000}">
      <text>
        <r>
          <rPr>
            <b/>
            <sz val="9"/>
            <color indexed="81"/>
            <rFont val="MS P ゴシック"/>
            <family val="3"/>
            <charset val="128"/>
          </rPr>
          <t>新規構築の場合は、仮称でも結構です。</t>
        </r>
      </text>
    </comment>
    <comment ref="M29" authorId="0" shapeId="0" xr:uid="{00000000-0006-0000-0100-000003000000}">
      <text>
        <r>
          <rPr>
            <b/>
            <sz val="9"/>
            <color indexed="81"/>
            <rFont val="MS P ゴシック"/>
            <family val="3"/>
            <charset val="128"/>
          </rPr>
          <t>新規構築の場合は、仮称でも結構です。</t>
        </r>
      </text>
    </comment>
    <comment ref="J37" authorId="0" shapeId="0" xr:uid="{00000000-0006-0000-0100-000004000000}">
      <text>
        <r>
          <rPr>
            <b/>
            <sz val="9"/>
            <color indexed="81"/>
            <rFont val="MS P ゴシック"/>
            <family val="3"/>
            <charset val="128"/>
          </rPr>
          <t>・「PRJ計画時」選択時は、右表「3．要回答項目」に応じたSheetを確認し、求められる要件を早期に把握してください。
・（５）以降の質問は、プロジェクトの途中で変わる可能性があります。工程が変わる都度見直してください。</t>
        </r>
      </text>
    </comment>
    <comment ref="P39" authorId="1" shapeId="0" xr:uid="{00000000-0006-0000-0100-000005000000}">
      <text>
        <r>
          <rPr>
            <b/>
            <sz val="9"/>
            <color indexed="81"/>
            <rFont val="MS P ゴシック"/>
            <family val="3"/>
            <charset val="128"/>
          </rPr>
          <t>以降の回答結果によって、アプリコーディングSheetが有効化される場合があります。この目的は、開発フェーズ開始前に対応すべき要件を確認頂くことであるため、SAUC完了時(開発フェーズの前)において回答頂く必要はございません。</t>
        </r>
        <r>
          <rPr>
            <sz val="9"/>
            <color indexed="81"/>
            <rFont val="MS P ゴシック"/>
            <family val="3"/>
            <charset val="128"/>
          </rPr>
          <t xml:space="preserve">
</t>
        </r>
      </text>
    </comment>
    <comment ref="U66" authorId="1" shapeId="0" xr:uid="{00000000-0006-0000-0100-000006000000}">
      <text>
        <r>
          <rPr>
            <b/>
            <u/>
            <sz val="9"/>
            <color indexed="81"/>
            <rFont val="MS P ゴシック"/>
            <family val="3"/>
            <charset val="128"/>
          </rPr>
          <t>自身が構築するサーバにメール送受信機能がなく、別途、メールサービス（機械メールサーバやAWS SES等）側でメール送受信機能を提供する場合でも、以下「メールの送信または受信機能を持つシステム」と選択ください。</t>
        </r>
      </text>
    </comment>
    <comment ref="AH100" authorId="2" shapeId="0" xr:uid="{194EB0D3-88FB-4B61-B218-331535AE109F}">
      <text>
        <r>
          <rPr>
            <b/>
            <sz val="9"/>
            <color indexed="81"/>
            <rFont val="MS P ゴシック"/>
            <family val="3"/>
            <charset val="128"/>
          </rPr>
          <t xml:space="preserve">ユーザ種別ごとに複数の認証経路がある場合は、以下のいずれかの方法でご回答ください。
 ①全ての認証経路をまとめて要件の充足状況を1つのチェックリストに回答する。この際、備考欄に記載がある場合は、どの認証経路を指しているか明記ください。
 ②認証経路ごとにチェックリストを分けて回答する。
</t>
        </r>
      </text>
    </comment>
    <comment ref="P108" authorId="1" shapeId="0" xr:uid="{00000000-0006-0000-0100-000009000000}">
      <text>
        <r>
          <rPr>
            <b/>
            <sz val="9"/>
            <color indexed="81"/>
            <rFont val="MS P ゴシック"/>
            <family val="3"/>
            <charset val="128"/>
          </rPr>
          <t>外部サービスを利用する場合、以下2点を考慮し選択してください。
・当社が対象サービスの設計や基盤、要件に関与できない場合（吊るしのサービス利用）は、「クラウド（SaaS,PaaS）」を選択ください。
・上記以外（当社要件を加味したアウトソース構成が可能）の場合、構築環境に応じて「オンプレ」や「クラウド（AWS）」、「クラウド（AWS以外のIaaS）」を選択ください。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T3" authorId="0" shapeId="0" xr:uid="{00000000-0006-0000-0200-000001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業品モニタリング(自主点検)</t>
        </r>
      </text>
    </comment>
    <comment ref="T13" authorId="0" shapeId="0" xr:uid="{00000000-0006-0000-0200-000002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業品モニタリング</t>
        </r>
      </text>
    </comment>
    <comment ref="G33" authorId="0" shapeId="0" xr:uid="{00000000-0006-0000-0200-000003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チェックリスト診断時のみ</t>
        </r>
      </text>
    </comment>
    <comment ref="T33" authorId="0" shapeId="0" xr:uid="{00000000-0006-0000-0200-000004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業品モニタリング</t>
        </r>
      </text>
    </comment>
    <comment ref="J50" authorId="0" shapeId="0" xr:uid="{00000000-0006-0000-0200-000005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K51" authorId="0" shapeId="0" xr:uid="{00000000-0006-0000-0200-000006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L52" authorId="0" shapeId="0" xr:uid="{00000000-0006-0000-0200-000007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T53" authorId="0" shapeId="0" xr:uid="{00000000-0006-0000-0200-000008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業品モニタリング</t>
        </r>
      </text>
    </comment>
    <comment ref="J60" authorId="0" shapeId="0" xr:uid="{00000000-0006-0000-0200-000009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K61" authorId="0" shapeId="0" xr:uid="{00000000-0006-0000-0200-00000A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L62" authorId="0" shapeId="0" xr:uid="{00000000-0006-0000-0200-00000B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F63" authorId="0" shapeId="0" xr:uid="{00000000-0006-0000-0200-00000C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従来は「システム脆弱性管理CL」のWebアプリに関する遵守事項は記載不要
アプリ設計は実はいらず。運用プロセスSheetがあればよいと思う</t>
        </r>
      </text>
    </comment>
    <comment ref="J70" authorId="0" shapeId="0" xr:uid="{00000000-0006-0000-0200-00000D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K71" authorId="0" shapeId="0" xr:uid="{00000000-0006-0000-0200-00000E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L72" authorId="0" shapeId="0" xr:uid="{00000000-0006-0000-0200-00000F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F73" authorId="0" shapeId="0" xr:uid="{00000000-0006-0000-0200-000010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従来は「システム脆弱性管理CL」のWebアプリに関する遵守事項は記載不要
アプリ設計は実はいらず。運用プロセスSheetがあればよいと思う</t>
        </r>
      </text>
    </comment>
    <comment ref="G73" authorId="0" shapeId="0" xr:uid="{00000000-0006-0000-0200-000011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チェックリスト診断時のみ</t>
        </r>
      </text>
    </comment>
    <comment ref="T73" authorId="0" shapeId="0" xr:uid="{00000000-0006-0000-0200-000012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業品モニタリング</t>
        </r>
      </text>
    </comment>
    <comment ref="J80" authorId="0" shapeId="0" xr:uid="{00000000-0006-0000-0200-000013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K81" authorId="0" shapeId="0" xr:uid="{00000000-0006-0000-0200-000014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L82" authorId="0" shapeId="0" xr:uid="{00000000-0006-0000-0200-000015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従来は承認レベルCなら対象外だったが、クラウド使うなら聞いておくべき</t>
        </r>
      </text>
    </comment>
    <comment ref="D83" authorId="0" shapeId="0" xr:uid="{00000000-0006-0000-0200-000016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アウトソースの場合、それに関する項目は要回答</t>
        </r>
      </text>
    </comment>
    <comment ref="F83" authorId="0" shapeId="0" xr:uid="{00000000-0006-0000-0200-000017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チェックリスト診断時のみ</t>
        </r>
      </text>
    </comment>
    <comment ref="G83" authorId="0" shapeId="0" xr:uid="{00000000-0006-0000-0200-000018000000}">
      <text>
        <r>
          <rPr>
            <sz val="11"/>
            <color theme="1"/>
            <rFont val="Yu Gothic"/>
            <family val="2"/>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チェックリスト診断時のみ</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s>
  <commentList>
    <comment ref="C7" authorId="0" shapeId="0" xr:uid="{00000000-0006-0000-04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F7" authorId="1" shapeId="0" xr:uid="{00000000-0006-0000-0400-000002000000}">
      <text>
        <r>
          <rPr>
            <b/>
            <sz val="12"/>
            <color indexed="81"/>
            <rFont val="MS P ゴシック"/>
            <family val="3"/>
            <charset val="128"/>
          </rPr>
          <t>◆Required
必須項目
◆Recommended
基本対応。何らかの理由によりどうしても対応できない場合は見送りも可</t>
        </r>
      </text>
    </comment>
    <comment ref="W7" authorId="1" shapeId="0" xr:uid="{00000000-0006-0000-0400-000003000000}">
      <text>
        <r>
          <rPr>
            <b/>
            <sz val="9"/>
            <color indexed="81"/>
            <rFont val="MS P ゴシック"/>
            <family val="3"/>
            <charset val="128"/>
          </rPr>
          <t>マルウェアによる標的型攻撃対策チェックリスト</t>
        </r>
      </text>
    </comment>
    <comment ref="Y7" authorId="1" shapeId="0" xr:uid="{00000000-0006-0000-0400-000004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H39" authorId="1" shapeId="0" xr:uid="{00000000-0006-0000-0400-000005000000}">
      <text>
        <r>
          <rPr>
            <b/>
            <sz val="14"/>
            <color indexed="81"/>
            <rFont val="MS P ゴシック"/>
            <family val="3"/>
            <charset val="128"/>
          </rPr>
          <t>回答がNoもしくは対象外の場合、セル内のバイト数合計の変更有無で、塗りつぶしによるアラート解除の判定を行っております。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s>
  <commentList>
    <comment ref="C5" authorId="0" shapeId="0" xr:uid="{00000000-0006-0000-05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F5" authorId="1" shapeId="0" xr:uid="{00000000-0006-0000-0500-000002000000}">
      <text>
        <r>
          <rPr>
            <b/>
            <sz val="12"/>
            <color indexed="81"/>
            <rFont val="MS P ゴシック"/>
            <family val="3"/>
            <charset val="128"/>
          </rPr>
          <t>◆Required
必須項目
◆Recommended
基本対応。何らかの理由によりどうしても対応できない場合は見送りも可</t>
        </r>
      </text>
    </comment>
    <comment ref="AF5" authorId="1" shapeId="0" xr:uid="{00000000-0006-0000-0500-000003000000}">
      <text>
        <r>
          <rPr>
            <b/>
            <sz val="9"/>
            <color indexed="81"/>
            <rFont val="MS P ゴシック"/>
            <family val="3"/>
            <charset val="128"/>
          </rPr>
          <t>マルウェアによる標的型攻撃対策チェックリスト</t>
        </r>
      </text>
    </comment>
    <comment ref="AH5" authorId="1" shapeId="0" xr:uid="{00000000-0006-0000-0500-000004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E46" authorId="0" shapeId="0" xr:uid="{00000000-0006-0000-0500-000005000000}">
      <text>
        <r>
          <rPr>
            <sz val="13"/>
            <color indexed="81"/>
            <rFont val="MS P ゴシック"/>
            <family val="3"/>
            <charset val="128"/>
          </rPr>
          <t>リモートアクセスには社内向けWebアプリケーションへのアクセスも含む</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s>
  <commentList>
    <comment ref="C5" authorId="0" shapeId="0" xr:uid="{00000000-0006-0000-06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F5" authorId="1" shapeId="0" xr:uid="{00000000-0006-0000-0600-000002000000}">
      <text>
        <r>
          <rPr>
            <b/>
            <sz val="12"/>
            <color indexed="81"/>
            <rFont val="MS P ゴシック"/>
            <family val="3"/>
            <charset val="128"/>
          </rPr>
          <t>◆Required
必須項目
◆Recommended
基本対応。何らかの理由によりどうしても対応できない場合は見送りも可</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岩渕 康平SE</author>
  </authors>
  <commentList>
    <comment ref="C6" authorId="0" shapeId="0" xr:uid="{00000000-0006-0000-07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F6" authorId="1" shapeId="0" xr:uid="{00000000-0006-0000-0700-000002000000}">
      <text>
        <r>
          <rPr>
            <b/>
            <sz val="12"/>
            <color indexed="81"/>
            <rFont val="MS P ゴシック"/>
            <family val="3"/>
            <charset val="128"/>
          </rPr>
          <t>◆Required
必須項目
◆Recommended
基本対応。何らかの理由によりどうしても対応できない場合は見送りも可</t>
        </r>
      </text>
    </comment>
    <comment ref="AJ6" authorId="1" shapeId="0" xr:uid="{00000000-0006-0000-0700-000003000000}">
      <text>
        <r>
          <rPr>
            <b/>
            <sz val="9"/>
            <color indexed="81"/>
            <rFont val="MS P ゴシック"/>
            <family val="3"/>
            <charset val="128"/>
          </rPr>
          <t>マルウェアによる標的型攻撃対策チェックリスト</t>
        </r>
      </text>
    </comment>
    <comment ref="AL6" authorId="1" shapeId="0" xr:uid="{00000000-0006-0000-0700-000004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E33" authorId="0" shapeId="0" xr:uid="{00000000-0006-0000-0700-000005000000}">
      <text>
        <r>
          <rPr>
            <sz val="13"/>
            <color indexed="81"/>
            <rFont val="MS P ゴシック"/>
            <family val="3"/>
            <charset val="128"/>
          </rPr>
          <t>当社標準の証明書導入システムとして、セキュアドGWの場合はBIG-IPを利用する。</t>
        </r>
      </text>
    </comment>
    <comment ref="E44" authorId="0" shapeId="0" xr:uid="{00000000-0006-0000-0700-000006000000}">
      <text>
        <r>
          <rPr>
            <sz val="13"/>
            <color indexed="81"/>
            <rFont val="MS P ゴシック"/>
            <family val="3"/>
            <charset val="128"/>
          </rPr>
          <t>リモートアクセスには社内向けWebアプリケーションへのアクセスも含む</t>
        </r>
      </text>
    </comment>
    <comment ref="E49" authorId="0" shapeId="0" xr:uid="{00000000-0006-0000-0700-000007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r>
          <rPr>
            <sz val="9"/>
            <color indexed="81"/>
            <rFont val="MS P ゴシック"/>
            <family val="3"/>
            <charset val="128"/>
          </rPr>
          <t xml:space="preserve">
</t>
        </r>
      </text>
    </comment>
    <comment ref="H49" authorId="1" shapeId="0" xr:uid="{00000000-0006-0000-0700-000008000000}">
      <text>
        <r>
          <rPr>
            <b/>
            <sz val="12"/>
            <color indexed="81"/>
            <rFont val="MS P ゴシック"/>
            <family val="3"/>
            <charset val="128"/>
          </rPr>
          <t>回答がNoもしくは対象外の場合、セル内のバイト数合計の変更有無で、塗りつぶしによるアラート解除の判定を行っております。</t>
        </r>
      </text>
    </comment>
    <comment ref="E51" authorId="2" shapeId="0" xr:uid="{D5C7AA4B-22CB-4230-88C9-891F61501C0C}">
      <text>
        <r>
          <rPr>
            <sz val="13"/>
            <color indexed="81"/>
            <rFont val="MS P ゴシック"/>
            <family val="3"/>
            <charset val="128"/>
          </rPr>
          <t>回答時点でまだEDR共通基盤がリリースしていない場合は、回答はNOを選択し、備考に「EDR共通基盤未リリースのためNOと回答している」と記載</t>
        </r>
      </text>
    </comment>
    <comment ref="E66" authorId="0" shapeId="0" xr:uid="{00000000-0006-0000-0700-000009000000}">
      <text>
        <r>
          <rPr>
            <sz val="13"/>
            <color indexed="81"/>
            <rFont val="MS P ゴシック"/>
            <family val="3"/>
            <charset val="128"/>
          </rPr>
          <t>＜アウトソース先の共用機器に言及する理由＞
例えばアウトソース先のデータセンターにて、当社がインターネット非公開のシステムを提供しているとする。
この場合、当該データセンターが持つインターネットからの入口経路は、当社としては管理範囲から外れることが一般的である。
しかし、当社システムからの内部通信（例：DNSの名前解決）が、当該データセンターの入口経路を構成するNW機器を経由していた場合、当該データセンターを狙ったDoS、DDoS攻撃の影響を受ける(巻き込まれる）こととなる。
このような問題を回避するために、当社へのサービス提供に直接用いていない機器であっても、攻撃の影響が予測される範囲について、DoS、DDoS対策の状況についてお伺いするものである。</t>
        </r>
      </text>
    </comment>
    <comment ref="E67" authorId="0" shapeId="0" xr:uid="{00000000-0006-0000-0700-00000A000000}">
      <text>
        <r>
          <rPr>
            <sz val="13"/>
            <color indexed="81"/>
            <rFont val="MS P ゴシック"/>
            <family val="3"/>
            <charset val="128"/>
          </rPr>
          <t>・セキュアドGWはファイアウォール、IPS、WAFを導入済みである。
(システムズ向け)
・当社標準のセキュリティツールについては以下のサイトを参照
&lt;セキュリティツール案内サイト&gt;
https://cc.tm.millea.co.jp/fw/dfw/SFDCLI/common/Login?startURL=https%3A%2F%2Ftokiomarine--c.visualforce.com%2Fa091000006z5roZAAQ</t>
        </r>
        <r>
          <rPr>
            <sz val="9"/>
            <color indexed="81"/>
            <rFont val="MS P ゴシック"/>
            <family val="3"/>
            <charset val="128"/>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岩渕 康平SE</author>
  </authors>
  <commentList>
    <comment ref="C7" authorId="0" shapeId="0" xr:uid="{00000000-0006-0000-08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G7" authorId="1" shapeId="0" xr:uid="{00000000-0006-0000-0800-000002000000}">
      <text>
        <r>
          <rPr>
            <b/>
            <sz val="12"/>
            <color indexed="81"/>
            <rFont val="MS P ゴシック"/>
            <family val="3"/>
            <charset val="128"/>
          </rPr>
          <t>◆Required
必須項目
◆Recommended
基本対応。何らかの理由によりどうしても対応できない場合は見送りも可</t>
        </r>
      </text>
    </comment>
    <comment ref="AS7" authorId="1" shapeId="0" xr:uid="{00000000-0006-0000-0800-000003000000}">
      <text>
        <r>
          <rPr>
            <b/>
            <sz val="9"/>
            <color indexed="81"/>
            <rFont val="MS P ゴシック"/>
            <family val="3"/>
            <charset val="128"/>
          </rPr>
          <t>マルウェアによる標的型攻撃対策チェックリスト</t>
        </r>
      </text>
    </comment>
    <comment ref="AU7" authorId="1" shapeId="0" xr:uid="{00000000-0006-0000-0800-000004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F27" authorId="1" shapeId="0" xr:uid="{00000000-0006-0000-0800-000005000000}">
      <text>
        <r>
          <rPr>
            <sz val="13"/>
            <color indexed="81"/>
            <rFont val="MS P ゴシック"/>
            <family val="3"/>
            <charset val="128"/>
          </rPr>
          <t>a.のパターンは主にHA端末を想定する。
システムズ端末は原則マネジメントコンソールへのアクセスを認めないが、例外的に認められた場合はこのパターン含む。
b.のパターンは主に個別業務端末を想定する。個別業務端末自体には機密情報を保持していないが、(1)の端末からAWS環境を通じて個別業務端末へ機密情報が入り込む可能性があるため、当社外アカウント制御のスコープとする。</t>
        </r>
      </text>
    </comment>
    <comment ref="E37" authorId="0" shapeId="0" xr:uid="{00000000-0006-0000-0800-000006000000}">
      <text>
        <r>
          <rPr>
            <sz val="13"/>
            <color indexed="81"/>
            <rFont val="MS P ゴシック"/>
            <family val="3"/>
            <charset val="128"/>
          </rPr>
          <t>当社標準の証明書導入システムとして、SoR用セキュアドGWの場合はALBを利用する。</t>
        </r>
      </text>
    </comment>
    <comment ref="E48" authorId="2" shapeId="0" xr:uid="{00000000-0006-0000-0800-000007000000}">
      <text>
        <r>
          <rPr>
            <sz val="13"/>
            <color indexed="81"/>
            <rFont val="MS P ゴシック"/>
            <family val="3"/>
            <charset val="128"/>
          </rPr>
          <t>リモートアクセスには社内向けWebアプリケーションへのアクセスも含む</t>
        </r>
      </text>
    </comment>
    <comment ref="E53" authorId="0" shapeId="0" xr:uid="{00000000-0006-0000-0800-000008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I53" authorId="1" shapeId="0" xr:uid="{00000000-0006-0000-0800-000009000000}">
      <text>
        <r>
          <rPr>
            <b/>
            <sz val="12"/>
            <color indexed="81"/>
            <rFont val="MS P ゴシック"/>
            <family val="3"/>
            <charset val="128"/>
          </rPr>
          <t>回答がNoもしくは対象外の場合、セル内のバイト数合計の変更有無で、塗りつぶしによるアラート解除の判定を行っております。</t>
        </r>
      </text>
    </comment>
    <comment ref="E55" authorId="2" shapeId="0" xr:uid="{1533DB31-8603-46CA-B615-06B0D623DB0D}">
      <text>
        <r>
          <rPr>
            <sz val="13"/>
            <color indexed="81"/>
            <rFont val="MS P ゴシック"/>
            <family val="3"/>
            <charset val="128"/>
          </rPr>
          <t>回答時点でまだEDR共通基盤がリリースしていない場合は、回答はNOを選択し、備考に「EDR共通基盤未リリースのためNOと回答している」と記載</t>
        </r>
      </text>
    </comment>
    <comment ref="F61" authorId="0" shapeId="0" xr:uid="{00000000-0006-0000-0800-00000A000000}">
      <text>
        <r>
          <rPr>
            <sz val="13"/>
            <color indexed="81"/>
            <rFont val="MS P ゴシック"/>
            <family val="3"/>
            <charset val="128"/>
          </rPr>
          <t>以下、禁止すべきアクションの例を示す。
ただしAWSのサービス変更により新たなアクションが生じる可能性があるため、禁止対象に不足がないことを都度確認すること。
・EC2スナップショットの削除
　→ec2:DeleteSnapshot
・S3バケットのバージョニング無効化
　→s3:PutBucketVersioning　（有効化も禁止になる）
・S3オブジェクトの過去バージョン削除
　→s3:DeleteObjectVersion
　→s3:PutLifeCycleConfiguration 
・DynamoDBのバックアップ削除
　→dynamodb:DeleteBackup
・DynamoDBのポイントインタイムリカバリ無効化
　→dynamodb:UpdateContinuousBackups 
・RDS/Auroraのスナップショット削除
　→rds:DeleteDBClusterSnapshot
　→rds:DeleteDBSnapshot
　→rds:DeleteDBInstanceAutomatedBackup</t>
        </r>
      </text>
    </comment>
    <comment ref="F64" authorId="1" shapeId="0" xr:uid="{00000000-0006-0000-0800-00000B000000}">
      <text>
        <r>
          <rPr>
            <sz val="13"/>
            <color indexed="81"/>
            <rFont val="MS P ゴシック"/>
            <family val="3"/>
            <charset val="128"/>
          </rPr>
          <t>※1.
「自動的な確認」とは、センシティブ情報や特定個人情報を含むシステムはリアルタイムでの確認が必要。そうでない場合はリアルタイムでなくともよいが、定期的な確認が必要
※2.
「自動的な設定修正またはサービス停止」とは、機械化された仕組みに限らず、個別の判断がなくとも即座に実施できるようプロセス化されたものであれば手動対応でも問題ない。
(例：変更作業のリリース判断時に設定監査の仕組み上異常を検知していないことを確認し、もし検知していた場合は即座に戻しを行うプロセスとする、等）
※3
以下を対象とすること。
Cloudtrails Logsを保持するS3バケット、EBSスナップショット、RDSスナップショット、RDS DBインスタンス、Redshiftクラスター、DMSレプリケーションインスタンス、S3バケット、Lambda関数ポリシー
※4
以下を対象とすること。
Cloudtrails、EBSボリューム、Amazon EFS、RDB DBインスタンス、RDBクラスターのスナップショットとデータベーススナップショット、S3バケット</t>
        </r>
        <r>
          <rPr>
            <sz val="11"/>
            <color indexed="81"/>
            <rFont val="MS P ゴシック"/>
            <family val="3"/>
            <charset val="128"/>
          </rPr>
          <t xml:space="preserve">
</t>
        </r>
      </text>
    </comment>
    <comment ref="E77" authorId="0" shapeId="0" xr:uid="{00000000-0006-0000-0800-00000C000000}">
      <text>
        <r>
          <rPr>
            <sz val="13"/>
            <color indexed="81"/>
            <rFont val="MS P ゴシック"/>
            <family val="3"/>
            <charset val="128"/>
          </rPr>
          <t>＜アウトソース先の共用機器に言及する理由＞
例えばアウトソース先のデータセンターにて、当社がインターネット非公開のシステムを提供しているとする。
この場合、当該データセンターが持つインターネットからの入口経路は、当社としては管理範囲から外れることが一般的である。
しかし、当社システムからの内部通信（例：DNSの名前解決）が、当該データセンターの入口経路を構成するNW機器を経由していた場合、当該データセンターを狙ったDoS、DDoS攻撃の影響を受ける(巻き込まれる）こととなる。
このような問題を回避するために、当社へのサービス提供に直接用いていない機器であっても、攻撃の影響が予測される範囲について、DoS、DDoS対策の状況についてお伺いするものである。</t>
        </r>
      </text>
    </comment>
    <comment ref="E78" authorId="0" shapeId="0" xr:uid="{00000000-0006-0000-0800-00000D000000}">
      <text>
        <r>
          <rPr>
            <sz val="13"/>
            <color indexed="81"/>
            <rFont val="MS P ゴシック"/>
            <family val="3"/>
            <charset val="128"/>
          </rPr>
          <t>・SoR用セキュアドGWもしくはDevOps基盤の共通領域を経由する。通信ポートが80,443"のみ"の場合は、IPSは必須でない。
(システムズ向け)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F89" authorId="0" shapeId="0" xr:uid="{00000000-0006-0000-0800-00000E000000}">
      <text>
        <r>
          <rPr>
            <sz val="13"/>
            <color indexed="81"/>
            <rFont val="MS P ゴシック"/>
            <family val="3"/>
            <charset val="128"/>
          </rPr>
          <t>※一例として、Amazon S3はARNにアカウントID が含まれないサービスであるため、S3からのアクセスを受けるサービス側のリソースベースポリシーにてaws:SourceArnのみを指定した場合、アクセス元のAWSアカウントまでは制限できない。
仮に正規のアクセス元S3バケットが削除された後に第三者が同名のリソースを作った場合、第三者がサービスに対して不正なアクセス権を得る恐れがある。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岩渕 康平SE</author>
  </authors>
  <commentList>
    <comment ref="C7" authorId="0" shapeId="0" xr:uid="{00000000-0006-0000-09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G7" authorId="1" shapeId="0" xr:uid="{00000000-0006-0000-0900-000002000000}">
      <text>
        <r>
          <rPr>
            <b/>
            <sz val="12"/>
            <color indexed="81"/>
            <rFont val="MS P ゴシック"/>
            <family val="3"/>
            <charset val="128"/>
          </rPr>
          <t>◆Required
必須項目
◆Recommended
基本対応。何らかの理由によりどうしても対応できない場合は見送りも可</t>
        </r>
      </text>
    </comment>
    <comment ref="AK7" authorId="1" shapeId="0" xr:uid="{00000000-0006-0000-0900-000003000000}">
      <text>
        <r>
          <rPr>
            <b/>
            <sz val="9"/>
            <color indexed="81"/>
            <rFont val="MS P ゴシック"/>
            <family val="3"/>
            <charset val="128"/>
          </rPr>
          <t>マルウェアによる標的型攻撃対策チェックリスト</t>
        </r>
      </text>
    </comment>
    <comment ref="AM7" authorId="1" shapeId="0" xr:uid="{00000000-0006-0000-0900-000004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E48" authorId="2" shapeId="0" xr:uid="{00000000-0006-0000-0900-000005000000}">
      <text>
        <r>
          <rPr>
            <sz val="13"/>
            <color indexed="81"/>
            <rFont val="MS P ゴシック"/>
            <family val="3"/>
            <charset val="128"/>
          </rPr>
          <t>リモートアクセスには社内向けWebアプリケーションへのアクセスも含む</t>
        </r>
      </text>
    </comment>
    <comment ref="E53" authorId="0" shapeId="0" xr:uid="{00000000-0006-0000-0900-000006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I53" authorId="1" shapeId="0" xr:uid="{00000000-0006-0000-0900-000007000000}">
      <text>
        <r>
          <rPr>
            <b/>
            <sz val="12"/>
            <color indexed="81"/>
            <rFont val="MS P ゴシック"/>
            <family val="3"/>
            <charset val="128"/>
          </rPr>
          <t>回答がNoもしくは対象外の場合、セル内のバイト数合計の変更有無で、塗りつぶしによるアラート解除の判定を行っております。</t>
        </r>
      </text>
    </comment>
    <comment ref="E55" authorId="2" shapeId="0" xr:uid="{B8B4F8D5-EFB3-4971-B3EF-C289089AE449}">
      <text>
        <r>
          <rPr>
            <sz val="13"/>
            <color indexed="81"/>
            <rFont val="MS P ゴシック"/>
            <family val="3"/>
            <charset val="128"/>
          </rPr>
          <t>回答時点でまだEDR共通基盤がリリースしていない場合は、回答はNOを選択し、備考に「EDR共通基盤未リリースのためNOと回答している」と記載</t>
        </r>
      </text>
    </comment>
    <comment ref="E73" authorId="0" shapeId="0" xr:uid="{00000000-0006-0000-0900-000008000000}">
      <text>
        <r>
          <rPr>
            <sz val="13"/>
            <color indexed="81"/>
            <rFont val="MS P ゴシック"/>
            <family val="3"/>
            <charset val="128"/>
          </rPr>
          <t>＜アウトソース先の共用機器に言及する理由＞
例えばアウトソース先のデータセンターにて、当社がインターネット非公開のシステムを提供しているとする。
この場合、当該データセンターが持つインターネットからの入口経路は、当社としては管理範囲から外れることが一般的である。
しかし、当社システムからの内部通信（例：DNSの名前解決）が、当該データセンターの入口経路を構成するNW機器を経由していた場合、当該データセンターを狙ったDoS、DDoS攻撃の影響を受ける(巻き込まれる）こととなる。
このような問題を回避するために、当社へのサービス提供に直接用いていない機器であっても、攻撃の影響が予測される範囲について、DoS、DDoS対策の状況についてお伺いするものである。</t>
        </r>
      </text>
    </comment>
    <comment ref="E74" authorId="0" shapeId="0" xr:uid="{00000000-0006-0000-0900-000009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r>
          <rPr>
            <sz val="9"/>
            <color indexed="81"/>
            <rFont val="MS P ゴシック"/>
            <family val="3"/>
            <charset val="128"/>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岩渕 康平SE</author>
  </authors>
  <commentList>
    <comment ref="C7" authorId="0" shapeId="0" xr:uid="{00000000-0006-0000-0A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G7" authorId="1" shapeId="0" xr:uid="{00000000-0006-0000-0A00-000002000000}">
      <text>
        <r>
          <rPr>
            <b/>
            <sz val="12"/>
            <color indexed="81"/>
            <rFont val="MS P ゴシック"/>
            <family val="3"/>
            <charset val="128"/>
          </rPr>
          <t>◆Required
必須項目
◆Recommended
基本対応。何らかの理由によりどうしても対応できない場合は見送りも可</t>
        </r>
      </text>
    </comment>
    <comment ref="AK7" authorId="1" shapeId="0" xr:uid="{00000000-0006-0000-0A00-000003000000}">
      <text>
        <r>
          <rPr>
            <b/>
            <sz val="9"/>
            <color indexed="81"/>
            <rFont val="MS P ゴシック"/>
            <family val="3"/>
            <charset val="128"/>
          </rPr>
          <t>マルウェアによる標的型攻撃対策チェックリスト</t>
        </r>
      </text>
    </comment>
    <comment ref="AM7" authorId="1" shapeId="0" xr:uid="{00000000-0006-0000-0A00-000004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E47" authorId="2" shapeId="0" xr:uid="{00000000-0006-0000-0A00-000005000000}">
      <text>
        <r>
          <rPr>
            <sz val="13"/>
            <color indexed="81"/>
            <rFont val="MS P ゴシック"/>
            <family val="3"/>
            <charset val="128"/>
          </rPr>
          <t>リモートアクセスには社内向けWebアプリケーションへのアクセスも含む</t>
        </r>
      </text>
    </comment>
    <comment ref="E52" authorId="0" shapeId="0" xr:uid="{00000000-0006-0000-0A00-000006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I52" authorId="1" shapeId="0" xr:uid="{00000000-0006-0000-0A00-000007000000}">
      <text>
        <r>
          <rPr>
            <b/>
            <sz val="12"/>
            <color indexed="81"/>
            <rFont val="MS P ゴシック"/>
            <family val="3"/>
            <charset val="128"/>
          </rPr>
          <t>回答がNoもしくは対象外の場合、セル内のバイト数合計の変更有無で、塗りつぶしによるアラート解除の判定を行っております。</t>
        </r>
      </text>
    </comment>
    <comment ref="E54" authorId="2" shapeId="0" xr:uid="{BE1CDDD4-4A73-4BA3-8A47-A29EF1F4DB0B}">
      <text>
        <r>
          <rPr>
            <sz val="13"/>
            <color indexed="81"/>
            <rFont val="MS P ゴシック"/>
            <family val="3"/>
            <charset val="128"/>
          </rPr>
          <t>回答時点でまだEDR共通基盤がリリースしていない場合は、回答はNOを選択し、備考に「EDR共通基盤未リリースのためNOと回答している」と記載</t>
        </r>
      </text>
    </comment>
    <comment ref="E72" authorId="0" shapeId="0" xr:uid="{00000000-0006-0000-0A00-000008000000}">
      <text>
        <r>
          <rPr>
            <sz val="13"/>
            <color indexed="81"/>
            <rFont val="MS P ゴシック"/>
            <family val="3"/>
            <charset val="128"/>
          </rPr>
          <t>＜アウトソース先の共用機器に言及する理由＞
例えばアウトソース先のデータセンターにて、当社がインターネット非公開のシステムを提供しているとする。
この場合、当該データセンターが持つインターネットからの入口経路は、当社としては管理範囲から外れることが一般的である。
しかし、当社システムからの内部通信（例：DNSの名前解決）が、当該データセンターの入口経路を構成するNW機器を経由していた場合、当該データセンターを狙ったDoS、DDoS攻撃の影響を受ける(巻き込まれる）こととなる。
このような問題を回避するために、当社へのサービス提供に直接用いていない機器であっても、攻撃の影響が予測される範囲について、DoS、DDoS対策の状況についてお伺いするものである。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s>
  <commentList>
    <comment ref="C6" authorId="0" shapeId="0" xr:uid="{00000000-0006-0000-0B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F6" authorId="1" shapeId="0" xr:uid="{00000000-0006-0000-0B00-000002000000}">
      <text>
        <r>
          <rPr>
            <b/>
            <sz val="12"/>
            <color indexed="81"/>
            <rFont val="MS P ゴシック"/>
            <family val="3"/>
            <charset val="128"/>
          </rPr>
          <t>◆Required
必須項目
◆Recommended
基本対応。何らかの理由によりどうしても対応できない場合は見送りも可</t>
        </r>
      </text>
    </comment>
    <comment ref="AI6" authorId="1" shapeId="0" xr:uid="{00000000-0006-0000-0B00-000003000000}">
      <text>
        <r>
          <rPr>
            <b/>
            <sz val="9"/>
            <color indexed="81"/>
            <rFont val="MS P ゴシック"/>
            <family val="3"/>
            <charset val="128"/>
          </rPr>
          <t>マルウェアによる標的型攻撃対策チェックリスト</t>
        </r>
      </text>
    </comment>
    <comment ref="AK6" authorId="1" shapeId="0" xr:uid="{00000000-0006-0000-0B00-000004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E24" authorId="0" shapeId="0" xr:uid="{00000000-0006-0000-0B00-000005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E26" authorId="0" shapeId="0" xr:uid="{00000000-0006-0000-0B00-000006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E32" authorId="0" shapeId="0" xr:uid="{00000000-0006-0000-0B00-000007000000}">
      <text>
        <r>
          <rPr>
            <sz val="13"/>
            <color indexed="81"/>
            <rFont val="MS P ゴシック"/>
            <family val="3"/>
            <charset val="128"/>
          </rPr>
          <t>お客様認証基盤やAuth0に対する不正アクセスの監視としては、既に基盤側で対策済である。</t>
        </r>
      </text>
    </comment>
    <comment ref="E36" authorId="0" shapeId="0" xr:uid="{00000000-0006-0000-0B00-000008000000}">
      <text>
        <r>
          <rPr>
            <sz val="13"/>
            <color indexed="81"/>
            <rFont val="MS P ゴシック"/>
            <family val="3"/>
            <charset val="128"/>
          </rPr>
          <t>ログの長期保管において、当社標準でログ管理基盤がある。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岩渕 康平SE</author>
    <author>川俣 虎月SE</author>
  </authors>
  <commentList>
    <comment ref="C7" authorId="0" shapeId="0" xr:uid="{00000000-0006-0000-0C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G7" authorId="1" shapeId="0" xr:uid="{00000000-0006-0000-0C00-000002000000}">
      <text>
        <r>
          <rPr>
            <b/>
            <sz val="12"/>
            <color indexed="81"/>
            <rFont val="MS P ゴシック"/>
            <family val="3"/>
            <charset val="128"/>
          </rPr>
          <t>◆Required
必須項目
◆Recommended
基本対応。何らかの理由によりどうしても対応できない場合は見送りも可</t>
        </r>
      </text>
    </comment>
    <comment ref="AF7" authorId="2" shapeId="0" xr:uid="{00000000-0006-0000-0C00-000003000000}">
      <text>
        <r>
          <rPr>
            <sz val="13"/>
            <color indexed="81"/>
            <rFont val="MS P ゴシック"/>
            <family val="3"/>
            <charset val="128"/>
          </rPr>
          <t>3.2.3.のみB案件かつB-2の場合にF列が回答になるフラグ</t>
        </r>
      </text>
    </comment>
    <comment ref="AS7" authorId="1" shapeId="0" xr:uid="{00000000-0006-0000-0C00-000004000000}">
      <text>
        <r>
          <rPr>
            <b/>
            <sz val="9"/>
            <color indexed="81"/>
            <rFont val="MS P ゴシック"/>
            <family val="3"/>
            <charset val="128"/>
          </rPr>
          <t>マルウェアによる標的型攻撃対策チェックリスト</t>
        </r>
      </text>
    </comment>
    <comment ref="AU7" authorId="1" shapeId="0" xr:uid="{00000000-0006-0000-0C00-000005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E25" authorId="0" shapeId="0" xr:uid="{00000000-0006-0000-0C00-000006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E27" authorId="0" shapeId="0" xr:uid="{00000000-0006-0000-0C00-000007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E36" authorId="0" shapeId="0" xr:uid="{00000000-0006-0000-0C00-000008000000}">
      <text>
        <r>
          <rPr>
            <sz val="13"/>
            <color indexed="81"/>
            <rFont val="MS P ゴシック"/>
            <family val="3"/>
            <charset val="128"/>
          </rPr>
          <t>お客様認証基盤やAuth0に対する不正アクセスの監視としては、既に基盤側で対策済である。</t>
        </r>
      </text>
    </comment>
    <comment ref="AF36" authorId="2" shapeId="0" xr:uid="{00000000-0006-0000-0C00-000009000000}">
      <text>
        <r>
          <rPr>
            <sz val="12"/>
            <color indexed="81"/>
            <rFont val="MS P ゴシック"/>
            <family val="3"/>
            <charset val="128"/>
          </rPr>
          <t>E列のグレーアウトは条件つき書式で制御</t>
        </r>
      </text>
    </comment>
    <comment ref="AI36" authorId="3" shapeId="0" xr:uid="{04E22478-E540-4F8A-B654-557FAA020128}">
      <text>
        <r>
          <rPr>
            <sz val="12"/>
            <color indexed="81"/>
            <rFont val="MS P ゴシック"/>
            <family val="3"/>
            <charset val="128"/>
          </rPr>
          <t>対応ランクB-2以下の時のみ「〇」を設定</t>
        </r>
      </text>
    </comment>
    <comment ref="E40" authorId="0" shapeId="0" xr:uid="{00000000-0006-0000-0C00-00000A000000}">
      <text>
        <r>
          <rPr>
            <sz val="13"/>
            <color indexed="81"/>
            <rFont val="MS P ゴシック"/>
            <family val="3"/>
            <charset val="128"/>
          </rPr>
          <t>AWS仮想化基盤、FaaS基盤はログを長期保管するのにS3を利用できる仕組みとなっている。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岩渕 康平SE</author>
  </authors>
  <commentList>
    <comment ref="C7" authorId="0" shapeId="0" xr:uid="{00000000-0006-0000-0D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G7" authorId="1" shapeId="0" xr:uid="{00000000-0006-0000-0D00-000002000000}">
      <text>
        <r>
          <rPr>
            <b/>
            <sz val="12"/>
            <color indexed="81"/>
            <rFont val="MS P ゴシック"/>
            <family val="3"/>
            <charset val="128"/>
          </rPr>
          <t>◆Required
必須項目
◆Recommended
基本対応。何らかの理由によりどうしても対応できない場合は見送りも可</t>
        </r>
      </text>
    </comment>
    <comment ref="AF7" authorId="2" shapeId="0" xr:uid="{00000000-0006-0000-0D00-000003000000}">
      <text>
        <r>
          <rPr>
            <sz val="13"/>
            <color indexed="81"/>
            <rFont val="MS P ゴシック"/>
            <family val="3"/>
            <charset val="128"/>
          </rPr>
          <t>3.2.2.のみB案件かつB-2の場合にF列が回答になるフラグ</t>
        </r>
      </text>
    </comment>
    <comment ref="AK7" authorId="1" shapeId="0" xr:uid="{00000000-0006-0000-0D00-000004000000}">
      <text>
        <r>
          <rPr>
            <b/>
            <sz val="9"/>
            <color indexed="81"/>
            <rFont val="MS P ゴシック"/>
            <family val="3"/>
            <charset val="128"/>
          </rPr>
          <t>マルウェアによる標的型攻撃対策チェックリスト</t>
        </r>
      </text>
    </comment>
    <comment ref="AM7" authorId="1" shapeId="0" xr:uid="{00000000-0006-0000-0D00-000005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E25" authorId="0" shapeId="0" xr:uid="{00000000-0006-0000-0D00-000006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E27" authorId="0" shapeId="0" xr:uid="{00000000-0006-0000-0D00-000007000000}">
      <text>
        <r>
          <rPr>
            <sz val="13"/>
            <color indexed="81"/>
            <rFont val="MS P ゴシック"/>
            <family val="3"/>
            <charset val="128"/>
          </rPr>
          <t>(システムズ向け)
当社標準のセキュリティツールについては以下のサイトを参照
&lt;セキュリティツール案内サイト&gt;
https://cc.tm.millea.co.jp/fw/dfw/SFDCLI/common/Login?startURL=https%3A%2F%2Ftokiomarine--c.visualforce.com%2Fa091000006z5roZAAQ</t>
        </r>
      </text>
    </comment>
    <comment ref="AF35" authorId="2" shapeId="0" xr:uid="{00000000-0006-0000-0D00-000008000000}">
      <text>
        <r>
          <rPr>
            <sz val="13"/>
            <color indexed="81"/>
            <rFont val="MS P ゴシック"/>
            <family val="3"/>
            <charset val="128"/>
          </rPr>
          <t>E列のグレーアウトは条件つき書式で制御</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岩渕 康平SE</author>
  </authors>
  <commentList>
    <comment ref="C7" authorId="0" shapeId="0" xr:uid="{00000000-0006-0000-0E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G7" authorId="1" shapeId="0" xr:uid="{00000000-0006-0000-0E00-000002000000}">
      <text>
        <r>
          <rPr>
            <b/>
            <sz val="12"/>
            <color indexed="81"/>
            <rFont val="MS P ゴシック"/>
            <family val="3"/>
            <charset val="128"/>
          </rPr>
          <t>◆Required
必須項目
◆Recommended
基本対応。何らかの理由によりどうしても対応できない場合は見送りも可</t>
        </r>
      </text>
    </comment>
    <comment ref="AF7" authorId="2" shapeId="0" xr:uid="{00000000-0006-0000-0E00-000003000000}">
      <text>
        <r>
          <rPr>
            <sz val="13"/>
            <color indexed="81"/>
            <rFont val="MS P ゴシック"/>
            <family val="3"/>
            <charset val="128"/>
          </rPr>
          <t>3.2.2.のみB案件かつB-2の場合にF列が回答になるフラグ</t>
        </r>
      </text>
    </comment>
    <comment ref="AK7" authorId="1" shapeId="0" xr:uid="{00000000-0006-0000-0E00-000004000000}">
      <text>
        <r>
          <rPr>
            <b/>
            <sz val="9"/>
            <color indexed="81"/>
            <rFont val="MS P ゴシック"/>
            <family val="3"/>
            <charset val="128"/>
          </rPr>
          <t>マルウェアによる標的型攻撃対策チェックリスト</t>
        </r>
      </text>
    </comment>
    <comment ref="AM7" authorId="1" shapeId="0" xr:uid="{00000000-0006-0000-0E00-000005000000}">
      <text>
        <r>
          <rPr>
            <b/>
            <sz val="9"/>
            <color indexed="81"/>
            <rFont val="MS P ゴシック"/>
            <family val="3"/>
            <charset val="128"/>
          </rPr>
          <t>別表１　ID管理およびデータアクセス等管理のチェックリスト（外部委託先用）
別表２　システム運用端末のチェックリスト
別表３　利用部門端末のチェックリスト別表３</t>
        </r>
      </text>
    </comment>
    <comment ref="AF35" authorId="2" shapeId="0" xr:uid="{00000000-0006-0000-0E00-000006000000}">
      <text>
        <r>
          <rPr>
            <sz val="13"/>
            <color indexed="81"/>
            <rFont val="MS P ゴシック"/>
            <family val="3"/>
            <charset val="128"/>
          </rPr>
          <t>E列のグレーアウトは条件つき書式で制御</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s>
  <commentList>
    <comment ref="C5" authorId="0" shapeId="0" xr:uid="{00000000-0006-0000-0F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J5" authorId="1" shapeId="0" xr:uid="{00000000-0006-0000-0F00-000002000000}">
      <text>
        <r>
          <rPr>
            <b/>
            <sz val="12"/>
            <color indexed="81"/>
            <rFont val="MS P ゴシック"/>
            <family val="3"/>
            <charset val="128"/>
          </rPr>
          <t>◆Required
必須項目
◆Recommended
基本対応。何らかの理由によりどうしても対応できない場合は見送りも可</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岩渕　康平</author>
    <author>作成者</author>
  </authors>
  <commentList>
    <comment ref="C6" authorId="0" shapeId="0" xr:uid="{00000000-0006-0000-1000-000001000000}">
      <text>
        <r>
          <rPr>
            <b/>
            <sz val="12"/>
            <color indexed="81"/>
            <rFont val="MS P ゴシック"/>
            <family val="3"/>
            <charset val="128"/>
          </rPr>
          <t>本IDは各確認項目に対し不変のため、前回回答時から変更がない項目についてのVLOOKUP等の紐づけに使用下さい</t>
        </r>
      </text>
    </comment>
    <comment ref="F6" authorId="1" shapeId="0" xr:uid="{00000000-0006-0000-1000-000002000000}">
      <text>
        <r>
          <rPr>
            <b/>
            <sz val="12"/>
            <color indexed="81"/>
            <rFont val="MS P ゴシック"/>
            <family val="3"/>
            <charset val="128"/>
          </rPr>
          <t>◆Required
必須項目
◆Recommended
基本対応。何らかの理由によりどうしても対応できない場合は見送りも可</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<sst xmlns="http://schemas.openxmlformats.org/spreadsheetml/2006/main" count="12513" uniqueCount="2287">
  <si>
    <r>
      <t xml:space="preserve">本文書を受領されましたら、他のページをご覧いただく前にまず以下を必ずご一読ください。
</t>
    </r>
    <r>
      <rPr>
        <sz val="8"/>
        <color rgb="FF000000"/>
        <rFont val="Meiryo UI"/>
        <family val="3"/>
        <charset val="128"/>
      </rPr>
      <t>When you receive this document, please ensure that you read the following first before opening and moving to any other page or sheet of this document.</t>
    </r>
    <phoneticPr fontId="19"/>
  </si>
  <si>
    <r>
      <t xml:space="preserve">弊社は、以下の事項につき、御社が本文書を開封したことをもって同意したものとみなします。
</t>
    </r>
    <r>
      <rPr>
        <sz val="8"/>
        <color rgb="FF000000"/>
        <rFont val="Meiryo UI"/>
        <family val="3"/>
        <charset val="128"/>
      </rPr>
      <t>Your company will be deemed to have consented and agreed on the following terms and conditions upon opening of this document.</t>
    </r>
    <phoneticPr fontId="19"/>
  </si>
  <si>
    <r>
      <rPr>
        <b/>
        <sz val="10"/>
        <color rgb="FF000000"/>
        <rFont val="Meiryo UI"/>
        <family val="3"/>
        <charset val="128"/>
      </rPr>
      <t xml:space="preserve">1.本文書の取扱いについて
</t>
    </r>
    <r>
      <rPr>
        <sz val="10"/>
        <color rgb="FF000000"/>
        <rFont val="Meiryo UI"/>
        <family val="3"/>
        <charset val="128"/>
      </rPr>
      <t xml:space="preserve">本文書（本文書に関連して電子メールや口頭により開示した情報を含みます。以下同じとします。）には弊社及び東京海上グループ会社の営業秘密が含まれています。
御社は、本文書を開封した時点より、本文書を善良なる管理者の注意をもって厳重に管理する義務を負うものとし、弊社への回答の目的以外に使用すること、及び本文書を第三者（本文書記載の質問に回答するために必要となる再委託先を除きます。）に開示し又は漏えいしないものとします。
</t>
    </r>
    <r>
      <rPr>
        <sz val="8"/>
        <color rgb="FF000000"/>
        <rFont val="Meiryo UI"/>
        <family val="3"/>
        <charset val="128"/>
      </rPr>
      <t xml:space="preserve">1.Handling of this document
This document (including information disclosed by e-mail or verbally in connection with this document. The same shall apply hereinafter.) contains trade secrets of our company and Tokio Marine Group companies.
From the time your company opens this document, your company must carefully retain and manage this document with due care of a prudent manager, and must not disclose or leak this document to any third party (other than subcontractors required to respond to queries described in this document) or use it for purposes other than responding to the queries to our company. </t>
    </r>
    <phoneticPr fontId="19"/>
  </si>
  <si>
    <r>
      <rPr>
        <b/>
        <sz val="10"/>
        <color rgb="FF000000"/>
        <rFont val="Meiryo UI"/>
        <family val="3"/>
        <charset val="128"/>
      </rPr>
      <t>2.御社から受領した本文書の回答の取扱いについて</t>
    </r>
    <r>
      <rPr>
        <sz val="10"/>
        <color rgb="FF000000"/>
        <rFont val="Meiryo UI"/>
        <family val="3"/>
        <charset val="128"/>
      </rPr>
      <t xml:space="preserve">
弊社は、御社から受領した本文書の回答（本文書の回答に関連して電子メールや口頭により受領した情報を含み、以下「本回答」といいます。）を外部委託先の選定・評価・管理の目的で使用します。
弊社は、本回答を第三者に開示し又は漏えいしません。ただし、弊社は、外部委託先の選定・評価・管理を目的として、本回答を東京海上グループ会社並びに外部委託先の選定・評価・管理に関する業務の一部を委託している弊社及びグループ会社の委託先に開示します。
弊社は、官公庁からの求めに応じて、官公庁に対し本回答の全部又は一部を官公庁に開示することがあります。
</t>
    </r>
    <r>
      <rPr>
        <sz val="8"/>
        <color rgb="FF000000"/>
        <rFont val="Meiryo UI"/>
        <family val="3"/>
        <charset val="128"/>
      </rPr>
      <t>2.Handling of responses to this document received from your company
Our company will use the responses to this document (including information received by e-mail or orally in connection with responses to this document) received from your company (hereinafter referred to as the "Response") for the purposes of selecting, evaluating, and managing outsourcees. 
Our company will not disclose or leak the Response to any third parties, provided that, for the purpose of selecting, evaluating, and managing outsourcees, our company will disclose the Response to Tokio Marine Group companies and outsourcees of our company and/or Tokio Marine Group companies that are entrusted with part of the operations related to selection, evaluation, and management of outsourcees. 
Our company may disclose all or part of the Response to government agencies upon their requests.</t>
    </r>
    <phoneticPr fontId="19"/>
  </si>
  <si>
    <r>
      <rPr>
        <b/>
        <sz val="10"/>
        <color rgb="FF000000"/>
        <rFont val="Meiryo UI"/>
        <family val="3"/>
        <charset val="128"/>
      </rPr>
      <t>3.異議がある場合について</t>
    </r>
    <r>
      <rPr>
        <sz val="10"/>
        <color rgb="FF000000"/>
        <rFont val="Meiryo UI"/>
        <family val="3"/>
        <charset val="128"/>
      </rPr>
      <t xml:space="preserve">
上記事項に関して異議がある場合には、直ちに本文書を廃棄の上、弊社担当者までご連絡ください。
</t>
    </r>
    <r>
      <rPr>
        <sz val="8"/>
        <color rgb="FF000000"/>
        <rFont val="Meiryo UI"/>
        <family val="3"/>
        <charset val="128"/>
      </rPr>
      <t>3.Objections
If you have any objection to the above terms and conditions, please immediately destroy this document and contact our company representative.</t>
    </r>
    <phoneticPr fontId="19"/>
  </si>
  <si>
    <t>東京海上日動システムズ　セキュリティ要件チェックリスト</t>
    <rPh sb="0" eb="6">
      <t>トウキョウカイジョウニチドウ</t>
    </rPh>
    <rPh sb="18" eb="20">
      <t>ヨウケン</t>
    </rPh>
    <phoneticPr fontId="7"/>
  </si>
  <si>
    <t>↓非表示列↓</t>
    <rPh sb="1" eb="4">
      <t>ヒヒョウジ</t>
    </rPh>
    <rPh sb="4" eb="5">
      <t>レツ</t>
    </rPh>
    <phoneticPr fontId="7"/>
  </si>
  <si>
    <t>要回答</t>
    <rPh sb="0" eb="1">
      <t>ヨウ</t>
    </rPh>
    <rPh sb="1" eb="3">
      <t>カイトウ</t>
    </rPh>
    <phoneticPr fontId="7"/>
  </si>
  <si>
    <t>１．本チェックリストの回答方法</t>
    <rPh sb="2" eb="3">
      <t>ホン</t>
    </rPh>
    <rPh sb="11" eb="13">
      <t>カイトウ</t>
    </rPh>
    <rPh sb="13" eb="15">
      <t>ホウホウ</t>
    </rPh>
    <phoneticPr fontId="7"/>
  </si>
  <si>
    <t>未回答</t>
    <rPh sb="0" eb="3">
      <t>ミカイトウ</t>
    </rPh>
    <phoneticPr fontId="7"/>
  </si>
  <si>
    <t>3．要回答項目</t>
    <rPh sb="2" eb="5">
      <t>ヨウカイトウ</t>
    </rPh>
    <rPh sb="5" eb="7">
      <t>コウモク</t>
    </rPh>
    <phoneticPr fontId="7"/>
  </si>
  <si>
    <r>
      <t>（１）当Sheet（インデックスSheet）の</t>
    </r>
    <r>
      <rPr>
        <b/>
        <sz val="11"/>
        <color theme="1"/>
        <rFont val="Yu Gothic"/>
        <family val="3"/>
        <charset val="128"/>
        <scheme val="minor"/>
      </rPr>
      <t>２．プロジェクトの概要</t>
    </r>
    <r>
      <rPr>
        <sz val="11"/>
        <color theme="1"/>
        <rFont val="Yu Gothic"/>
        <family val="2"/>
        <scheme val="minor"/>
      </rPr>
      <t>をご回答ください。</t>
    </r>
    <rPh sb="3" eb="4">
      <t>トウ</t>
    </rPh>
    <rPh sb="32" eb="34">
      <t>ガイヨウ</t>
    </rPh>
    <rPh sb="35" eb="37">
      <t>カイトウ</t>
    </rPh>
    <phoneticPr fontId="7"/>
  </si>
  <si>
    <t>検討中</t>
    <rPh sb="0" eb="3">
      <t>ケントウチュウ</t>
    </rPh>
    <phoneticPr fontId="7"/>
  </si>
  <si>
    <t>今回の要回答項目は以下の通りです。（開発工程が進むと増えます）</t>
    <rPh sb="0" eb="2">
      <t>コンカイ</t>
    </rPh>
    <rPh sb="3" eb="6">
      <t>ヨウカイトウ</t>
    </rPh>
    <rPh sb="6" eb="8">
      <t>コウモク</t>
    </rPh>
    <rPh sb="9" eb="11">
      <t>イカ</t>
    </rPh>
    <rPh sb="12" eb="13">
      <t>トオ</t>
    </rPh>
    <rPh sb="18" eb="20">
      <t>カイハツ</t>
    </rPh>
    <rPh sb="20" eb="22">
      <t>コウテイ</t>
    </rPh>
    <rPh sb="23" eb="24">
      <t>スス</t>
    </rPh>
    <rPh sb="26" eb="27">
      <t>フ</t>
    </rPh>
    <phoneticPr fontId="7"/>
  </si>
  <si>
    <r>
      <t>（２）上記の回答に応じて、各回答先Sheet（態勢～</t>
    </r>
    <r>
      <rPr>
        <sz val="11"/>
        <color theme="1"/>
        <rFont val="Yu Gothic"/>
        <family val="3"/>
        <charset val="128"/>
        <scheme val="minor"/>
      </rPr>
      <t>外部</t>
    </r>
    <r>
      <rPr>
        <sz val="11"/>
        <color theme="1"/>
        <rFont val="Yu Gothic"/>
        <family val="2"/>
        <scheme val="minor"/>
      </rPr>
      <t>API Sheet）のうち要回答項目が白抜きになります。</t>
    </r>
    <rPh sb="3" eb="5">
      <t>ジョウキ</t>
    </rPh>
    <rPh sb="6" eb="8">
      <t>カイトウ</t>
    </rPh>
    <rPh sb="9" eb="10">
      <t>オウ</t>
    </rPh>
    <rPh sb="26" eb="28">
      <t>ガイブ</t>
    </rPh>
    <phoneticPr fontId="7"/>
  </si>
  <si>
    <t>未回答項目数がゼロになったことを確認してからご提出ください。</t>
    <rPh sb="0" eb="3">
      <t>ミカイトウ</t>
    </rPh>
    <rPh sb="3" eb="6">
      <t>コウモクスウ</t>
    </rPh>
    <rPh sb="16" eb="18">
      <t>カクニン</t>
    </rPh>
    <rPh sb="23" eb="25">
      <t>テイシュツ</t>
    </rPh>
    <phoneticPr fontId="7"/>
  </si>
  <si>
    <r>
      <t>　　　</t>
    </r>
    <r>
      <rPr>
        <b/>
        <sz val="11"/>
        <color theme="1"/>
        <rFont val="Yu Gothic"/>
        <family val="3"/>
        <charset val="128"/>
        <scheme val="minor"/>
      </rPr>
      <t>３．要回答項目</t>
    </r>
    <r>
      <rPr>
        <sz val="11"/>
        <color theme="1"/>
        <rFont val="Yu Gothic"/>
        <family val="2"/>
        <scheme val="minor"/>
      </rPr>
      <t>を参照の上、各シートにご回答ください。</t>
    </r>
    <rPh sb="5" eb="8">
      <t>ヨウカイトウ</t>
    </rPh>
    <rPh sb="8" eb="10">
      <t>コウモク</t>
    </rPh>
    <rPh sb="11" eb="13">
      <t>サンショウ</t>
    </rPh>
    <rPh sb="14" eb="15">
      <t>ウエ</t>
    </rPh>
    <rPh sb="16" eb="17">
      <t>カク</t>
    </rPh>
    <rPh sb="22" eb="24">
      <t>カイトウ</t>
    </rPh>
    <phoneticPr fontId="7"/>
  </si>
  <si>
    <t>　　　なお、「検討中」を選ぶと、関連するセキュリティ要件は全て白抜きされます。</t>
    <phoneticPr fontId="7"/>
  </si>
  <si>
    <t>（３）当チェックリストは、開発プロジェクトの工程にあわせて育てていくイメージです。</t>
    <rPh sb="3" eb="4">
      <t>トウ</t>
    </rPh>
    <rPh sb="13" eb="15">
      <t>カイハツ</t>
    </rPh>
    <rPh sb="22" eb="24">
      <t>コウテイ</t>
    </rPh>
    <rPh sb="29" eb="30">
      <t>ソダ</t>
    </rPh>
    <phoneticPr fontId="7"/>
  </si>
  <si>
    <t>一度回答した要件を再度答えることがないよう、工程ごとに新規にチェックリストを作る必要はありません。</t>
    <rPh sb="0" eb="2">
      <t>イチド</t>
    </rPh>
    <rPh sb="2" eb="4">
      <t>カイトウ</t>
    </rPh>
    <rPh sb="6" eb="8">
      <t>ヨウケン</t>
    </rPh>
    <rPh sb="9" eb="11">
      <t>サイド</t>
    </rPh>
    <rPh sb="11" eb="12">
      <t>コタ</t>
    </rPh>
    <rPh sb="22" eb="24">
      <t>コウテイ</t>
    </rPh>
    <rPh sb="27" eb="29">
      <t>シンキ</t>
    </rPh>
    <rPh sb="38" eb="39">
      <t>ツク</t>
    </rPh>
    <rPh sb="40" eb="42">
      <t>ヒツヨウ</t>
    </rPh>
    <phoneticPr fontId="7"/>
  </si>
  <si>
    <t>　　　回答項目により開発部、基盤部が回答すべき項目がありますが、サプライヤが取りまとめて回答を集めて下さい。</t>
    <rPh sb="3" eb="5">
      <t>カイトウ</t>
    </rPh>
    <rPh sb="5" eb="7">
      <t>コウモク</t>
    </rPh>
    <rPh sb="10" eb="12">
      <t>カイハツ</t>
    </rPh>
    <rPh sb="12" eb="13">
      <t>ブ</t>
    </rPh>
    <rPh sb="14" eb="16">
      <t>キバン</t>
    </rPh>
    <rPh sb="16" eb="17">
      <t>ブ</t>
    </rPh>
    <rPh sb="18" eb="20">
      <t>カイトウ</t>
    </rPh>
    <rPh sb="23" eb="25">
      <t>コウモク</t>
    </rPh>
    <rPh sb="38" eb="39">
      <t>ト</t>
    </rPh>
    <rPh sb="44" eb="46">
      <t>カイトウ</t>
    </rPh>
    <rPh sb="47" eb="48">
      <t>アツ</t>
    </rPh>
    <rPh sb="50" eb="51">
      <t>クダ</t>
    </rPh>
    <phoneticPr fontId="7"/>
  </si>
  <si>
    <t>２．プロジェクトの概要</t>
    <rPh sb="9" eb="11">
      <t>ガイヨウ</t>
    </rPh>
    <phoneticPr fontId="7"/>
  </si>
  <si>
    <t>（１）プロジェクト名・システム名をご記入ください。</t>
    <rPh sb="9" eb="10">
      <t>メイ</t>
    </rPh>
    <rPh sb="15" eb="16">
      <t>メイ</t>
    </rPh>
    <rPh sb="18" eb="20">
      <t>キニュウ</t>
    </rPh>
    <phoneticPr fontId="7"/>
  </si>
  <si>
    <t>記載者部署・氏名</t>
    <rPh sb="0" eb="2">
      <t>キサイ</t>
    </rPh>
    <rPh sb="2" eb="3">
      <t>シャ</t>
    </rPh>
    <rPh sb="3" eb="5">
      <t>ブショ</t>
    </rPh>
    <rPh sb="6" eb="8">
      <t>シメイ</t>
    </rPh>
    <phoneticPr fontId="7"/>
  </si>
  <si>
    <t>案件No</t>
    <rPh sb="0" eb="2">
      <t>アンケン</t>
    </rPh>
    <phoneticPr fontId="7"/>
  </si>
  <si>
    <t>プロジェクト名</t>
    <rPh sb="6" eb="7">
      <t>メイ</t>
    </rPh>
    <phoneticPr fontId="7"/>
  </si>
  <si>
    <t>システム名</t>
    <rPh sb="4" eb="5">
      <t>メイ</t>
    </rPh>
    <phoneticPr fontId="7"/>
  </si>
  <si>
    <t>（２）回答スコープについてご記入ください。</t>
    <rPh sb="3" eb="5">
      <t>カイトウ</t>
    </rPh>
    <rPh sb="14" eb="16">
      <t>キニュウ</t>
    </rPh>
    <phoneticPr fontId="7"/>
  </si>
  <si>
    <t>ａ．回答対象のシステム構成を選んでください。</t>
    <rPh sb="2" eb="4">
      <t>カイトウ</t>
    </rPh>
    <rPh sb="4" eb="6">
      <t>タイショウ</t>
    </rPh>
    <rPh sb="11" eb="13">
      <t>コウセイ</t>
    </rPh>
    <rPh sb="14" eb="15">
      <t>エラ</t>
    </rPh>
    <phoneticPr fontId="7"/>
  </si>
  <si>
    <t>単体のシステムのみで構成されている</t>
    <rPh sb="0" eb="2">
      <t>タンタイ</t>
    </rPh>
    <rPh sb="10" eb="12">
      <t>コウセイ</t>
    </rPh>
    <phoneticPr fontId="7"/>
  </si>
  <si>
    <t>複数のシステム・サービス（外部委託含む）を組み合わせている</t>
    <rPh sb="0" eb="2">
      <t>フクスウ</t>
    </rPh>
    <phoneticPr fontId="7"/>
  </si>
  <si>
    <t>例：「画面はSOE・バックエンドはSOR」「オンプレ開発部分とSaaSの組み合わせがある」等</t>
    <rPh sb="0" eb="1">
      <t>レイ</t>
    </rPh>
    <rPh sb="3" eb="5">
      <t>ガメン</t>
    </rPh>
    <rPh sb="26" eb="28">
      <t>カイハツ</t>
    </rPh>
    <rPh sb="28" eb="30">
      <t>ブブン</t>
    </rPh>
    <rPh sb="36" eb="37">
      <t>ク</t>
    </rPh>
    <rPh sb="38" eb="39">
      <t>ア</t>
    </rPh>
    <rPh sb="45" eb="46">
      <t>ナド</t>
    </rPh>
    <phoneticPr fontId="7"/>
  </si>
  <si>
    <t>ｂ．上記で「複数のシステム～」を選んだ場合、当チェックリストの回答範囲を選んでください。</t>
    <rPh sb="2" eb="4">
      <t>ジョウキ</t>
    </rPh>
    <rPh sb="6" eb="8">
      <t>フクスウ</t>
    </rPh>
    <rPh sb="16" eb="17">
      <t>エラ</t>
    </rPh>
    <rPh sb="19" eb="21">
      <t>バアイ</t>
    </rPh>
    <rPh sb="22" eb="23">
      <t>トウ</t>
    </rPh>
    <rPh sb="31" eb="33">
      <t>カイトウ</t>
    </rPh>
    <rPh sb="33" eb="35">
      <t>ハンイ</t>
    </rPh>
    <rPh sb="36" eb="37">
      <t>エラ</t>
    </rPh>
    <phoneticPr fontId="7"/>
  </si>
  <si>
    <t>システム全体を包括して、当チェックリストで回答する</t>
    <rPh sb="4" eb="6">
      <t>ゼンタイ</t>
    </rPh>
    <rPh sb="7" eb="9">
      <t>ホウカツ</t>
    </rPh>
    <rPh sb="12" eb="13">
      <t>トウ</t>
    </rPh>
    <rPh sb="21" eb="23">
      <t>カイトウ</t>
    </rPh>
    <phoneticPr fontId="7"/>
  </si>
  <si>
    <t>一部のシステムに限定して、当チェックリストで回答する（他のシステムについては、別途チェックリストを作成する）</t>
    <rPh sb="0" eb="2">
      <t>イチブ</t>
    </rPh>
    <rPh sb="8" eb="10">
      <t>ゲンテイ</t>
    </rPh>
    <rPh sb="13" eb="14">
      <t>トウ</t>
    </rPh>
    <rPh sb="22" eb="24">
      <t>カイトウ</t>
    </rPh>
    <rPh sb="27" eb="28">
      <t>ホカ</t>
    </rPh>
    <rPh sb="39" eb="41">
      <t>ベット</t>
    </rPh>
    <rPh sb="49" eb="51">
      <t>サクセイ</t>
    </rPh>
    <phoneticPr fontId="7"/>
  </si>
  <si>
    <t>当チェックリストで回答するスコープをご記載ください。</t>
    <rPh sb="0" eb="1">
      <t>トウ</t>
    </rPh>
    <rPh sb="9" eb="11">
      <t>カイトウ</t>
    </rPh>
    <rPh sb="19" eb="21">
      <t>キサイ</t>
    </rPh>
    <phoneticPr fontId="7"/>
  </si>
  <si>
    <t>（３）開発対象システムの構築状況をご記入ください。</t>
    <rPh sb="3" eb="5">
      <t>カイハツ</t>
    </rPh>
    <rPh sb="5" eb="7">
      <t>タイショウ</t>
    </rPh>
    <rPh sb="12" eb="14">
      <t>コウチク</t>
    </rPh>
    <rPh sb="14" eb="16">
      <t>ジョウキョウ</t>
    </rPh>
    <rPh sb="18" eb="20">
      <t>キニュウ</t>
    </rPh>
    <phoneticPr fontId="7"/>
  </si>
  <si>
    <t>未構築（今回、新規に開発する）</t>
    <rPh sb="0" eb="1">
      <t>ミ</t>
    </rPh>
    <rPh sb="1" eb="3">
      <t>コウチク</t>
    </rPh>
    <rPh sb="4" eb="6">
      <t>コンカイ</t>
    </rPh>
    <rPh sb="7" eb="9">
      <t>シンキ</t>
    </rPh>
    <rPh sb="10" eb="12">
      <t>カイハツ</t>
    </rPh>
    <phoneticPr fontId="7"/>
  </si>
  <si>
    <t>構築済（今回、既存システムに対して改修を行う）</t>
    <rPh sb="0" eb="2">
      <t>コウチク</t>
    </rPh>
    <rPh sb="2" eb="3">
      <t>ズ</t>
    </rPh>
    <rPh sb="4" eb="6">
      <t>コンカイ</t>
    </rPh>
    <rPh sb="7" eb="9">
      <t>キゾン</t>
    </rPh>
    <rPh sb="14" eb="15">
      <t>タイ</t>
    </rPh>
    <rPh sb="17" eb="19">
      <t>カイシュウ</t>
    </rPh>
    <rPh sb="20" eb="21">
      <t>オコナ</t>
    </rPh>
    <phoneticPr fontId="7"/>
  </si>
  <si>
    <t>構築済だが、ITサ管理部アウトソース担当から「外部委託先評価を再度実施要」と指摘されている</t>
    <rPh sb="0" eb="2">
      <t>コウチク</t>
    </rPh>
    <rPh sb="2" eb="3">
      <t>スミ</t>
    </rPh>
    <rPh sb="9" eb="11">
      <t>カンリ</t>
    </rPh>
    <rPh sb="11" eb="12">
      <t>ブ</t>
    </rPh>
    <phoneticPr fontId="7"/>
  </si>
  <si>
    <r>
      <t>（</t>
    </r>
    <r>
      <rPr>
        <sz val="11"/>
        <rFont val="Yu Gothic"/>
        <family val="3"/>
        <charset val="128"/>
        <scheme val="minor"/>
      </rPr>
      <t>４）現在の開発工程（チェックリストの回答タイミング）を選んでください</t>
    </r>
    <rPh sb="3" eb="5">
      <t>ゲンザイ</t>
    </rPh>
    <rPh sb="6" eb="8">
      <t>カイハツ</t>
    </rPh>
    <rPh sb="8" eb="10">
      <t>コウテイ</t>
    </rPh>
    <rPh sb="19" eb="21">
      <t>カイトウ</t>
    </rPh>
    <rPh sb="28" eb="29">
      <t>エラ</t>
    </rPh>
    <phoneticPr fontId="7"/>
  </si>
  <si>
    <t>PRJ計画時</t>
    <phoneticPr fontId="7"/>
  </si>
  <si>
    <t>外部委託先評価時</t>
    <rPh sb="0" eb="2">
      <t>ガイブ</t>
    </rPh>
    <rPh sb="2" eb="4">
      <t>イタク</t>
    </rPh>
    <rPh sb="4" eb="5">
      <t>サキ</t>
    </rPh>
    <rPh sb="5" eb="7">
      <t>ヒョウカ</t>
    </rPh>
    <rPh sb="7" eb="8">
      <t>ジ</t>
    </rPh>
    <phoneticPr fontId="7"/>
  </si>
  <si>
    <t>SAUC完了時、もしくは運用移管時</t>
    <rPh sb="4" eb="6">
      <t>カンリョウ</t>
    </rPh>
    <rPh sb="6" eb="7">
      <t>ジ</t>
    </rPh>
    <rPh sb="12" eb="14">
      <t>ウンヨウ</t>
    </rPh>
    <rPh sb="14" eb="16">
      <t>イカン</t>
    </rPh>
    <rPh sb="16" eb="17">
      <t>ジ</t>
    </rPh>
    <phoneticPr fontId="7"/>
  </si>
  <si>
    <t>SIレビュー時</t>
    <rPh sb="6" eb="7">
      <t>ジ</t>
    </rPh>
    <phoneticPr fontId="7"/>
  </si>
  <si>
    <t>（５）プロジェクトの開発承認レベルを選んでください</t>
    <rPh sb="10" eb="12">
      <t>カイハツ</t>
    </rPh>
    <rPh sb="12" eb="14">
      <t>ショウニン</t>
    </rPh>
    <rPh sb="18" eb="19">
      <t>エラ</t>
    </rPh>
    <phoneticPr fontId="7"/>
  </si>
  <si>
    <t>B以上</t>
    <rPh sb="1" eb="3">
      <t>イジョウ</t>
    </rPh>
    <phoneticPr fontId="7"/>
  </si>
  <si>
    <t>C</t>
    <phoneticPr fontId="7"/>
  </si>
  <si>
    <t>（６）開発対象システムのセキュリティ対応ランクを選んでください。</t>
    <rPh sb="3" eb="5">
      <t>カイハツ</t>
    </rPh>
    <rPh sb="5" eb="7">
      <t>タイショウ</t>
    </rPh>
    <rPh sb="24" eb="25">
      <t>エラ</t>
    </rPh>
    <phoneticPr fontId="7"/>
  </si>
  <si>
    <t>判定方法は「判定シート」Sheetをご参照ください。</t>
    <rPh sb="0" eb="2">
      <t>ハンテイ</t>
    </rPh>
    <rPh sb="2" eb="4">
      <t>ホウホウ</t>
    </rPh>
    <rPh sb="19" eb="21">
      <t>サンショウ</t>
    </rPh>
    <phoneticPr fontId="7"/>
  </si>
  <si>
    <t>■</t>
    <phoneticPr fontId="7"/>
  </si>
  <si>
    <t>対応ランクA</t>
    <rPh sb="0" eb="2">
      <t>タイオウ</t>
    </rPh>
    <phoneticPr fontId="7"/>
  </si>
  <si>
    <t>※検討中選択時もON</t>
    <rPh sb="1" eb="4">
      <t>ケントウチュウ</t>
    </rPh>
    <rPh sb="4" eb="6">
      <t>センタク</t>
    </rPh>
    <rPh sb="6" eb="7">
      <t>ジ</t>
    </rPh>
    <phoneticPr fontId="7"/>
  </si>
  <si>
    <t>対応ランクB-1</t>
    <rPh sb="0" eb="2">
      <t>タイオウ</t>
    </rPh>
    <phoneticPr fontId="7"/>
  </si>
  <si>
    <t>※検討中フラグ</t>
    <rPh sb="1" eb="4">
      <t>ケントウチュウ</t>
    </rPh>
    <phoneticPr fontId="7"/>
  </si>
  <si>
    <t>（７）開発対象システムのランサムウェア対応分類を選んでください。</t>
    <rPh sb="24" eb="25">
      <t>エラ</t>
    </rPh>
    <phoneticPr fontId="7"/>
  </si>
  <si>
    <t>ランサムウェア対応分類A</t>
    <phoneticPr fontId="7"/>
  </si>
  <si>
    <t>ランサムウェア対応分類B</t>
    <phoneticPr fontId="7"/>
  </si>
  <si>
    <t>ランサムウェア対応分類C</t>
    <phoneticPr fontId="7"/>
  </si>
  <si>
    <t>検討中（PRJ計画時のみ選択可能。SAUC以降は決定内容を再選択し、対応する要件を確認してください）</t>
    <rPh sb="0" eb="3">
      <t>ケントウチュウ</t>
    </rPh>
    <rPh sb="7" eb="9">
      <t>ケイカク</t>
    </rPh>
    <rPh sb="9" eb="10">
      <t>ジ</t>
    </rPh>
    <rPh sb="12" eb="14">
      <t>センタク</t>
    </rPh>
    <rPh sb="14" eb="16">
      <t>カノウ</t>
    </rPh>
    <rPh sb="21" eb="23">
      <t>イコウ</t>
    </rPh>
    <rPh sb="24" eb="26">
      <t>ケッテイ</t>
    </rPh>
    <rPh sb="26" eb="28">
      <t>ナイヨウ</t>
    </rPh>
    <rPh sb="29" eb="32">
      <t>サイセンタク</t>
    </rPh>
    <rPh sb="34" eb="36">
      <t>タイオウ</t>
    </rPh>
    <rPh sb="38" eb="40">
      <t>ヨウケン</t>
    </rPh>
    <rPh sb="41" eb="43">
      <t>カクニン</t>
    </rPh>
    <phoneticPr fontId="7"/>
  </si>
  <si>
    <t>（８）プロジェクトの開発形態を選んでください</t>
    <rPh sb="10" eb="12">
      <t>カイハツ</t>
    </rPh>
    <rPh sb="12" eb="14">
      <t>ケイタイ</t>
    </rPh>
    <rPh sb="15" eb="16">
      <t>エラ</t>
    </rPh>
    <phoneticPr fontId="7"/>
  </si>
  <si>
    <t>自社開発</t>
    <rPh sb="0" eb="2">
      <t>ジシャ</t>
    </rPh>
    <rPh sb="2" eb="4">
      <t>カイハツ</t>
    </rPh>
    <phoneticPr fontId="7"/>
  </si>
  <si>
    <t>アウトソース、もしくは外部サービス利用</t>
    <rPh sb="11" eb="13">
      <t>ガイブ</t>
    </rPh>
    <rPh sb="17" eb="19">
      <t>リヨウ</t>
    </rPh>
    <phoneticPr fontId="7"/>
  </si>
  <si>
    <t>（９）開発対象システムの種類を選んでください。（複数選択可）</t>
    <rPh sb="3" eb="5">
      <t>カイハツ</t>
    </rPh>
    <rPh sb="5" eb="7">
      <t>タイショウ</t>
    </rPh>
    <rPh sb="12" eb="14">
      <t>シュルイ</t>
    </rPh>
    <rPh sb="15" eb="16">
      <t>エラ</t>
    </rPh>
    <rPh sb="24" eb="26">
      <t>フクスウ</t>
    </rPh>
    <rPh sb="26" eb="28">
      <t>センタク</t>
    </rPh>
    <rPh sb="28" eb="29">
      <t>カ</t>
    </rPh>
    <phoneticPr fontId="7"/>
  </si>
  <si>
    <t>静的なWebアプリケーション</t>
    <rPh sb="0" eb="2">
      <t>セイテキ</t>
    </rPh>
    <phoneticPr fontId="7"/>
  </si>
  <si>
    <r>
      <t>動的なWebアプリケーションもしくは</t>
    </r>
    <r>
      <rPr>
        <sz val="11"/>
        <color theme="1"/>
        <rFont val="Yu Gothic"/>
        <family val="3"/>
        <charset val="128"/>
        <scheme val="minor"/>
      </rPr>
      <t>内部</t>
    </r>
    <r>
      <rPr>
        <sz val="11"/>
        <color theme="1"/>
        <rFont val="Yu Gothic"/>
        <family val="2"/>
        <scheme val="minor"/>
      </rPr>
      <t>API</t>
    </r>
    <rPh sb="0" eb="2">
      <t>ドウテキ</t>
    </rPh>
    <rPh sb="18" eb="20">
      <t>ナイブ</t>
    </rPh>
    <phoneticPr fontId="7"/>
  </si>
  <si>
    <t>ただし、以下いずれかの条件に該当する変更のみであり、基盤部分についても一切変更しない。</t>
    <rPh sb="4" eb="6">
      <t>イカ</t>
    </rPh>
    <rPh sb="11" eb="13">
      <t>ジョウケン</t>
    </rPh>
    <rPh sb="14" eb="16">
      <t>ガイトウ</t>
    </rPh>
    <rPh sb="18" eb="20">
      <t>ヘンコウ</t>
    </rPh>
    <rPh sb="26" eb="28">
      <t>キバン</t>
    </rPh>
    <rPh sb="28" eb="30">
      <t>ブブン</t>
    </rPh>
    <rPh sb="35" eb="37">
      <t>イッサイ</t>
    </rPh>
    <rPh sb="37" eb="39">
      <t>ヘンコウ</t>
    </rPh>
    <phoneticPr fontId="7"/>
  </si>
  <si>
    <t>・今回のプロジェクトでは静的資源（文字や画像）の修正のみ</t>
    <phoneticPr fontId="7"/>
  </si>
  <si>
    <t>・動的資源の中でもドロップダウンリストの選択肢追加など、ロジックに修正なし</t>
    <phoneticPr fontId="7"/>
  </si>
  <si>
    <t>「ただし～」選択時は、以下に具体的な変更内容をご記入ください。</t>
    <rPh sb="6" eb="8">
      <t>センタク</t>
    </rPh>
    <rPh sb="8" eb="9">
      <t>ジ</t>
    </rPh>
    <rPh sb="11" eb="13">
      <t>イカ</t>
    </rPh>
    <phoneticPr fontId="7"/>
  </si>
  <si>
    <t>(変更内容記入欄)</t>
    <rPh sb="1" eb="3">
      <t>ヘンコウ</t>
    </rPh>
    <rPh sb="3" eb="5">
      <t>ナイヨウ</t>
    </rPh>
    <rPh sb="5" eb="7">
      <t>キニュウ</t>
    </rPh>
    <rPh sb="7" eb="8">
      <t>ラン</t>
    </rPh>
    <phoneticPr fontId="7"/>
  </si>
  <si>
    <t>モバイルアプリ（ネイティブアプリ）</t>
    <phoneticPr fontId="7"/>
  </si>
  <si>
    <r>
      <t>外部</t>
    </r>
    <r>
      <rPr>
        <sz val="11"/>
        <color theme="1"/>
        <rFont val="Yu Gothic"/>
        <family val="2"/>
        <scheme val="minor"/>
      </rPr>
      <t>API</t>
    </r>
    <rPh sb="0" eb="2">
      <t>ガイブ</t>
    </rPh>
    <phoneticPr fontId="7"/>
  </si>
  <si>
    <t>提供する外部APIについて、事前に判定したセキュリティグループを全て選択</t>
    <rPh sb="0" eb="2">
      <t>テイキョウ</t>
    </rPh>
    <rPh sb="4" eb="6">
      <t>ガイブ</t>
    </rPh>
    <rPh sb="32" eb="33">
      <t>スベ</t>
    </rPh>
    <rPh sb="34" eb="36">
      <t>センタク</t>
    </rPh>
    <phoneticPr fontId="7"/>
  </si>
  <si>
    <t>A群</t>
  </si>
  <si>
    <t>B群</t>
  </si>
  <si>
    <t>C群</t>
  </si>
  <si>
    <t>D群</t>
  </si>
  <si>
    <t>E群</t>
  </si>
  <si>
    <t>F群</t>
  </si>
  <si>
    <t>G群</t>
  </si>
  <si>
    <t>H群</t>
  </si>
  <si>
    <t>端末</t>
    <rPh sb="0" eb="2">
      <t>タンマツ</t>
    </rPh>
    <phoneticPr fontId="7"/>
  </si>
  <si>
    <t>メールの送信または受信機能を持つシステム</t>
    <rPh sb="4" eb="6">
      <t>ソウシン</t>
    </rPh>
    <rPh sb="9" eb="11">
      <t>ジュシン</t>
    </rPh>
    <rPh sb="11" eb="13">
      <t>キノウ</t>
    </rPh>
    <rPh sb="14" eb="15">
      <t>モ</t>
    </rPh>
    <phoneticPr fontId="7"/>
  </si>
  <si>
    <t>プロキシ</t>
    <phoneticPr fontId="7"/>
  </si>
  <si>
    <t>上記に該当するものを構築しない</t>
    <rPh sb="0" eb="2">
      <t>ジョウキ</t>
    </rPh>
    <rPh sb="3" eb="5">
      <t>ガイトウ</t>
    </rPh>
    <rPh sb="10" eb="12">
      <t>コウチク</t>
    </rPh>
    <phoneticPr fontId="7"/>
  </si>
  <si>
    <t>（１０）開発対象システムにおける個人情報の取り扱い有無を選んでください。</t>
    <rPh sb="4" eb="6">
      <t>カイハツ</t>
    </rPh>
    <rPh sb="6" eb="8">
      <t>タイショウ</t>
    </rPh>
    <rPh sb="16" eb="18">
      <t>コジン</t>
    </rPh>
    <rPh sb="18" eb="20">
      <t>ジョウホウ</t>
    </rPh>
    <rPh sb="21" eb="22">
      <t>ト</t>
    </rPh>
    <rPh sb="23" eb="24">
      <t>アツカ</t>
    </rPh>
    <rPh sb="25" eb="27">
      <t>ウム</t>
    </rPh>
    <rPh sb="28" eb="29">
      <t>エラ</t>
    </rPh>
    <phoneticPr fontId="7"/>
  </si>
  <si>
    <t>有</t>
    <rPh sb="0" eb="1">
      <t>アリ</t>
    </rPh>
    <phoneticPr fontId="7"/>
  </si>
  <si>
    <t>マイナンバー(法人番号を含まない)を取り扱う</t>
    <phoneticPr fontId="7"/>
  </si>
  <si>
    <t>無</t>
    <rPh sb="0" eb="1">
      <t>ナシ</t>
    </rPh>
    <phoneticPr fontId="7"/>
  </si>
  <si>
    <t>有</t>
    <rPh sb="0" eb="1">
      <t>ユウ</t>
    </rPh>
    <phoneticPr fontId="7"/>
  </si>
  <si>
    <t>使用する認証機能を全て選択（ユーザ種別ごとに認証経路が複数ある場合はセルのコメントを参照願う）</t>
    <rPh sb="0" eb="2">
      <t>シヨウ</t>
    </rPh>
    <rPh sb="4" eb="6">
      <t>ニンショウ</t>
    </rPh>
    <rPh sb="6" eb="8">
      <t>キノウ</t>
    </rPh>
    <rPh sb="9" eb="10">
      <t>スベ</t>
    </rPh>
    <rPh sb="11" eb="13">
      <t>センタク</t>
    </rPh>
    <phoneticPr fontId="7"/>
  </si>
  <si>
    <t>システム独自の認証</t>
    <rPh sb="4" eb="6">
      <t>ドクジ</t>
    </rPh>
    <rPh sb="7" eb="9">
      <t>ニンショウ</t>
    </rPh>
    <phoneticPr fontId="7"/>
  </si>
  <si>
    <t>抜本認証</t>
    <rPh sb="0" eb="2">
      <t>バッポン</t>
    </rPh>
    <rPh sb="2" eb="4">
      <t>ニンショウ</t>
    </rPh>
    <phoneticPr fontId="7"/>
  </si>
  <si>
    <t>e認証,お客様認証</t>
    <phoneticPr fontId="7"/>
  </si>
  <si>
    <t>Auth0(DevOps基盤)</t>
    <phoneticPr fontId="7"/>
  </si>
  <si>
    <t>無</t>
    <rPh sb="0" eb="1">
      <t>ム</t>
    </rPh>
    <phoneticPr fontId="7"/>
  </si>
  <si>
    <t>（１２）システムの構築環境を選んでください。</t>
    <rPh sb="9" eb="11">
      <t>コウチク</t>
    </rPh>
    <rPh sb="14" eb="15">
      <t>エラ</t>
    </rPh>
    <phoneticPr fontId="7"/>
  </si>
  <si>
    <t>オンプレもしくはアウトソース先の自社DC（クラウドを利用しない）</t>
    <rPh sb="14" eb="15">
      <t>サキ</t>
    </rPh>
    <rPh sb="16" eb="18">
      <t>ジシャ</t>
    </rPh>
    <rPh sb="26" eb="28">
      <t>リヨウ</t>
    </rPh>
    <phoneticPr fontId="7"/>
  </si>
  <si>
    <t>クラウド(AWS)</t>
    <phoneticPr fontId="7"/>
  </si>
  <si>
    <t>内製システムの場合、以下から該当する環境を選択</t>
    <rPh sb="10" eb="12">
      <t>イカ</t>
    </rPh>
    <phoneticPr fontId="7"/>
  </si>
  <si>
    <t>AWS仮想化基盤</t>
    <rPh sb="3" eb="6">
      <t>カソウカ</t>
    </rPh>
    <rPh sb="6" eb="8">
      <t>キバン</t>
    </rPh>
    <phoneticPr fontId="7"/>
  </si>
  <si>
    <t>DevOps基盤</t>
    <rPh sb="6" eb="8">
      <t>キバン</t>
    </rPh>
    <phoneticPr fontId="7"/>
  </si>
  <si>
    <t>FaaS基盤1.0</t>
    <rPh sb="4" eb="6">
      <t>キバン</t>
    </rPh>
    <phoneticPr fontId="7"/>
  </si>
  <si>
    <t>クラウド(AWS以外のIaaS)</t>
    <rPh sb="8" eb="10">
      <t>イガイ</t>
    </rPh>
    <phoneticPr fontId="7"/>
  </si>
  <si>
    <t>クラウド(SaaS,PaaS)</t>
    <phoneticPr fontId="7"/>
  </si>
  <si>
    <t>右上表「3．要回答項目」に当プロジェクトで求められる要件数が表示されます。</t>
    <rPh sb="0" eb="2">
      <t>ミギウエ</t>
    </rPh>
    <rPh sb="2" eb="3">
      <t>ヒョウ</t>
    </rPh>
    <rPh sb="13" eb="14">
      <t>トウ</t>
    </rPh>
    <phoneticPr fontId="7"/>
  </si>
  <si>
    <t>PRJ計画時の場合は、各要件を早期に把握し、要件検討に反映してください。</t>
    <rPh sb="3" eb="5">
      <t>ケイカク</t>
    </rPh>
    <rPh sb="5" eb="6">
      <t>ジ</t>
    </rPh>
    <rPh sb="7" eb="9">
      <t>バアイ</t>
    </rPh>
    <rPh sb="11" eb="12">
      <t>カク</t>
    </rPh>
    <rPh sb="12" eb="14">
      <t>ヨウケン</t>
    </rPh>
    <rPh sb="15" eb="17">
      <t>ソウキ</t>
    </rPh>
    <rPh sb="18" eb="20">
      <t>ハアク</t>
    </rPh>
    <rPh sb="22" eb="24">
      <t>ヨウケン</t>
    </rPh>
    <rPh sb="24" eb="26">
      <t>ケントウ</t>
    </rPh>
    <rPh sb="27" eb="29">
      <t>ハンエイ</t>
    </rPh>
    <phoneticPr fontId="7"/>
  </si>
  <si>
    <t>SAUC以降の場合は、要件への対応状況を回答し「未回答項目数」がゼロであることを確認してください。</t>
    <rPh sb="4" eb="6">
      <t>イコウ</t>
    </rPh>
    <rPh sb="7" eb="9">
      <t>バアイ</t>
    </rPh>
    <rPh sb="11" eb="13">
      <t>ヨウケン</t>
    </rPh>
    <rPh sb="15" eb="17">
      <t>タイオウ</t>
    </rPh>
    <rPh sb="17" eb="19">
      <t>ジョウキョウ</t>
    </rPh>
    <rPh sb="20" eb="22">
      <t>カイトウ</t>
    </rPh>
    <rPh sb="24" eb="27">
      <t>ミカイトウ</t>
    </rPh>
    <rPh sb="27" eb="29">
      <t>コウモク</t>
    </rPh>
    <rPh sb="29" eb="30">
      <t>スウ</t>
    </rPh>
    <rPh sb="40" eb="42">
      <t>カクニン</t>
    </rPh>
    <phoneticPr fontId="7"/>
  </si>
  <si>
    <t>回答シート名</t>
    <rPh sb="0" eb="2">
      <t>カイトウ</t>
    </rPh>
    <phoneticPr fontId="7"/>
  </si>
  <si>
    <t>要回答項目数</t>
    <rPh sb="0" eb="3">
      <t>ヨウカイトウ</t>
    </rPh>
    <rPh sb="3" eb="5">
      <t>コウモク</t>
    </rPh>
    <rPh sb="5" eb="6">
      <t>スウ</t>
    </rPh>
    <phoneticPr fontId="7"/>
  </si>
  <si>
    <t>うち外部委託評価項目数</t>
    <rPh sb="2" eb="6">
      <t>ガイブイタク</t>
    </rPh>
    <rPh sb="6" eb="8">
      <t>ヒョウカ</t>
    </rPh>
    <rPh sb="8" eb="11">
      <t>コウモクスウ</t>
    </rPh>
    <phoneticPr fontId="7"/>
  </si>
  <si>
    <t>未回答項目数</t>
    <rPh sb="0" eb="3">
      <t>ミカイトウ</t>
    </rPh>
    <rPh sb="3" eb="5">
      <t>コウモク</t>
    </rPh>
    <rPh sb="5" eb="6">
      <t>スウ</t>
    </rPh>
    <phoneticPr fontId="7"/>
  </si>
  <si>
    <t>検討中項目数</t>
    <rPh sb="0" eb="3">
      <t>ケントウチュウ</t>
    </rPh>
    <rPh sb="3" eb="5">
      <t>コウモク</t>
    </rPh>
    <rPh sb="5" eb="6">
      <t>スウ</t>
    </rPh>
    <phoneticPr fontId="7"/>
  </si>
  <si>
    <t>想定回答者
(内製システム)</t>
    <rPh sb="0" eb="2">
      <t>ソウテイ</t>
    </rPh>
    <rPh sb="2" eb="4">
      <t>カイトウ</t>
    </rPh>
    <rPh sb="4" eb="5">
      <t>シャ</t>
    </rPh>
    <phoneticPr fontId="7"/>
  </si>
  <si>
    <t>想定回答者
(アウトソース)</t>
    <rPh sb="0" eb="2">
      <t>ソウテイ</t>
    </rPh>
    <rPh sb="2" eb="4">
      <t>カイトウ</t>
    </rPh>
    <rPh sb="6" eb="7">
      <t>シャ</t>
    </rPh>
    <phoneticPr fontId="7"/>
  </si>
  <si>
    <t>インデックス</t>
    <phoneticPr fontId="7"/>
  </si>
  <si>
    <t>-</t>
    <phoneticPr fontId="7"/>
  </si>
  <si>
    <t>-</t>
  </si>
  <si>
    <t>サプライヤ</t>
    <phoneticPr fontId="7"/>
  </si>
  <si>
    <t>態勢</t>
    <rPh sb="0" eb="2">
      <t>タイセイ</t>
    </rPh>
    <phoneticPr fontId="7"/>
  </si>
  <si>
    <t>無し</t>
    <phoneticPr fontId="7"/>
  </si>
  <si>
    <t>委託先企業</t>
    <rPh sb="0" eb="3">
      <t>イタクサキ</t>
    </rPh>
    <rPh sb="3" eb="5">
      <t>キギョウ</t>
    </rPh>
    <phoneticPr fontId="7"/>
  </si>
  <si>
    <t>アプリ設計</t>
    <rPh sb="3" eb="5">
      <t>セッケイ</t>
    </rPh>
    <phoneticPr fontId="7"/>
  </si>
  <si>
    <t>開発担当者</t>
    <rPh sb="2" eb="4">
      <t>タントウ</t>
    </rPh>
    <phoneticPr fontId="7"/>
  </si>
  <si>
    <t>サプライヤ(適宜委託先に確認)</t>
    <phoneticPr fontId="7"/>
  </si>
  <si>
    <t>アプリコーディング</t>
    <phoneticPr fontId="7"/>
  </si>
  <si>
    <t>〃</t>
    <phoneticPr fontId="7"/>
  </si>
  <si>
    <t>インフラ(自社DC)</t>
    <rPh sb="5" eb="7">
      <t>ジシャ</t>
    </rPh>
    <phoneticPr fontId="7"/>
  </si>
  <si>
    <t>基盤担当者</t>
    <rPh sb="0" eb="2">
      <t>キバン</t>
    </rPh>
    <rPh sb="2" eb="4">
      <t>タントウ</t>
    </rPh>
    <phoneticPr fontId="7"/>
  </si>
  <si>
    <t>インフラ(AWS)</t>
    <phoneticPr fontId="7"/>
  </si>
  <si>
    <t>インフラ(IaaS)</t>
    <phoneticPr fontId="7"/>
  </si>
  <si>
    <t>インフラ(SaaS)</t>
    <phoneticPr fontId="7"/>
  </si>
  <si>
    <t>運用プロセス(自社DC)</t>
    <rPh sb="0" eb="2">
      <t>ウンヨウ</t>
    </rPh>
    <rPh sb="7" eb="9">
      <t>ジシャ</t>
    </rPh>
    <phoneticPr fontId="7"/>
  </si>
  <si>
    <t>開発担当者、
基盤担当者</t>
    <phoneticPr fontId="7"/>
  </si>
  <si>
    <t>運用プロセス(AWS)</t>
    <rPh sb="0" eb="2">
      <t>ウンヨウ</t>
    </rPh>
    <phoneticPr fontId="7"/>
  </si>
  <si>
    <t>運用プロセス(IaaS)</t>
    <rPh sb="0" eb="2">
      <t>ウンヨウ</t>
    </rPh>
    <phoneticPr fontId="7"/>
  </si>
  <si>
    <t>運用プロセス(SaaS)</t>
    <rPh sb="0" eb="2">
      <t>ウンヨウ</t>
    </rPh>
    <phoneticPr fontId="7"/>
  </si>
  <si>
    <t>モバイルアプリ</t>
    <phoneticPr fontId="7"/>
  </si>
  <si>
    <t>外部API</t>
    <rPh sb="0" eb="2">
      <t>ガイブ</t>
    </rPh>
    <phoneticPr fontId="7"/>
  </si>
  <si>
    <t>数式制御埋め込み用リスト</t>
    <rPh sb="0" eb="2">
      <t>スウシキ</t>
    </rPh>
    <rPh sb="2" eb="4">
      <t>セイギョ</t>
    </rPh>
    <rPh sb="4" eb="5">
      <t>ウ</t>
    </rPh>
    <rPh sb="6" eb="7">
      <t>コ</t>
    </rPh>
    <rPh sb="8" eb="9">
      <t>ヨウ</t>
    </rPh>
    <phoneticPr fontId="7"/>
  </si>
  <si>
    <t>インデックスシート</t>
    <phoneticPr fontId="7"/>
  </si>
  <si>
    <t>各設問の回答状況結果：</t>
    <rPh sb="0" eb="1">
      <t>カク</t>
    </rPh>
    <rPh sb="1" eb="3">
      <t>セツモン</t>
    </rPh>
    <rPh sb="4" eb="6">
      <t>カイトウ</t>
    </rPh>
    <rPh sb="6" eb="8">
      <t>ジョウキョウ</t>
    </rPh>
    <rPh sb="8" eb="10">
      <t>ケッカ</t>
    </rPh>
    <phoneticPr fontId="7"/>
  </si>
  <si>
    <t>回答必須</t>
    <phoneticPr fontId="7"/>
  </si>
  <si>
    <t>設問(1)の記入結果：</t>
    <rPh sb="0" eb="2">
      <t>セツモン</t>
    </rPh>
    <rPh sb="6" eb="8">
      <t>キニュウ</t>
    </rPh>
    <rPh sb="8" eb="10">
      <t>ケッカ</t>
    </rPh>
    <phoneticPr fontId="7"/>
  </si>
  <si>
    <t>空欄</t>
    <phoneticPr fontId="7"/>
  </si>
  <si>
    <t>記入済</t>
    <phoneticPr fontId="7"/>
  </si>
  <si>
    <t>設問(6)以降の「検討中」選択結果：</t>
    <rPh sb="0" eb="2">
      <t>セツモン</t>
    </rPh>
    <rPh sb="5" eb="7">
      <t>イコウ</t>
    </rPh>
    <rPh sb="9" eb="12">
      <t>ケントウチュウ</t>
    </rPh>
    <rPh sb="13" eb="15">
      <t>センタク</t>
    </rPh>
    <rPh sb="15" eb="17">
      <t>ケッカ</t>
    </rPh>
    <phoneticPr fontId="7"/>
  </si>
  <si>
    <t>サマリ表「インデックス」回答状況結果：</t>
    <rPh sb="3" eb="4">
      <t>ヒョウ</t>
    </rPh>
    <rPh sb="12" eb="14">
      <t>カイトウ</t>
    </rPh>
    <rPh sb="14" eb="16">
      <t>ジョウキョウ</t>
    </rPh>
    <rPh sb="16" eb="18">
      <t>ケッカ</t>
    </rPh>
    <phoneticPr fontId="7"/>
  </si>
  <si>
    <t>インデックス記入完了</t>
    <phoneticPr fontId="7"/>
  </si>
  <si>
    <t>検討中項目あり！</t>
    <phoneticPr fontId="7"/>
  </si>
  <si>
    <t>未回答項目あり！</t>
    <phoneticPr fontId="7"/>
  </si>
  <si>
    <t>インデックスシート以降</t>
    <rPh sb="9" eb="11">
      <t>イコウ</t>
    </rPh>
    <phoneticPr fontId="7"/>
  </si>
  <si>
    <t>回答欄のプルダウンリスト内の選択肢：</t>
    <rPh sb="0" eb="2">
      <t>カイトウ</t>
    </rPh>
    <rPh sb="2" eb="3">
      <t>ラン</t>
    </rPh>
    <rPh sb="12" eb="13">
      <t>ナイ</t>
    </rPh>
    <rPh sb="14" eb="17">
      <t>センタクシ</t>
    </rPh>
    <phoneticPr fontId="7"/>
  </si>
  <si>
    <t>YES</t>
    <phoneticPr fontId="7"/>
  </si>
  <si>
    <t>No</t>
    <phoneticPr fontId="7"/>
  </si>
  <si>
    <t>検討中</t>
    <phoneticPr fontId="7"/>
  </si>
  <si>
    <t>対象システムは要件の検討条件に該当しない</t>
    <phoneticPr fontId="7"/>
  </si>
  <si>
    <t>マトリックス</t>
    <phoneticPr fontId="7"/>
  </si>
  <si>
    <t>出自</t>
    <rPh sb="0" eb="2">
      <t>シュツジ</t>
    </rPh>
    <phoneticPr fontId="7"/>
  </si>
  <si>
    <t>システム運用</t>
    <phoneticPr fontId="7"/>
  </si>
  <si>
    <t>システム脆弱
運用要件CL</t>
    <rPh sb="4" eb="6">
      <t>ゼイジャク</t>
    </rPh>
    <rPh sb="7" eb="9">
      <t>ウンヨウ</t>
    </rPh>
    <rPh sb="9" eb="11">
      <t>ヨウケン</t>
    </rPh>
    <phoneticPr fontId="7"/>
  </si>
  <si>
    <t>システム脆弱</t>
    <rPh sb="4" eb="6">
      <t>ゼイジャク</t>
    </rPh>
    <phoneticPr fontId="7"/>
  </si>
  <si>
    <t>システム脆弱
システム運用
運用要件CL</t>
    <rPh sb="4" eb="6">
      <t>ゼイジャク</t>
    </rPh>
    <rPh sb="11" eb="13">
      <t>ウンヨウ</t>
    </rPh>
    <rPh sb="14" eb="16">
      <t>ウンヨウ</t>
    </rPh>
    <rPh sb="16" eb="18">
      <t>ヨウケン</t>
    </rPh>
    <phoneticPr fontId="7"/>
  </si>
  <si>
    <t>運用要件CL</t>
    <phoneticPr fontId="7"/>
  </si>
  <si>
    <t>個別</t>
    <rPh sb="0" eb="2">
      <t>コベツ</t>
    </rPh>
    <phoneticPr fontId="7"/>
  </si>
  <si>
    <t>開発承認ランク</t>
  </si>
  <si>
    <t>セキュリティ対応ランク</t>
  </si>
  <si>
    <t>開発形態</t>
    <rPh sb="0" eb="2">
      <t>カイハツ</t>
    </rPh>
    <rPh sb="2" eb="4">
      <t>ケイタイ</t>
    </rPh>
    <phoneticPr fontId="7"/>
  </si>
  <si>
    <t>システム構築環境</t>
  </si>
  <si>
    <t>運用プロセス</t>
    <rPh sb="0" eb="2">
      <t>ウンヨウ</t>
    </rPh>
    <phoneticPr fontId="7"/>
  </si>
  <si>
    <t>基盤（オンプレ）</t>
    <rPh sb="0" eb="2">
      <t>キバン</t>
    </rPh>
    <phoneticPr fontId="7"/>
  </si>
  <si>
    <t>クラウド(IaaS)</t>
    <phoneticPr fontId="7"/>
  </si>
  <si>
    <t>クラウド(SaaS)</t>
    <phoneticPr fontId="7"/>
  </si>
  <si>
    <t>オープンAPI</t>
    <phoneticPr fontId="7"/>
  </si>
  <si>
    <t>外部委託先契約
サービス利用契約</t>
    <rPh sb="0" eb="2">
      <t>ガイブ</t>
    </rPh>
    <rPh sb="2" eb="4">
      <t>イタク</t>
    </rPh>
    <rPh sb="4" eb="5">
      <t>サキ</t>
    </rPh>
    <rPh sb="5" eb="7">
      <t>ケイヤク</t>
    </rPh>
    <rPh sb="12" eb="14">
      <t>リヨウ</t>
    </rPh>
    <rPh sb="14" eb="16">
      <t>ケイヤク</t>
    </rPh>
    <phoneticPr fontId="21"/>
  </si>
  <si>
    <t>SAUC</t>
    <phoneticPr fontId="21"/>
  </si>
  <si>
    <t>移管</t>
    <rPh sb="0" eb="2">
      <t>イカン</t>
    </rPh>
    <phoneticPr fontId="21"/>
  </si>
  <si>
    <t>チェックリスト診断</t>
    <rPh sb="7" eb="9">
      <t>シンダン</t>
    </rPh>
    <phoneticPr fontId="7"/>
  </si>
  <si>
    <t>SI</t>
    <phoneticPr fontId="21"/>
  </si>
  <si>
    <t>運用</t>
    <rPh sb="0" eb="2">
      <t>ウンヨウ</t>
    </rPh>
    <phoneticPr fontId="21"/>
  </si>
  <si>
    <t>A</t>
  </si>
  <si>
    <t>アプリ</t>
    <phoneticPr fontId="7"/>
  </si>
  <si>
    <t>〇</t>
    <phoneticPr fontId="7"/>
  </si>
  <si>
    <t>変わらず</t>
    <rPh sb="0" eb="1">
      <t>カ</t>
    </rPh>
    <phoneticPr fontId="7"/>
  </si>
  <si>
    <t>アプリコーディング回答要</t>
    <rPh sb="9" eb="11">
      <t>カイトウ</t>
    </rPh>
    <rPh sb="11" eb="12">
      <t>ヨウ</t>
    </rPh>
    <phoneticPr fontId="7"/>
  </si>
  <si>
    <t>基盤はオンプレ対象を回答</t>
    <rPh sb="0" eb="2">
      <t>キバン</t>
    </rPh>
    <rPh sb="7" eb="9">
      <t>タイショウ</t>
    </rPh>
    <rPh sb="10" eb="12">
      <t>カイトウ</t>
    </rPh>
    <phoneticPr fontId="7"/>
  </si>
  <si>
    <t>　モバイルアプリ</t>
    <phoneticPr fontId="7"/>
  </si>
  <si>
    <t>　オープンAPI</t>
    <phoneticPr fontId="7"/>
  </si>
  <si>
    <t>基盤</t>
    <rPh sb="0" eb="2">
      <t>キバン</t>
    </rPh>
    <phoneticPr fontId="7"/>
  </si>
  <si>
    <t>　端末</t>
    <rPh sb="1" eb="3">
      <t>タンマツ</t>
    </rPh>
    <phoneticPr fontId="7"/>
  </si>
  <si>
    <t>　メールサーバ</t>
    <phoneticPr fontId="7"/>
  </si>
  <si>
    <t>　プロキシ</t>
    <phoneticPr fontId="7"/>
  </si>
  <si>
    <t>クラウド(IaaSでAWS)</t>
  </si>
  <si>
    <t>クラウド(IaaSでAWS以外)</t>
    <rPh sb="13" eb="15">
      <t>イガイ</t>
    </rPh>
    <phoneticPr fontId="7"/>
  </si>
  <si>
    <t>アウトソース</t>
    <phoneticPr fontId="7"/>
  </si>
  <si>
    <t>基盤はアウトソース対象を回答</t>
    <rPh sb="0" eb="2">
      <t>キバン</t>
    </rPh>
    <rPh sb="9" eb="11">
      <t>タイショウ</t>
    </rPh>
    <rPh sb="12" eb="14">
      <t>カイトウ</t>
    </rPh>
    <phoneticPr fontId="7"/>
  </si>
  <si>
    <t>B-1</t>
  </si>
  <si>
    <t>B-2,C,D</t>
    <phoneticPr fontId="7"/>
  </si>
  <si>
    <t>増（運用CLの分）</t>
    <rPh sb="0" eb="1">
      <t>フ</t>
    </rPh>
    <rPh sb="2" eb="4">
      <t>ウンヨウ</t>
    </rPh>
    <rPh sb="7" eb="8">
      <t>ブン</t>
    </rPh>
    <phoneticPr fontId="7"/>
  </si>
  <si>
    <t>増</t>
    <rPh sb="0" eb="1">
      <t>フ</t>
    </rPh>
    <phoneticPr fontId="7"/>
  </si>
  <si>
    <t>チェックリスト不要</t>
    <rPh sb="7" eb="9">
      <t>フヨウ</t>
    </rPh>
    <phoneticPr fontId="7"/>
  </si>
  <si>
    <t>値</t>
    <rPh sb="0" eb="1">
      <t>アタイ</t>
    </rPh>
    <phoneticPr fontId="66"/>
  </si>
  <si>
    <t>結果</t>
    <rPh sb="0" eb="2">
      <t>ケッカ</t>
    </rPh>
    <phoneticPr fontId="66"/>
  </si>
  <si>
    <t xml:space="preserve">
セキュリティ対策
対応ランク判定
</t>
    <rPh sb="7" eb="9">
      <t>タイサク</t>
    </rPh>
    <rPh sb="10" eb="12">
      <t>タイオウ</t>
    </rPh>
    <rPh sb="15" eb="17">
      <t>ハンテイ</t>
    </rPh>
    <phoneticPr fontId="66"/>
  </si>
  <si>
    <t>ａ．メインフレーム（ホスト）のみ、またはバッチのみのシステムである。</t>
    <phoneticPr fontId="66"/>
  </si>
  <si>
    <t>ｂ．インターネットから直接アクセス・リクエスト電文を受けるシステム(※1）</t>
    <rPh sb="23" eb="25">
      <t>デンブン</t>
    </rPh>
    <rPh sb="26" eb="27">
      <t>ウ</t>
    </rPh>
    <phoneticPr fontId="66"/>
  </si>
  <si>
    <t xml:space="preserve">         外部API以外のシステム（Webシステム、モバイルアプリなど）</t>
    <rPh sb="9" eb="11">
      <t>ガイブ</t>
    </rPh>
    <rPh sb="14" eb="16">
      <t>イガイ</t>
    </rPh>
    <phoneticPr fontId="66"/>
  </si>
  <si>
    <t>（ａ）．クライアント証明書またはグローバルＩＰ制御により、許可外のアクセスが構築対象システムへ到達する前に拒否(※2)される</t>
    <rPh sb="10" eb="13">
      <t>ショウメイショ</t>
    </rPh>
    <rPh sb="23" eb="25">
      <t>セイギョ</t>
    </rPh>
    <rPh sb="29" eb="31">
      <t>キョカ</t>
    </rPh>
    <rPh sb="31" eb="32">
      <t>ガイ</t>
    </rPh>
    <rPh sb="38" eb="40">
      <t>コウチク</t>
    </rPh>
    <rPh sb="40" eb="42">
      <t>タイショウ</t>
    </rPh>
    <rPh sb="47" eb="49">
      <t>トウタツ</t>
    </rPh>
    <rPh sb="51" eb="52">
      <t>マエ</t>
    </rPh>
    <rPh sb="53" eb="55">
      <t>キョヒ</t>
    </rPh>
    <phoneticPr fontId="66"/>
  </si>
  <si>
    <t>（ｂ）．上記（ａ）以外の場合</t>
    <rPh sb="4" eb="6">
      <t>ジョウキ</t>
    </rPh>
    <phoneticPr fontId="66"/>
  </si>
  <si>
    <t xml:space="preserve">         外部API</t>
    <rPh sb="9" eb="11">
      <t>ガイブ</t>
    </rPh>
    <phoneticPr fontId="66"/>
  </si>
  <si>
    <t>（ｃ）．エンドユーザが端末レベルで特定されている（グローバルIP制限やクライアント証明書）</t>
    <phoneticPr fontId="66"/>
  </si>
  <si>
    <t>（ｄ）．エンドユーザが端末レベルで特定されていない（自宅PC等からでも利用可能）</t>
    <phoneticPr fontId="66"/>
  </si>
  <si>
    <t>判定
結果</t>
    <rPh sb="0" eb="2">
      <t>ハンテイ</t>
    </rPh>
    <rPh sb="3" eb="5">
      <t>ケッカ</t>
    </rPh>
    <phoneticPr fontId="66"/>
  </si>
  <si>
    <t>ｃ．上記以外のシステム</t>
    <rPh sb="4" eb="6">
      <t>イガイ</t>
    </rPh>
    <phoneticPr fontId="66"/>
  </si>
  <si>
    <t>※1  ・当該システムがグローバルIPをもっているかだけでなく、アプリケーションレイヤでインターネット越しにリクエストを受ける場合も対象
        また、特にSaaS利用において、エンドユーザ向けのサービスだけでなく、サービスの管理画面のアクセス制限も対象として回答すること
　     ・ユーザ認証、接続元IPアドレス制限、クライアント証明書を用いる場合でも、インターネット経由でアクセスを受ける場合は対象
　     ・VPNや専用線で接続する場合は対象外
※2　・構築対象システム(サーバ）より手前の、物理的に分かれた別の機器（Firewallや通信制御装置）上でクライアント証明書や通信元IPアドレスを検証するケースは(a)を選択
　　　　　仮にIP制限やクライアント証明書を用いていても、それらの検証作業を構築対象システム自身が行っている場合は、不特定からのアクセスが到達してしまうため（ｂ）を選択</t>
    <rPh sb="5" eb="7">
      <t>トウガイ</t>
    </rPh>
    <rPh sb="51" eb="52">
      <t>ゴ</t>
    </rPh>
    <rPh sb="60" eb="61">
      <t>ウ</t>
    </rPh>
    <rPh sb="63" eb="65">
      <t>バアイ</t>
    </rPh>
    <rPh sb="66" eb="68">
      <t>タイショウ</t>
    </rPh>
    <rPh sb="80" eb="81">
      <t>トク</t>
    </rPh>
    <rPh sb="86" eb="88">
      <t>リヨウ</t>
    </rPh>
    <rPh sb="99" eb="100">
      <t>ム</t>
    </rPh>
    <rPh sb="117" eb="119">
      <t>カンリ</t>
    </rPh>
    <rPh sb="119" eb="121">
      <t>ガメン</t>
    </rPh>
    <rPh sb="126" eb="128">
      <t>セイゲン</t>
    </rPh>
    <rPh sb="129" eb="131">
      <t>タイショウ</t>
    </rPh>
    <rPh sb="134" eb="136">
      <t>カイトウ</t>
    </rPh>
    <rPh sb="151" eb="153">
      <t>ニンショウ</t>
    </rPh>
    <rPh sb="154" eb="156">
      <t>セツゾク</t>
    </rPh>
    <rPh sb="156" eb="157">
      <t>モト</t>
    </rPh>
    <rPh sb="163" eb="165">
      <t>セイゲン</t>
    </rPh>
    <rPh sb="172" eb="175">
      <t>ショウメイショ</t>
    </rPh>
    <rPh sb="176" eb="177">
      <t>モチ</t>
    </rPh>
    <rPh sb="179" eb="181">
      <t>バアイ</t>
    </rPh>
    <rPh sb="191" eb="193">
      <t>ケイユ</t>
    </rPh>
    <rPh sb="199" eb="200">
      <t>ウ</t>
    </rPh>
    <rPh sb="202" eb="204">
      <t>バアイ</t>
    </rPh>
    <rPh sb="205" eb="207">
      <t>タイショウ</t>
    </rPh>
    <rPh sb="219" eb="222">
      <t>センヨウセン</t>
    </rPh>
    <rPh sb="223" eb="225">
      <t>セツゾク</t>
    </rPh>
    <rPh sb="227" eb="229">
      <t>バアイ</t>
    </rPh>
    <rPh sb="230" eb="233">
      <t>タイショウガイ</t>
    </rPh>
    <rPh sb="238" eb="240">
      <t>コウチク</t>
    </rPh>
    <rPh sb="240" eb="242">
      <t>タイショウ</t>
    </rPh>
    <rPh sb="253" eb="255">
      <t>テマエ</t>
    </rPh>
    <rPh sb="257" eb="260">
      <t>ブツリテキ</t>
    </rPh>
    <rPh sb="261" eb="262">
      <t>ワ</t>
    </rPh>
    <rPh sb="265" eb="266">
      <t>ベツ</t>
    </rPh>
    <rPh sb="267" eb="269">
      <t>キキ</t>
    </rPh>
    <rPh sb="279" eb="281">
      <t>ツウシン</t>
    </rPh>
    <rPh sb="281" eb="283">
      <t>セイギョ</t>
    </rPh>
    <rPh sb="283" eb="285">
      <t>ソウチ</t>
    </rPh>
    <rPh sb="286" eb="287">
      <t>ウエ</t>
    </rPh>
    <rPh sb="294" eb="297">
      <t>ショウメイショ</t>
    </rPh>
    <rPh sb="298" eb="300">
      <t>ツウシン</t>
    </rPh>
    <rPh sb="300" eb="301">
      <t>モト</t>
    </rPh>
    <rPh sb="308" eb="310">
      <t>ケンショウ</t>
    </rPh>
    <rPh sb="320" eb="322">
      <t>センタク</t>
    </rPh>
    <rPh sb="328" eb="329">
      <t>カリ</t>
    </rPh>
    <rPh sb="332" eb="334">
      <t>セイゲン</t>
    </rPh>
    <rPh sb="341" eb="344">
      <t>ショウメイショ</t>
    </rPh>
    <rPh sb="345" eb="346">
      <t>モチ</t>
    </rPh>
    <rPh sb="356" eb="358">
      <t>ケンショウ</t>
    </rPh>
    <rPh sb="358" eb="360">
      <t>サギョウ</t>
    </rPh>
    <rPh sb="361" eb="363">
      <t>コウチク</t>
    </rPh>
    <rPh sb="363" eb="365">
      <t>タイショウ</t>
    </rPh>
    <rPh sb="369" eb="371">
      <t>ジシン</t>
    </rPh>
    <rPh sb="372" eb="373">
      <t>オコナ</t>
    </rPh>
    <rPh sb="377" eb="379">
      <t>バアイ</t>
    </rPh>
    <rPh sb="381" eb="384">
      <t>フトクテイ</t>
    </rPh>
    <rPh sb="392" eb="394">
      <t>トウタツ</t>
    </rPh>
    <rPh sb="405" eb="407">
      <t>センタク</t>
    </rPh>
    <phoneticPr fontId="66"/>
  </si>
  <si>
    <r>
      <t xml:space="preserve">
ランサムウェア
対応分類
</t>
    </r>
    <r>
      <rPr>
        <sz val="10"/>
        <rFont val="BIZ UDPゴシック"/>
        <family val="3"/>
        <charset val="128"/>
      </rPr>
      <t>右記設問1から順に選んで頂き、「該当する」を選んだ時点で
判定結果が確定します。</t>
    </r>
    <rPh sb="9" eb="13">
      <t>タイオウブンルイ</t>
    </rPh>
    <phoneticPr fontId="66"/>
  </si>
  <si>
    <t xml:space="preserve"> 設問１</t>
    <rPh sb="1" eb="3">
      <t>セツモン</t>
    </rPh>
    <phoneticPr fontId="66"/>
  </si>
  <si>
    <t>　① バックアップデータをシステムリストアの資源としないシステム
　　　(該当システムのみでしか保有していないデータがなく、他システムからデータを再連携することで復旧)</t>
    <phoneticPr fontId="66"/>
  </si>
  <si>
    <t>　　　該当する</t>
    <rPh sb="3" eb="5">
      <t>ガイトウ</t>
    </rPh>
    <phoneticPr fontId="66"/>
  </si>
  <si>
    <t>　　　該当しない</t>
    <rPh sb="3" eb="5">
      <t>ガイトウ</t>
    </rPh>
    <phoneticPr fontId="66"/>
  </si>
  <si>
    <t xml:space="preserve"> 設問3　（①、②、③のいずれかに該当する場合は「該当する」を選択）</t>
    <rPh sb="1" eb="3">
      <t>セツモン</t>
    </rPh>
    <phoneticPr fontId="66"/>
  </si>
  <si>
    <t>　① ひとり一台ADドメインに参加するサーバ、端末（個別にドメインを立てる場合はセキュリティ担当へ要相談）</t>
    <phoneticPr fontId="66"/>
  </si>
  <si>
    <t>　② セキュリティ対応ランクAシステム</t>
    <phoneticPr fontId="66"/>
  </si>
  <si>
    <r>
      <t>　③ 上記設問２の「マルウェア感染リスクが高いシステム」、または「セキュリティ対応ランクAシステム」から以下のいずれかの通信が可能なシステム
　　　　</t>
    </r>
    <r>
      <rPr>
        <sz val="8"/>
        <color theme="1"/>
        <rFont val="BIZ UDPゴシック"/>
        <family val="3"/>
        <charset val="128"/>
      </rPr>
      <t>(22/TCP, 23/TCP, 135/TCP, 137/UDP, 138/UDP, 139/TCP, 139/UDP, 445/TCP, 3389/TCP, 5500/TCP, 5900/TCP, 47001/TCP）</t>
    </r>
    <rPh sb="5" eb="7">
      <t>セツモン</t>
    </rPh>
    <phoneticPr fontId="66"/>
  </si>
  <si>
    <t>態勢チェックシート</t>
    <rPh sb="0" eb="2">
      <t>タイセイ</t>
    </rPh>
    <phoneticPr fontId="7"/>
  </si>
  <si>
    <t>本シートは、アウトソース先（外部委託先）企業もしくはサービス提供元企業の環境・体制・運用についてお伺いするものです。</t>
    <rPh sb="0" eb="1">
      <t>ホン</t>
    </rPh>
    <rPh sb="12" eb="13">
      <t>サキ</t>
    </rPh>
    <rPh sb="14" eb="16">
      <t>ガイブ</t>
    </rPh>
    <rPh sb="16" eb="18">
      <t>イタク</t>
    </rPh>
    <rPh sb="18" eb="19">
      <t>サキ</t>
    </rPh>
    <rPh sb="20" eb="22">
      <t>キギョウ</t>
    </rPh>
    <rPh sb="30" eb="32">
      <t>テイキョウ</t>
    </rPh>
    <rPh sb="32" eb="33">
      <t>モト</t>
    </rPh>
    <rPh sb="33" eb="35">
      <t>キギョウ</t>
    </rPh>
    <rPh sb="36" eb="38">
      <t>カンキョウ</t>
    </rPh>
    <rPh sb="39" eb="41">
      <t>タイセイ</t>
    </rPh>
    <rPh sb="42" eb="44">
      <t>ウンヨウ</t>
    </rPh>
    <rPh sb="49" eb="50">
      <t>ウカガ</t>
    </rPh>
    <phoneticPr fontId="7"/>
  </si>
  <si>
    <t>要件中の「委託先もしくはサービス提供元企業」とは、ご回答頂く企業様ご自身の環境を指しています。</t>
    <rPh sb="0" eb="2">
      <t>ヨウケン</t>
    </rPh>
    <rPh sb="2" eb="3">
      <t>チュウ</t>
    </rPh>
    <rPh sb="5" eb="7">
      <t>イタク</t>
    </rPh>
    <rPh sb="7" eb="8">
      <t>サキ</t>
    </rPh>
    <rPh sb="16" eb="18">
      <t>テイキョウ</t>
    </rPh>
    <rPh sb="18" eb="19">
      <t>モト</t>
    </rPh>
    <rPh sb="19" eb="21">
      <t>キギョウ</t>
    </rPh>
    <rPh sb="26" eb="28">
      <t>カイトウ</t>
    </rPh>
    <rPh sb="28" eb="29">
      <t>イタダ</t>
    </rPh>
    <rPh sb="30" eb="33">
      <t>キギョウサマ</t>
    </rPh>
    <rPh sb="34" eb="36">
      <t>ジシン</t>
    </rPh>
    <rPh sb="37" eb="39">
      <t>カンキョウ</t>
    </rPh>
    <rPh sb="40" eb="41">
      <t>サ</t>
    </rPh>
    <phoneticPr fontId="7"/>
  </si>
  <si>
    <t>白抜き行について回答欄と備考欄へご回答ください。</t>
    <rPh sb="0" eb="2">
      <t>シロヌ</t>
    </rPh>
    <rPh sb="3" eb="4">
      <t>ギョウ</t>
    </rPh>
    <rPh sb="8" eb="10">
      <t>カイトウ</t>
    </rPh>
    <rPh sb="10" eb="11">
      <t>ラン</t>
    </rPh>
    <rPh sb="12" eb="14">
      <t>ビコウ</t>
    </rPh>
    <rPh sb="14" eb="15">
      <t>ラン</t>
    </rPh>
    <rPh sb="17" eb="19">
      <t>カイトウ</t>
    </rPh>
    <phoneticPr fontId="7"/>
  </si>
  <si>
    <t>確認者使用欄</t>
    <rPh sb="0" eb="2">
      <t>カクニン</t>
    </rPh>
    <rPh sb="2" eb="3">
      <t>シャ</t>
    </rPh>
    <rPh sb="3" eb="5">
      <t>シヨウ</t>
    </rPh>
    <rPh sb="5" eb="6">
      <t>ラン</t>
    </rPh>
    <phoneticPr fontId="7"/>
  </si>
  <si>
    <t>ID</t>
    <phoneticPr fontId="7"/>
  </si>
  <si>
    <t>確認項目</t>
    <rPh sb="0" eb="2">
      <t>カクニン</t>
    </rPh>
    <rPh sb="2" eb="4">
      <t>コウモク</t>
    </rPh>
    <phoneticPr fontId="7"/>
  </si>
  <si>
    <t>重要度
(コメント参照)</t>
    <rPh sb="0" eb="3">
      <t>ジュウヨウド</t>
    </rPh>
    <rPh sb="9" eb="11">
      <t>サンショウ</t>
    </rPh>
    <phoneticPr fontId="7"/>
  </si>
  <si>
    <t>回答欄</t>
    <phoneticPr fontId="7"/>
  </si>
  <si>
    <t>A分類</t>
    <rPh sb="1" eb="3">
      <t>ブンルイ</t>
    </rPh>
    <phoneticPr fontId="7"/>
  </si>
  <si>
    <t>T分類</t>
    <rPh sb="1" eb="3">
      <t>ブンルイ</t>
    </rPh>
    <phoneticPr fontId="7"/>
  </si>
  <si>
    <t>S分類</t>
    <rPh sb="1" eb="3">
      <t>ブンルイ</t>
    </rPh>
    <phoneticPr fontId="7"/>
  </si>
  <si>
    <t>確認者コメント欄</t>
    <rPh sb="0" eb="2">
      <t>カクニン</t>
    </rPh>
    <rPh sb="2" eb="3">
      <t>シャ</t>
    </rPh>
    <rPh sb="7" eb="8">
      <t>ラン</t>
    </rPh>
    <phoneticPr fontId="7"/>
  </si>
  <si>
    <t>外部委託</t>
    <rPh sb="0" eb="2">
      <t>ガイブ</t>
    </rPh>
    <rPh sb="2" eb="4">
      <t>イタク</t>
    </rPh>
    <phoneticPr fontId="7"/>
  </si>
  <si>
    <t>SAUC</t>
    <phoneticPr fontId="7"/>
  </si>
  <si>
    <t>PRJ計画
SIレビュー</t>
    <rPh sb="3" eb="5">
      <t>ケイカク</t>
    </rPh>
    <phoneticPr fontId="7"/>
  </si>
  <si>
    <t>共通</t>
    <rPh sb="0" eb="2">
      <t>キョウツウ</t>
    </rPh>
    <phoneticPr fontId="7"/>
  </si>
  <si>
    <t>個人情報</t>
    <rPh sb="0" eb="2">
      <t>コジン</t>
    </rPh>
    <rPh sb="2" eb="4">
      <t>ジョウホウ</t>
    </rPh>
    <phoneticPr fontId="7"/>
  </si>
  <si>
    <t>回答フラグ</t>
    <rPh sb="0" eb="2">
      <t>カイトウ</t>
    </rPh>
    <phoneticPr fontId="7"/>
  </si>
  <si>
    <t>セキュリティ管理</t>
    <rPh sb="6" eb="8">
      <t>カンリ</t>
    </rPh>
    <phoneticPr fontId="7"/>
  </si>
  <si>
    <t>マルウェア</t>
    <phoneticPr fontId="7"/>
  </si>
  <si>
    <t>クラウド</t>
    <phoneticPr fontId="7"/>
  </si>
  <si>
    <t>別表1,2,3</t>
    <rPh sb="0" eb="2">
      <t>ベッピョウ</t>
    </rPh>
    <phoneticPr fontId="7"/>
  </si>
  <si>
    <t>外部委託評価</t>
    <rPh sb="0" eb="2">
      <t>ガイブ</t>
    </rPh>
    <rPh sb="2" eb="4">
      <t>イタク</t>
    </rPh>
    <rPh sb="4" eb="6">
      <t>ヒョウカ</t>
    </rPh>
    <phoneticPr fontId="7"/>
  </si>
  <si>
    <t>反映日</t>
    <rPh sb="0" eb="2">
      <t>ハンエイ</t>
    </rPh>
    <rPh sb="2" eb="3">
      <t>ビ</t>
    </rPh>
    <phoneticPr fontId="7"/>
  </si>
  <si>
    <t>1. 情報セキュリティのための方針群</t>
    <rPh sb="15" eb="17">
      <t>ホウシン</t>
    </rPh>
    <rPh sb="17" eb="18">
      <t>グン</t>
    </rPh>
    <phoneticPr fontId="7"/>
  </si>
  <si>
    <t>CTE.1</t>
    <phoneticPr fontId="7"/>
  </si>
  <si>
    <t>1.1.1.</t>
    <phoneticPr fontId="7"/>
  </si>
  <si>
    <t>委託先で全社的なセキュリティポリシーが策定されているか。</t>
  </si>
  <si>
    <t>Required</t>
  </si>
  <si>
    <t>〇</t>
  </si>
  <si>
    <t>CTE.2</t>
    <phoneticPr fontId="7"/>
  </si>
  <si>
    <t>1.1.2.</t>
    <phoneticPr fontId="7"/>
  </si>
  <si>
    <t>CTE.3</t>
    <phoneticPr fontId="7"/>
  </si>
  <si>
    <t>1.1.3.</t>
  </si>
  <si>
    <t>新規システムやサービス導入時に、情報セキュリティリスク評価を実施しているか。</t>
  </si>
  <si>
    <t>CTE.4</t>
    <phoneticPr fontId="7"/>
  </si>
  <si>
    <t>1.1.4.</t>
  </si>
  <si>
    <t>新たな脅威が発現した際に、情報セキュリティリスク評価を実施しているか。</t>
  </si>
  <si>
    <t>CTE.5</t>
    <phoneticPr fontId="7"/>
  </si>
  <si>
    <t>1.1.5.</t>
  </si>
  <si>
    <r>
      <t>既存のシステムやサービスに、定期的な情報セキュリティリスク評価が実施されているか。</t>
    </r>
    <r>
      <rPr>
        <b/>
        <sz val="14"/>
        <color rgb="FFFF0000"/>
        <rFont val="Yu Gothic"/>
        <family val="3"/>
        <charset val="128"/>
        <scheme val="minor"/>
      </rPr>
      <t>（頻度を備考欄に記入する。）</t>
    </r>
    <phoneticPr fontId="7"/>
  </si>
  <si>
    <t>2. 情報セキュリティのための組織</t>
    <rPh sb="3" eb="5">
      <t>ジョウホウ</t>
    </rPh>
    <rPh sb="15" eb="17">
      <t>ソシキ</t>
    </rPh>
    <phoneticPr fontId="7"/>
  </si>
  <si>
    <t>　</t>
    <phoneticPr fontId="7"/>
  </si>
  <si>
    <t>CTE.6</t>
    <phoneticPr fontId="7"/>
  </si>
  <si>
    <t>2.1.1.</t>
    <phoneticPr fontId="7"/>
  </si>
  <si>
    <t>サイバー攻撃を受けた時の緊急時対応と早期警戒のための組織体制として、組織内CSIRT等を定めているか。</t>
  </si>
  <si>
    <t>3. 人的資源のセキュリティ</t>
    <rPh sb="3" eb="5">
      <t>ジンテキ</t>
    </rPh>
    <rPh sb="5" eb="7">
      <t>シゲン</t>
    </rPh>
    <phoneticPr fontId="7"/>
  </si>
  <si>
    <t>CTE.7</t>
    <phoneticPr fontId="7"/>
  </si>
  <si>
    <t>3.1.1.</t>
    <phoneticPr fontId="7"/>
  </si>
  <si>
    <r>
      <t xml:space="preserve">セキュリティポリシーに関する教育・訓練は定期的に全社員に対して実施されているか。
特に不正行為は厳しい制裁・処分を受けることを盛り込み指導しているか。
</t>
    </r>
    <r>
      <rPr>
        <b/>
        <sz val="14"/>
        <color rgb="FFFF0000"/>
        <rFont val="Yu Gothic"/>
        <family val="3"/>
        <charset val="128"/>
        <scheme val="minor"/>
      </rPr>
      <t>（頻度を備考欄に記入する。）</t>
    </r>
    <phoneticPr fontId="7"/>
  </si>
  <si>
    <t>CTE.8</t>
    <phoneticPr fontId="7"/>
  </si>
  <si>
    <t>3.1.2.</t>
  </si>
  <si>
    <r>
      <t>サイバー攻撃に関する定期的な研修・訓練（標的型メール訓練等）を実施しているか。</t>
    </r>
    <r>
      <rPr>
        <b/>
        <sz val="14"/>
        <color rgb="FFFF0000"/>
        <rFont val="Yu Gothic"/>
        <family val="3"/>
        <charset val="128"/>
        <scheme val="minor"/>
      </rPr>
      <t>（頻度を備考欄に記入する。）</t>
    </r>
    <phoneticPr fontId="7"/>
  </si>
  <si>
    <t>CTE.9</t>
    <phoneticPr fontId="7"/>
  </si>
  <si>
    <t>3.1.3.</t>
  </si>
  <si>
    <t>防災組織を整備し、社員に周知させるための教育、訓練を実施しているか</t>
  </si>
  <si>
    <t>4. 運用態勢</t>
    <rPh sb="3" eb="5">
      <t>ウンヨウ</t>
    </rPh>
    <rPh sb="5" eb="7">
      <t>タイセイ</t>
    </rPh>
    <phoneticPr fontId="7"/>
  </si>
  <si>
    <t>CTE.10</t>
    <phoneticPr fontId="7"/>
  </si>
  <si>
    <t>4.1.1.</t>
    <phoneticPr fontId="7"/>
  </si>
  <si>
    <t>開発部門と運用部門の職務権限を分離し、部門間の牽制による事故防止体制を構築しているか。
 ＜例＞
・職責の分離：組織、職務権限の分離、兼務の禁止など
・環境の分離：物理的アクセス制限、ロケーションの分離など
・アクセスの制限・管理：（論理）アクセス制御、第三者によるアクセスログのモニタリングなど</t>
  </si>
  <si>
    <t>CTE.11</t>
    <phoneticPr fontId="7"/>
  </si>
  <si>
    <t>4.1.2.</t>
  </si>
  <si>
    <t>開発担当者が使用するＩＤは、以下にアクセスできないようになっているか。
・本番環境
・システム構成情報
・NW機器
・セキュリティ機器（ファイアウォールなど）
・本番データやプログラムを変更、削除できるツール
・スーパーユーザー機能、マスターパスワード</t>
  </si>
  <si>
    <t>CTE.12</t>
  </si>
  <si>
    <t>4.1.3.</t>
  </si>
  <si>
    <t>システム開発のテストにおいて、重要データを使用していないか
（例えば、本番データの使用が必要な場合は、運用部門が重要項目をマスクした上で開発部門に提供する等）</t>
  </si>
  <si>
    <t>CTE.13</t>
  </si>
  <si>
    <t>4.1.4.</t>
  </si>
  <si>
    <r>
      <t xml:space="preserve">システムで取り扱う情報・データが重要度・法的根拠にしたがって分類され、その分類に応じて、アクセスできる対象者が規定されているか。
</t>
    </r>
    <r>
      <rPr>
        <b/>
        <sz val="14"/>
        <color rgb="FFFF0000"/>
        <rFont val="Yu Gothic"/>
        <family val="3"/>
        <charset val="128"/>
        <scheme val="minor"/>
      </rPr>
      <t>（回答で「YES」を選択した場合でも、特権IDの使用人数を備考欄に記入する。）</t>
    </r>
    <phoneticPr fontId="7"/>
  </si>
  <si>
    <t>CTE.14</t>
  </si>
  <si>
    <t>4.1.5.</t>
  </si>
  <si>
    <r>
      <t xml:space="preserve">本番データの利用承認手続きが規定やマニュアルに明文化されているか。
保管状況、利用・受け渡し状況、データの廃棄状況等、ルールの遵守状況をモニタリングしているか。
</t>
    </r>
    <r>
      <rPr>
        <b/>
        <sz val="14"/>
        <color rgb="FFFF0000"/>
        <rFont val="Yu Gothic"/>
        <family val="3"/>
        <charset val="128"/>
        <scheme val="minor"/>
      </rPr>
      <t>（回答で「YES」を選択した場合は、下記のうち該当する番号を備考欄に記入する。）</t>
    </r>
    <r>
      <rPr>
        <b/>
        <sz val="14"/>
        <rFont val="Yu Gothic"/>
        <family val="3"/>
        <charset val="128"/>
        <scheme val="minor"/>
      </rPr>
      <t xml:space="preserve">
</t>
    </r>
    <r>
      <rPr>
        <sz val="14"/>
        <rFont val="Yu Gothic"/>
        <family val="3"/>
        <charset val="128"/>
        <scheme val="minor"/>
      </rPr>
      <t xml:space="preserve">
1.以下の両方を満たしている
2.明文化しているが、モニタリングはしていない
3.明文化していないが、モニタリングしている
</t>
    </r>
    <rPh sb="85" eb="87">
      <t>イカ</t>
    </rPh>
    <rPh sb="88" eb="90">
      <t>リョウホウ</t>
    </rPh>
    <rPh sb="91" eb="92">
      <t>ミ</t>
    </rPh>
    <rPh sb="100" eb="103">
      <t>メイブンカ</t>
    </rPh>
    <rPh sb="124" eb="126">
      <t>メイブン</t>
    </rPh>
    <rPh sb="126" eb="127">
      <t>カ</t>
    </rPh>
    <phoneticPr fontId="7"/>
  </si>
  <si>
    <t>CTE.15</t>
  </si>
  <si>
    <t>4.1.6.</t>
  </si>
  <si>
    <t>センシティブ情報・クレジットカード情報・特定個人情報に対して、許可された従業者のみが委託元（当社）の要件に合わせた厳格なコントロール（アクセスルール、アクセス権、アクセスログ、マスキング等）が設定されているか</t>
  </si>
  <si>
    <t>CTE.16</t>
  </si>
  <si>
    <t>4.1.7.</t>
  </si>
  <si>
    <t>当社、委託先社内（オペレータ、業務従事者）、それぞれの立場から、外部による本番データへのアクセスルートを明確にしているか。</t>
  </si>
  <si>
    <t>CTE.17</t>
  </si>
  <si>
    <t>4.1.8.</t>
  </si>
  <si>
    <t>委託先において、委託元から特別に許可を得ていない場合は本番データの更新を行えないようにしているか</t>
  </si>
  <si>
    <t>CTE.18</t>
  </si>
  <si>
    <t>4.1.9.</t>
  </si>
  <si>
    <t>本番データを外部へ受け渡すときの手続きが、規定やマニュアルに明文化されているか。
・紙の場合：一定程度の強度を持った容器に収納、開封シール貼付、受取人限定、直接手渡し、セキュリティ便等の使用　など
・外部記憶媒体の場合：一定程度の強度を持った容器に収納、開封シール貼付、暗号化、受取人限定、直接手渡し、セキュリティ便等の使用　など
・電子ファイルの場合：PWの設定と別メールによる連絡、暗号化、セキュア配信サービスの使用　など</t>
  </si>
  <si>
    <t>CTE.19</t>
  </si>
  <si>
    <t>4.1.10.</t>
  </si>
  <si>
    <t>変換途中の中間データ、バックアップデータ、作成に失敗した不完全生成物（外部媒体・紙）の管理（保存・廃棄・記録）についてルール・手続きを定めているか</t>
  </si>
  <si>
    <t>CTE.20</t>
  </si>
  <si>
    <t>4.1.11.</t>
  </si>
  <si>
    <t xml:space="preserve">委託先もしくはサービス提供元企業で本番データを保存する場合、保存場所が明確になっており、他社データと混在しない様に物理的な隔離策を講じているか
 ＜例＞
・電子データの場合：当社業務専用のＰＣ、サーバ機器設置など
・ 外部媒体・紙などの場合：当社専用区画の設置、時間を区切った作業場所の専有など
</t>
  </si>
  <si>
    <t>CTE.21</t>
  </si>
  <si>
    <t>4.1.12.</t>
  </si>
  <si>
    <t>CTE.22</t>
  </si>
  <si>
    <t>4.1.13.</t>
  </si>
  <si>
    <t>CTE.23</t>
  </si>
  <si>
    <r>
      <t xml:space="preserve">本番環境やプレ本環境にアクセス出来るエリアを限定し、以下を実施しているか。
</t>
    </r>
    <r>
      <rPr>
        <b/>
        <sz val="14"/>
        <color rgb="FFFF0000"/>
        <rFont val="Yu Gothic"/>
        <family val="3"/>
        <charset val="128"/>
        <scheme val="minor"/>
      </rPr>
      <t>（回答で「YES」を選択した場合でも、以下のうち実施している内容を備考欄に記入する。）</t>
    </r>
    <r>
      <rPr>
        <sz val="14"/>
        <rFont val="Yu Gothic"/>
        <family val="3"/>
        <charset val="128"/>
        <scheme val="minor"/>
      </rPr>
      <t xml:space="preserve">
　・PC・モバイル機器及び外部媒体の持ち込み・持ち出しの禁止
　・やむを得ず持ち込み・持ち出しする場合のルールと手順の作成および適切なチェックの実施
　・入退室できる要員の限定
　・入退室の記録と保管
　・金属探知機や警備員のチェックによる、サーバールームへの端末・その他情報機器・外部媒体等の持込・持出管理
　・警備員による定期巡回、防犯カメラ、非常通報装置、窓や扉の開閉センサー、ガラスの破壊時に感知する振動感知器の設置などの防犯対策</t>
    </r>
    <phoneticPr fontId="7"/>
  </si>
  <si>
    <t>2022/4/1追加</t>
    <rPh sb="8" eb="10">
      <t>ツイカ</t>
    </rPh>
    <phoneticPr fontId="7"/>
  </si>
  <si>
    <t>CTE.24</t>
  </si>
  <si>
    <t>CTE.25</t>
  </si>
  <si>
    <t>4.1.16.</t>
    <phoneticPr fontId="7"/>
  </si>
  <si>
    <r>
      <t xml:space="preserve">委託先もしくはサービス提供元企業がシステムの管理運用に利用する端末について、端末の紛失・盗難有無の確認のため、端末管理簿と端末現物の突合せチェック（在高管理）を行っているか
</t>
    </r>
    <r>
      <rPr>
        <b/>
        <sz val="14"/>
        <color rgb="FFFF0000"/>
        <rFont val="Yu Gothic"/>
        <family val="3"/>
        <charset val="128"/>
        <scheme val="minor"/>
      </rPr>
      <t xml:space="preserve">（回答で「YES」を選択した場合は、下記のうち該当する番号を備考欄に記入する。）
</t>
    </r>
    <r>
      <rPr>
        <sz val="14"/>
        <rFont val="Yu Gothic"/>
        <family val="3"/>
        <charset val="128"/>
        <scheme val="minor"/>
      </rPr>
      <t>[在高管理頻度]
１．月次以上に頻繁
２．年次以上に頻繁
３．年次より少ない</t>
    </r>
    <phoneticPr fontId="7"/>
  </si>
  <si>
    <t>CTE.26</t>
  </si>
  <si>
    <t>4.1.17.</t>
    <phoneticPr fontId="7"/>
  </si>
  <si>
    <t>端末へのマルウェア感染を防止するため、委託先もしくはサービス提供元企業がシステムの管理運用に利用する端末について、既知の脆弱性に対し、緊急度高と判定したものは速やかに適用、それ以外の脆弱性については月次等で適用する等のプロセスを実施しているか</t>
  </si>
  <si>
    <t>CTE.27</t>
  </si>
  <si>
    <t>4.1.18.</t>
    <phoneticPr fontId="7"/>
  </si>
  <si>
    <t xml:space="preserve">委託先もしくはサービス提供元企業がシステムの管理運用に利用する端末について、端末内に本番データを保存できないようにしているか
保存する必要がある場合は、暗号化および外部媒体への書き出しを制御をしているか
</t>
  </si>
  <si>
    <t>CTE.28</t>
  </si>
  <si>
    <r>
      <t xml:space="preserve">端末へのマルウェア感染を防止するため、委託先もしくはサービス提供元企業がシステムの管理運用に利用する端末について、ＵＳＢポートの利用を制限し、外部媒体を使用できない様にしているか（Windows PCに対するスマートフォン等のUSB接続対策を含む）
例外的に外部媒体の利用を認める端末を用意する場合は、以下の通り対応しているか。
　・外部媒体接続時の自動再生機能を停止
　・（外部媒体に書き出しを行う場合）通常の運用端末や業務端末とは別に書き出し用の端末を用意する
</t>
    </r>
    <r>
      <rPr>
        <b/>
        <sz val="14"/>
        <color rgb="FFFF0000"/>
        <rFont val="Yu Gothic"/>
        <family val="3"/>
        <charset val="128"/>
        <scheme val="minor"/>
      </rPr>
      <t>（回答で「YES」を選択した場合は、下記のうち該当する番号を備考欄に記入する。）</t>
    </r>
    <r>
      <rPr>
        <b/>
        <sz val="14"/>
        <rFont val="Yu Gothic"/>
        <family val="3"/>
        <charset val="128"/>
        <scheme val="minor"/>
      </rPr>
      <t xml:space="preserve">
</t>
    </r>
    <r>
      <rPr>
        <sz val="14"/>
        <rFont val="Yu Gothic"/>
        <family val="3"/>
        <charset val="128"/>
        <scheme val="minor"/>
      </rPr>
      <t xml:space="preserve">1.外部媒体の利用を制限している
2.制限はしていないが自動再生の停止および書き出し用端末を用意している
</t>
    </r>
    <rPh sb="278" eb="280">
      <t>ガイブ</t>
    </rPh>
    <rPh sb="280" eb="282">
      <t>バイタイ</t>
    </rPh>
    <rPh sb="283" eb="285">
      <t>リヨウ</t>
    </rPh>
    <rPh sb="286" eb="288">
      <t>セイゲン</t>
    </rPh>
    <rPh sb="295" eb="297">
      <t>セイゲン</t>
    </rPh>
    <rPh sb="304" eb="306">
      <t>ジドウ</t>
    </rPh>
    <rPh sb="306" eb="308">
      <t>サイセイ</t>
    </rPh>
    <rPh sb="309" eb="311">
      <t>テイシ</t>
    </rPh>
    <rPh sb="314" eb="315">
      <t>カ</t>
    </rPh>
    <rPh sb="316" eb="317">
      <t>ダ</t>
    </rPh>
    <rPh sb="318" eb="319">
      <t>ヨウ</t>
    </rPh>
    <rPh sb="319" eb="321">
      <t>タンマツ</t>
    </rPh>
    <rPh sb="322" eb="324">
      <t>ヨウイ</t>
    </rPh>
    <phoneticPr fontId="7"/>
  </si>
  <si>
    <t>CTE.29</t>
  </si>
  <si>
    <r>
      <t xml:space="preserve">委託先もしくはサービス提供元企業がシステムの管理運用に利用する端末について、本番データの印刷が行えない様にシステム的な対策を行っているか。
現地法制・現地慣習などを踏まえ例外的に印刷を行う場合は、ログを自動取得・保管しているか
</t>
    </r>
    <r>
      <rPr>
        <b/>
        <sz val="14"/>
        <color rgb="FFFF0000"/>
        <rFont val="Yu Gothic"/>
        <family val="3"/>
        <charset val="128"/>
        <scheme val="minor"/>
      </rPr>
      <t xml:space="preserve">（回答で「YES」を選択した場合は、下記のうち該当する番号を備考欄に記入する。）
</t>
    </r>
    <r>
      <rPr>
        <sz val="14"/>
        <rFont val="Yu Gothic"/>
        <family val="3"/>
        <charset val="128"/>
        <scheme val="minor"/>
      </rPr>
      <t xml:space="preserve">1.印刷できないように制御している
2.印刷はできるが、ログを取得・補完している
</t>
    </r>
    <rPh sb="158" eb="160">
      <t>インサツ</t>
    </rPh>
    <rPh sb="167" eb="169">
      <t>セイギョ</t>
    </rPh>
    <rPh sb="176" eb="178">
      <t>インサツ</t>
    </rPh>
    <rPh sb="187" eb="189">
      <t>シュトク</t>
    </rPh>
    <rPh sb="190" eb="192">
      <t>ホカン</t>
    </rPh>
    <phoneticPr fontId="7"/>
  </si>
  <si>
    <t>2023/1/4修正</t>
    <rPh sb="8" eb="10">
      <t>シュウセイ</t>
    </rPh>
    <phoneticPr fontId="7"/>
  </si>
  <si>
    <t>CTE.30</t>
  </si>
  <si>
    <r>
      <t xml:space="preserve">委託先もしくはサービス提供元企業がシステムの管理運用に利用する端末について、起動時および一定時間（１５分間等）の無操作時は、ID・パスワードの入力を必要としているか。
</t>
    </r>
    <r>
      <rPr>
        <b/>
        <sz val="14"/>
        <color rgb="FFFF0000"/>
        <rFont val="Yu Gothic"/>
        <family val="3"/>
        <charset val="128"/>
        <scheme val="minor"/>
      </rPr>
      <t>（回答で「YES」を選択した場合は、下記のうち該当する番号を備考欄に記入する。）</t>
    </r>
    <r>
      <rPr>
        <b/>
        <sz val="14"/>
        <rFont val="Yu Gothic"/>
        <family val="3"/>
        <charset val="128"/>
        <scheme val="minor"/>
      </rPr>
      <t xml:space="preserve">
</t>
    </r>
    <r>
      <rPr>
        <sz val="14"/>
        <rFont val="Yu Gothic"/>
        <family val="3"/>
        <charset val="128"/>
        <scheme val="minor"/>
      </rPr>
      <t>１．端末操作起動時および一定時間無操作時
２．端末操作起動時のみ</t>
    </r>
    <phoneticPr fontId="7"/>
  </si>
  <si>
    <t>CTE.31</t>
  </si>
  <si>
    <t>端末から直接インターネット上のC&amp;Cサーバへ接続するコネクトバック通信を遮断および検知するため、委託先もしくはサービス提供元企業がシステムの管理運用に利用する端末について、ブラウザのプロキシ設定を有効にし、組織内のプロキシを明示的に指定しているか。</t>
  </si>
  <si>
    <t>CTE.32</t>
  </si>
  <si>
    <t>委託先もしくはサービス提供元企業が利用する端末（個人所有のものを含む）に、Ｗｉｎｎｙ、ＷｉｎＭＸ、Ｓｈａｒｅ等の「ファイル交換ソフト」をインストールしてはいけないことを規定しているか。</t>
  </si>
  <si>
    <t>CTE.33</t>
  </si>
  <si>
    <t xml:space="preserve">攻撃者に侵入された端末から周囲の端末への内部侵害拡大を防止するため、委託先もしくはサービス提供元企業が利用する端末間の通信を業務要件に基づいて必要最低限に制限、または遮断しているか。
・Active Directoryのグループポリシー等を利用してファイル共有機能を停止するとともに、ユーザーによるファイル共有の新規作成を禁止する。
・上記のファイル共有禁止ができない場合は、パーソナルファイアウォール等のアクセス制御機能を用いて、ユーザ端末間の通信を遮断し、ウィルス定義ファイルやセキュリティパッチ自動配信等の運用管理に必要な通信のみ受付ける設定とする。
</t>
  </si>
  <si>
    <t>CTE.34</t>
  </si>
  <si>
    <t>攻撃者による管理者権限のアカウント窃取を防止するため、委託先もしくはサービス提供元企業がシステムの管理運用に利用する端末について、使用するアカウントの権限を以下のように最小化しているか。
・ユーザー端末で使用するアカウントはDomain Usersグループに登録し（一般ユーザー権限とし）、管理者権限を付与しない。
・ユーザー端末のメンテナンスを行う場合は、Operatorsグループに登録したアカウント（ローカル管理者権限）を使用する。</t>
  </si>
  <si>
    <t>CTE.35</t>
  </si>
  <si>
    <t xml:space="preserve">攻撃者による管理者権限のアカウント窃取を防止するため、委託先もしくはサービス提供元企業のドメインの管理者アカウントを使用する業務を最小化しているか。
不用意な管理者アカウントの配布・拡散を防ぐため以下を実施する。
・ドメインの管理者アカウントは、普段使用するアカウントとは別に管理者専用のアカウントを割り当てる。
・当アカウントはドメインの管理者権限が必要となる業務に対してのみ許可する。
・当アカウントは特定の運用管理端末でのみ使用する。
</t>
  </si>
  <si>
    <t>CTE.36</t>
  </si>
  <si>
    <t>攻撃者に侵入された端末から周囲の端末や管理者アカウントへの侵害拡大を防止するため、Active Directoryの認証ログを取得し、以下のような観点で分析しているか。
・ドメインの管理者アカウントの利用は運用記録をとり、認証ログと突合せ、記録に無いログイン履歴が無いことを確認する。
・認証失敗のログを取得する設定する。（Active Directoryのデフォルト設定は成功ログのみ取得）。</t>
  </si>
  <si>
    <t>CTE.37</t>
  </si>
  <si>
    <t>攻撃者に侵入された端末から周囲の端末への内部侵害拡大を防止するため、委託先もしくはサービス提供元企業のWindowsサーバや端末において、以下のようにタスクスケジューラやPsExecの実行を監視しているか。
・Windowsサーバのイベントログに対してタスクスケジューラのログを出力する設定とする。
・イベントログでタスクの追加イベントを検知する
・イベントログでサービスの追加イベントを検知する</t>
  </si>
  <si>
    <t>CTE.38</t>
  </si>
  <si>
    <t>委託先もしくはサービス提供元企業が利用するモバイル機器および在宅勤務のデバイスにおいて、必要な情報を持つログを適切な期間保存しているか。
ログの要件は以下の通りである。
・推奨保存期間はそれぞれ1年以上である。
・全てのシステムクロックは、実際の時刻と同期されている（ログ時刻にズレがない）必要がある。
・ログは、平時（監視）やインシデント発生時（疑義を含む）に必要な分析調査が行える情報（例：ユーザID、種類、日時、成功・失敗、影響を受けたデータ、システムコンポーネント、識別子等）が記録されている必要がある。
・ログは、改変できないようログ保管システムへのアクセス管理を行い保護する。</t>
  </si>
  <si>
    <t>Recommended</t>
  </si>
  <si>
    <t>CTE.39</t>
  </si>
  <si>
    <t>委託先もしくはサービス提供元企業が利用する、社外に持ち出して使用する端末・デバイスは、以下の機能を装備しているか。
・重要データを保持する場合の暗号化
　(例えば、重要データのファイルの暗号化や、ハードディスクの暗号化など)
・端末紛失時の、会社メールデータを含む保存データの遠隔消去
・端末操作が10分ない場合のパスコードロック強制
上記を満たせない場合は、下記の機能制限を全て行っているか。
・業務データの端末へのダウンロード制限
・ブラウザを使用する場合は、キャッシュの削除
・印刷の制限
・端末へのコピー＆ペースト機能の制限</t>
    <phoneticPr fontId="7"/>
  </si>
  <si>
    <t>2023/7/3修正</t>
    <rPh sb="8" eb="10">
      <t>シュウセイ</t>
    </rPh>
    <phoneticPr fontId="7"/>
  </si>
  <si>
    <t>CTE.40</t>
  </si>
  <si>
    <t>Required</t>
    <phoneticPr fontId="7"/>
  </si>
  <si>
    <t>CTE.41</t>
  </si>
  <si>
    <r>
      <t xml:space="preserve">端末へのマルウェア感染を防止するため、委託先もしくはサービス提供元企業のメール経路や社外Webアクセス経路の出入口において、IPS/IDSにより以下の対策を実装しているか
・不正コードの検知と遮断、およびモニタリング
・アウトバウンドの不正通信の検知と遮断状、およびモニタリング
</t>
    </r>
    <r>
      <rPr>
        <b/>
        <sz val="14"/>
        <color rgb="FFFF0000"/>
        <rFont val="Yu Gothic"/>
        <family val="3"/>
        <charset val="128"/>
        <scheme val="minor"/>
      </rPr>
      <t>（回答で「YES」を選択した場合は、下記のうち該当する番号を備考欄に記入する。）</t>
    </r>
    <r>
      <rPr>
        <b/>
        <sz val="14"/>
        <rFont val="Yu Gothic"/>
        <family val="3"/>
        <charset val="128"/>
        <scheme val="minor"/>
      </rPr>
      <t xml:space="preserve">
</t>
    </r>
    <r>
      <rPr>
        <sz val="14"/>
        <rFont val="Yu Gothic"/>
        <family val="3"/>
        <charset val="128"/>
        <scheme val="minor"/>
      </rPr>
      <t xml:space="preserve">1.IPS/IDSの実装、モニタリング共に実施している
2.IPS/IDSの実装はしているが、モニタリングはしていない
</t>
    </r>
    <rPh sb="192" eb="194">
      <t>ジッソウ</t>
    </rPh>
    <rPh sb="201" eb="202">
      <t>トモ</t>
    </rPh>
    <rPh sb="203" eb="205">
      <t>ジッシ</t>
    </rPh>
    <phoneticPr fontId="7"/>
  </si>
  <si>
    <t>CTE.42</t>
  </si>
  <si>
    <r>
      <t xml:space="preserve">端末へのマルウェア感染を防止するため、委託先もしくはサービス提供元企業の社外Webアクセス経路において、振舞検知による不審な通信の検知・遮断を行っているか。
また、遮断状況がモニタリングされているか。
なお、本要件については、「保険事業会社、関連の深い事業会社、センシティブな情報を扱う事業会社、顧客の個人情報を扱う一般事業会社」については必須要件とする。その他は推奨要件とする。
</t>
    </r>
    <r>
      <rPr>
        <b/>
        <sz val="14"/>
        <color rgb="FFFF0000"/>
        <rFont val="Yu Gothic"/>
        <family val="3"/>
        <charset val="128"/>
        <scheme val="minor"/>
      </rPr>
      <t>（回答で「YES」を選択した場合は、下記のうち該当する番号を備考欄に記入する。）</t>
    </r>
    <r>
      <rPr>
        <b/>
        <sz val="14"/>
        <rFont val="Yu Gothic"/>
        <family val="3"/>
        <charset val="128"/>
        <scheme val="minor"/>
      </rPr>
      <t xml:space="preserve">
</t>
    </r>
    <r>
      <rPr>
        <sz val="14"/>
        <rFont val="Yu Gothic"/>
        <family val="3"/>
        <charset val="128"/>
        <scheme val="minor"/>
      </rPr>
      <t xml:space="preserve">1.振舞検知の実装、モニタリング共に実施している
2.振舞検知の実装はしているが、モニタリングはしていない
</t>
    </r>
    <rPh sb="236" eb="238">
      <t>フルマイ</t>
    </rPh>
    <rPh sb="238" eb="240">
      <t>ケンチ</t>
    </rPh>
    <phoneticPr fontId="7"/>
  </si>
  <si>
    <t>CTE.43</t>
  </si>
  <si>
    <t>CTE.44</t>
  </si>
  <si>
    <t>端末から直接インターネット上のC&amp;Cサーバへ接続するコネクトバック通信を検知するため、委託先もしくはサービス提供元企業の端末がインターネットに接続する時に経由するファイアウォールについて、通信ログを取得し、端末から直接外部に（プロキシサーバを経由せずに）80,443ポートで通信を試みたログがないか、定期的な確認を行っているか。</t>
  </si>
  <si>
    <t>CTE.45</t>
  </si>
  <si>
    <t>マルウェア感染の監視・分析・調査を行えるように、委託先もしくはサービス提供元企業の各インターネット閲覧環境（DNS、ファイアウォール、IPS、プロキシサーバ）のログを適切な期間保存しているか。（推奨保存期間は１年以上）</t>
  </si>
  <si>
    <t>CTE.46</t>
  </si>
  <si>
    <t>端末から直接インターネット上のC&amp;Cサーバへ接続するコネクトバック通信を遮断および検知するため、委託先もしくはサービス提供元企業の各種通信機器や要件において、以下の棚卸しを定期的に実施しているか。
・不要なファイアウォールのフィルタリングルールがないか確認
・不要なプロキシサーバの通信設定がないか確認（ログを定期的に確認）
・業務仕様の変更やシステムの改廃に合わせて、各セグメント間のアクセス制御設計およびネットワーク機器のACLの見直し</t>
  </si>
  <si>
    <t>CTE.47</t>
  </si>
  <si>
    <r>
      <t xml:space="preserve">C&amp;Cサーバへ接続するコネクトバック通信を遮断および検知するため、委託先もしくはサービス提供元企業のプロキシサーバの通信ログおよび認証ログを取得し、以下の観点で監視および定期的に分析しているか。
＜通信ログ＞
・規則的に再接続を試みるアクセスの有無を確認し、接続元と接続先のIPアドレスの調査から、コネクトバック通信を行っている端末がないか。(推奨)
・CONNECTメソッドを使用して、許可されていないポート番号で接続しようとしている通信ログ（遮断ログ）がないか。(必須)
＜認証ログ＞
・特定のユーザIDに対するブルートフォースによる認証の試行が無いか(必須)
・パスワードを固定してユーザIDを変化させる認証の試行が無いか(必須)
・同一の時間帯に同一ＩＤによるログインが複数端末から発生していないか(必須)
・深夜等の業務時間外に特定端末から定期的に認証ログが発生していないか(必須)
</t>
    </r>
    <r>
      <rPr>
        <b/>
        <sz val="14"/>
        <color rgb="FFFF0000"/>
        <rFont val="Yu Gothic"/>
        <family val="3"/>
        <charset val="128"/>
        <scheme val="minor"/>
      </rPr>
      <t>（回答で「YES」を選択した場合は、下記のうち該当する番号を全て備考欄に記入する。）</t>
    </r>
    <r>
      <rPr>
        <b/>
        <sz val="14"/>
        <rFont val="Yu Gothic"/>
        <family val="3"/>
        <charset val="128"/>
        <scheme val="minor"/>
      </rPr>
      <t xml:space="preserve">
</t>
    </r>
    <r>
      <rPr>
        <sz val="14"/>
        <rFont val="Yu Gothic"/>
        <family val="3"/>
        <charset val="128"/>
        <scheme val="minor"/>
      </rPr>
      <t xml:space="preserve">1.ログの取得
2.ログの監視
3.ログの定期的な分析
</t>
    </r>
    <rPh sb="80" eb="82">
      <t>カンシ</t>
    </rPh>
    <rPh sb="85" eb="88">
      <t>テイキテキ</t>
    </rPh>
    <rPh sb="429" eb="430">
      <t>スベ</t>
    </rPh>
    <rPh sb="447" eb="449">
      <t>シュトク</t>
    </rPh>
    <phoneticPr fontId="7"/>
  </si>
  <si>
    <t>CTE.48</t>
  </si>
  <si>
    <t xml:space="preserve">端末へのマルウェア感染を防止するため、委託先もしくはサービス提供元企業の社外Webアクセス経路において、 カテゴリフィルタやブラックリストを用いて以下のサイトを制限しているか。
　- 業務上必要のないサイト
　- 業務利用に不適切なサイト(情報の不正な持ち出しに利用され得る、Webメールやストレージサービス等)
　- 不審なサイト(ウイルス感染のリスクが高いと思われるサイトや、マルウェアのコントロールに使われていそうなサイト等)
</t>
  </si>
  <si>
    <t>CTE.49</t>
  </si>
  <si>
    <t>C&amp;Cサーバへ接続するコネクトバック通信を遮断および検知するため、委託先もしくはサービス提供元企業のプロキシサーバにおいて、インターネットへの通信について以下の要件を踏まえた上で認証を行うようにしているか
・プロキシは、ユーザ管理機能付またはディレクトリサービスと連携可能でユーザ単位で認証が可能になっているか。
・ユーザで認証する場合は、Basic認証ではなく、Digest認証やNTLM認証等の認証方式を採用しているか。
・端末やサーバで認証する場合は、証明書を登録したデバイス単位で認証が可能になっているか。</t>
  </si>
  <si>
    <t>CTE.50</t>
  </si>
  <si>
    <t>端末へのマルウェア感染を防止するため、委託先もしくはサービス提供元企業のメール経路において、メールサーバにパターンマッチとヒューリスティックスキャンの両方に対応したアンチウイルスソフトウエアを導入し、検知状況をモニタリングしているか。
なお、ヒューリスティックスキャン機能については、「保険事業会社、関連の深い事業会社、センシティブな情報を扱う事業会社、顧客の個人情報を扱う一般事業会社」については必須要件とする。その他は推奨要件とする。</t>
    <phoneticPr fontId="7"/>
  </si>
  <si>
    <t>CTE.51</t>
  </si>
  <si>
    <r>
      <t xml:space="preserve">委託先もしくはサービス提供元企業のメール経路において、現地法制・現地慣習などを踏まえ重要情報検知システム等により、送信時に上司の承認を求める、もしくは写に上司を設定しなければ送信できない仕組みとし、管理者が不正な送付でないことをモニタリングしているか。
</t>
    </r>
    <r>
      <rPr>
        <b/>
        <sz val="14"/>
        <color rgb="FFFF0000"/>
        <rFont val="Yu Gothic"/>
        <family val="3"/>
        <charset val="128"/>
        <scheme val="minor"/>
      </rPr>
      <t>（回答で「YES」を選択した場合は、下記のうち該当する番号を備考欄に記入する。）</t>
    </r>
    <r>
      <rPr>
        <sz val="14"/>
        <rFont val="Yu Gothic"/>
        <family val="3"/>
        <charset val="128"/>
        <scheme val="minor"/>
      </rPr>
      <t xml:space="preserve">
[モニタリング頻度]
１．週次以上に頻繁
２．月次以上に頻繁
３．年次以上に頻繁
４．年次より少ない もしくは不定期</t>
    </r>
    <phoneticPr fontId="7"/>
  </si>
  <si>
    <t>CTE.52</t>
  </si>
  <si>
    <t>端末へのマルウェア感染を防止するため、委託先もしくはサービス提供元企業のメール経路において、発信元のドメインやIPアドレス（特定のIPアドレス，海外等），メールの件名・本文に含まれるキーワード等の条件により、メールを遮断する機能を有しているか。</t>
  </si>
  <si>
    <t>CTE.53</t>
  </si>
  <si>
    <t>委託先もしくはサービス提供元企業のメール経路において、スパムメールや添付ファイルをフィルタリングしているか。
また、実行形式の添付ファイルおよび実行形式のファイルを圧縮したものである場合は遮断することを推奨する。
単体で実行される形式の添付ファイルは以下のようなものがある。
exe、bat、js、link、jar、chm、CMD、com、cpl、dll、hta、JSE、msc、ocx、pif、scr、sys、vbs、vbe、wsf、wsh等　</t>
    <phoneticPr fontId="7"/>
  </si>
  <si>
    <t>CTE.54</t>
  </si>
  <si>
    <t>CTE.55</t>
  </si>
  <si>
    <t>委託先もしくはサービス提供元企業において利用可能な外部媒体は、自社で管理している外部媒体や、信頼できる外部組織から送付された外部媒体のみとしているか。
信頼できない場合は、外部媒体のウィルスチェックを行うための検証用端末で確認を行っているか。</t>
  </si>
  <si>
    <t>CTE.56</t>
  </si>
  <si>
    <t>CTE.57</t>
  </si>
  <si>
    <t xml:space="preserve">利用するデータセンターについて、事前にハザードマップにより所在地周辺の想定リスクを確認した上で、対策をとっているか
</t>
  </si>
  <si>
    <t>CTE.58</t>
  </si>
  <si>
    <t>利用するデータセンターについて、停電に備え、バックアップ電源設備を設置しているか</t>
  </si>
  <si>
    <t>CTE.59</t>
  </si>
  <si>
    <r>
      <t xml:space="preserve">利用するデータセンターについて、災害対策状況の過不足を定期的に確認しているか
</t>
    </r>
    <r>
      <rPr>
        <b/>
        <sz val="14"/>
        <color rgb="FFFF0000"/>
        <rFont val="Yu Gothic"/>
        <family val="3"/>
        <charset val="128"/>
        <scheme val="minor"/>
      </rPr>
      <t>（回答で「YES」を選択した場合でも、頻度を備考欄に記入する。）</t>
    </r>
    <r>
      <rPr>
        <b/>
        <sz val="14"/>
        <rFont val="Yu Gothic"/>
        <family val="3"/>
        <charset val="128"/>
        <scheme val="minor"/>
      </rPr>
      <t xml:space="preserve">
</t>
    </r>
    <phoneticPr fontId="7"/>
  </si>
  <si>
    <t>CTE.60</t>
  </si>
  <si>
    <t>利用するデータセンターについて、、1981年6月（昭和56年）以降に建築確認を得た、新耐震設計法に準拠した建物か</t>
  </si>
  <si>
    <t>CTE.61</t>
  </si>
  <si>
    <t>利用するデータセンターについて、防犯のための対策を行っているか。
（警備員による定期的な巡回警備、防犯カメラ・非常通報装置・窓や扉の開閉を感知するセンサー・ガラスの破壊時に感知する振動感知器の設置など）</t>
    <phoneticPr fontId="7"/>
  </si>
  <si>
    <t>CTE.62</t>
  </si>
  <si>
    <t xml:space="preserve">利用するデータセンターについて、耐火・防火対策を実施しているか。
（火元を分別し、内外装を耐火・防火仕様にしている、重要データ等の避難場所を予め確保している、出火時の避難経路を確保している、自動火災報知設備・スプリンクラー・ガス消火器・耐火保管庫を設置しているなど）
</t>
    <phoneticPr fontId="7"/>
  </si>
  <si>
    <t>CTE.63</t>
  </si>
  <si>
    <r>
      <t xml:space="preserve">利用するデータセンターについて、常時利用する出入口は1カ所とし、外部者が入退室する場合のルールおよび手順を定め、関係者に周知徹底しているか
（警備員等による識別、磁気カード・IDカード・指紋照合装置等による識別、本人確認（事前申請・顔写真、公的証明書による本人確認等）、同行の義務付け、私物持込制限など）
</t>
    </r>
    <r>
      <rPr>
        <b/>
        <sz val="14"/>
        <color rgb="FFFF0000"/>
        <rFont val="Yu Gothic"/>
        <family val="3"/>
        <charset val="128"/>
        <scheme val="minor"/>
      </rPr>
      <t>（回答で「YES」を選択した場合でも、実施している内容を備考欄に記入する。）</t>
    </r>
    <phoneticPr fontId="7"/>
  </si>
  <si>
    <t>CTE.64</t>
  </si>
  <si>
    <t>利用するデータセンターについて、以下の全ての耐震対策が行われているか。
・建物、設備、コンピュータ等への影響を防止する措置が講じられていること。（地震による天井・壁・照明器具等の落下・損壊の防止措置、各種機器の床固定、免震床など）
・コンピュータ機器及び什器などが移動、転倒しないよう固定すること。
・データセンターが海外にある場合、その所在国において耐震対策について特別に定める法律等がある場合には、それに従った対応を行っていること。</t>
    <phoneticPr fontId="7"/>
  </si>
  <si>
    <t>CTE.65</t>
  </si>
  <si>
    <t>4.1.56.</t>
  </si>
  <si>
    <t>利用するデータセンターについて、入退記録、エラー記録を取得・保管しているか。</t>
    <phoneticPr fontId="7"/>
  </si>
  <si>
    <t>CTE.66</t>
  </si>
  <si>
    <t>4.1.57.</t>
  </si>
  <si>
    <t>クラウド事業者とクラウド利用者(※)間の報告・連絡等の運営ルールを整備しているか。
※クラウドを利用してサービスを提供する場合、「①サービス利用者(当社)」「②クラウド上でのサービス提供者(外部委託先やサービス提供者)」「③プラットフォーマー(AWS等)」の3者が関係する。
本要件は、当社と委託先の関係となる①と②、委託先と再委託先の関係となる②と③、それぞれの運営ルールの整備を求めるものである(②と③が同一のケースもある)。</t>
    <rPh sb="49" eb="51">
      <t>リヨウ</t>
    </rPh>
    <rPh sb="58" eb="60">
      <t>テイキョウ</t>
    </rPh>
    <rPh sb="62" eb="64">
      <t>バアイ</t>
    </rPh>
    <rPh sb="71" eb="73">
      <t>リヨウ</t>
    </rPh>
    <rPh sb="73" eb="74">
      <t>シャ</t>
    </rPh>
    <rPh sb="75" eb="77">
      <t>トウシャ</t>
    </rPh>
    <rPh sb="85" eb="86">
      <t>ジョウ</t>
    </rPh>
    <rPh sb="92" eb="94">
      <t>テイキョウ</t>
    </rPh>
    <rPh sb="94" eb="95">
      <t>シャ</t>
    </rPh>
    <rPh sb="96" eb="98">
      <t>ガイブ</t>
    </rPh>
    <rPh sb="98" eb="100">
      <t>イタク</t>
    </rPh>
    <rPh sb="100" eb="101">
      <t>サキ</t>
    </rPh>
    <rPh sb="106" eb="108">
      <t>テイキョウ</t>
    </rPh>
    <rPh sb="108" eb="109">
      <t>シャ</t>
    </rPh>
    <rPh sb="126" eb="127">
      <t>トウ</t>
    </rPh>
    <rPh sb="131" eb="132">
      <t>シャ</t>
    </rPh>
    <rPh sb="133" eb="135">
      <t>カンケイ</t>
    </rPh>
    <rPh sb="139" eb="140">
      <t>ホン</t>
    </rPh>
    <rPh sb="140" eb="142">
      <t>ヨウケン</t>
    </rPh>
    <rPh sb="144" eb="146">
      <t>トウシャ</t>
    </rPh>
    <rPh sb="147" eb="150">
      <t>イタクサキ</t>
    </rPh>
    <rPh sb="151" eb="153">
      <t>カンケイ</t>
    </rPh>
    <rPh sb="160" eb="162">
      <t>イタク</t>
    </rPh>
    <rPh sb="162" eb="163">
      <t>サキ</t>
    </rPh>
    <rPh sb="164" eb="167">
      <t>サイイタク</t>
    </rPh>
    <rPh sb="167" eb="168">
      <t>サキ</t>
    </rPh>
    <rPh sb="169" eb="171">
      <t>カンケイ</t>
    </rPh>
    <rPh sb="183" eb="185">
      <t>ウンエイ</t>
    </rPh>
    <rPh sb="189" eb="191">
      <t>セイビ</t>
    </rPh>
    <rPh sb="192" eb="193">
      <t>モト</t>
    </rPh>
    <phoneticPr fontId="7"/>
  </si>
  <si>
    <t>CTE.67</t>
  </si>
  <si>
    <t>4.1.58.</t>
  </si>
  <si>
    <t>クラウド環境において、他社テナントに攻撃が発生した場合に切り離せる仕組みになっているか。（または、はじめから環境が分離されている）</t>
    <phoneticPr fontId="7"/>
  </si>
  <si>
    <t>CTE.68</t>
  </si>
  <si>
    <t>4.1.59.</t>
  </si>
  <si>
    <t>CTE.69</t>
  </si>
  <si>
    <t>4.1.60.</t>
  </si>
  <si>
    <t>CTE.70</t>
  </si>
  <si>
    <t>4.1.61.</t>
  </si>
  <si>
    <t>クラウド事業者に対して、同サービスを利用している他社において情報セキュリティインシデントが発生した場合、委託元（当社）へ影響有無の連絡がされるか。</t>
    <phoneticPr fontId="7"/>
  </si>
  <si>
    <t>CTE.71</t>
  </si>
  <si>
    <t>4.1.62.</t>
  </si>
  <si>
    <t>インターネットを経由してシステムを管理運用する場合、IDはそのシステムの重要度により当システム独自のIDとしているか。
メールアドレス等をIDとして使わざるを得ない場合、多要素認証、リスクベース認証等をあわせて導入しているか。
なお、複数要素を組み合わせる際は、次の３種類から異なる２種類を選定すること。
　　・知識要素（パスワード等）
　　・所有要素（証明書、トークン等）
　　・生体要素（指紋等）</t>
  </si>
  <si>
    <t>CTE.72</t>
  </si>
  <si>
    <t>4.1.63.</t>
  </si>
  <si>
    <t>インターネットを経由してシステムを管理運用する場合、社内端末以外の機器（個人所有PC等）からシステムやサービスへアクセスできないよう制限されているか（システムやサービス側での接続元のIPアドレス制限）</t>
  </si>
  <si>
    <t>CTE.73</t>
  </si>
  <si>
    <t>4.1.64.</t>
  </si>
  <si>
    <t>リモートアクセスにてシステムを管理運用する場合、許可されるデバイスの種類とそのための要件（ウィルス対策、パスコード設定、無線LAN利用条件等）を定めているか。
また、無線LANを利用する場合は、IEEE802.11xのプロトコルの規格のWPA2以上（WEPやWPAなどの危殆化した方式は使用禁止）の方式を使用する。</t>
    <phoneticPr fontId="7"/>
  </si>
  <si>
    <t>CTE.74</t>
  </si>
  <si>
    <t>4.1.65.</t>
  </si>
  <si>
    <t>5. インシデント対応</t>
    <rPh sb="9" eb="11">
      <t>タイオウ</t>
    </rPh>
    <phoneticPr fontId="7"/>
  </si>
  <si>
    <t>CTE.75</t>
    <phoneticPr fontId="7"/>
  </si>
  <si>
    <t>5.1.1.</t>
    <phoneticPr fontId="7"/>
  </si>
  <si>
    <t>サイバー攻撃や内部不正(またはその疑義)を検知した際の行動指針や対応手順を整備しているか。</t>
    <rPh sb="7" eb="9">
      <t>ナイブ</t>
    </rPh>
    <rPh sb="9" eb="11">
      <t>フセイ</t>
    </rPh>
    <phoneticPr fontId="7"/>
  </si>
  <si>
    <t>CTE.76</t>
    <phoneticPr fontId="7"/>
  </si>
  <si>
    <t>5.1.2.</t>
  </si>
  <si>
    <t>CTE.77</t>
  </si>
  <si>
    <t>5.1.3.</t>
  </si>
  <si>
    <t>CTE.78</t>
  </si>
  <si>
    <t>5.1.4.</t>
  </si>
  <si>
    <t xml:space="preserve">委託先社内で発見されたセキュリティ上の事件や課題だけでなく、委託元（当社）からの調査依頼に対応する態勢が構築されているか。
</t>
    <phoneticPr fontId="7"/>
  </si>
  <si>
    <t>CTE.79</t>
  </si>
  <si>
    <t>5.1.5.</t>
  </si>
  <si>
    <t>委託先社内でセキュリティ上の事件が発生した場合、封じ込め・被害軽減・復旧のための、資産の隔離・攻撃の分析・防御と復旧を行うツール・プロセスを整備しているか。</t>
    <phoneticPr fontId="7"/>
  </si>
  <si>
    <t/>
  </si>
  <si>
    <t>6. システム監視</t>
    <rPh sb="7" eb="9">
      <t>カンシ</t>
    </rPh>
    <phoneticPr fontId="7"/>
  </si>
  <si>
    <t>CTE.80</t>
    <phoneticPr fontId="7"/>
  </si>
  <si>
    <t>6.1.1.</t>
    <phoneticPr fontId="7"/>
  </si>
  <si>
    <r>
      <t xml:space="preserve">アクセスログに関するルール（ログの保管方法、保存期間、編集禁止等）が規定され、以下のような操作が機械的にモニター・記録されているか。
</t>
    </r>
    <r>
      <rPr>
        <b/>
        <sz val="14"/>
        <color rgb="FFFF0000"/>
        <rFont val="Yu Gothic"/>
        <family val="3"/>
        <charset val="128"/>
        <scheme val="minor"/>
      </rPr>
      <t>（取得しているログとモニタリングの頻度を備考に記載する。）</t>
    </r>
    <r>
      <rPr>
        <sz val="14"/>
        <rFont val="Yu Gothic"/>
        <family val="3"/>
        <charset val="128"/>
        <scheme val="minor"/>
      </rPr>
      <t xml:space="preserve">
・添付ファイル付きメールの対外送受信
・PCへのダウンロード、ファイルの書き出し
・インターネットへのアクセス（Webメール、掲示板、SNS、オンラインストレージなど）
</t>
    </r>
    <phoneticPr fontId="7"/>
  </si>
  <si>
    <t>CTE.81</t>
    <phoneticPr fontId="7"/>
  </si>
  <si>
    <t>6.1.2.</t>
  </si>
  <si>
    <r>
      <t xml:space="preserve">委託先もしくはサービス提供元企業の端末が外部媒体への書き出しを行う場合、書き出しログを取得し、不正な作成（業務目的を超えた書き出し）を管理者がモニタリングしているか。
</t>
    </r>
    <r>
      <rPr>
        <b/>
        <sz val="14"/>
        <color rgb="FFFF0000"/>
        <rFont val="Yu Gothic"/>
        <family val="3"/>
        <charset val="128"/>
        <scheme val="minor"/>
      </rPr>
      <t>（回答で「YES」を選択した場合は、下記のうち該当する番号を備考欄に記入する。）</t>
    </r>
    <r>
      <rPr>
        <b/>
        <sz val="14"/>
        <rFont val="Yu Gothic"/>
        <family val="3"/>
        <charset val="128"/>
        <scheme val="minor"/>
      </rPr>
      <t xml:space="preserve">
</t>
    </r>
    <r>
      <rPr>
        <sz val="14"/>
        <rFont val="Yu Gothic"/>
        <family val="3"/>
        <charset val="128"/>
        <scheme val="minor"/>
      </rPr>
      <t>[モニタリング頻度]
１．日次以上に頻繁
２．週次以上に頻繁
３．月次以上に頻繁
４．年次より少ない もしくは不定期</t>
    </r>
    <phoneticPr fontId="7"/>
  </si>
  <si>
    <t>CTE.82</t>
  </si>
  <si>
    <t>6.1.3.</t>
  </si>
  <si>
    <t>本番データにアクセス可能なＩＤで業務を行う場合はその証跡を記録し、本番データアクセスのモニタリングを行っているか。</t>
  </si>
  <si>
    <t>CTE.83</t>
  </si>
  <si>
    <t>6.1.4.</t>
  </si>
  <si>
    <t>管理職のＩＤ利用についても、第三者がモニタリングを行っているか。</t>
  </si>
  <si>
    <t>6.1.5.</t>
  </si>
  <si>
    <t>アプリ設計チェックシート</t>
    <rPh sb="3" eb="5">
      <t>セッケイ</t>
    </rPh>
    <phoneticPr fontId="7"/>
  </si>
  <si>
    <t>本シートは、構築対象のシステム（あるいは利用するサービス）の設計についてお伺いするものです。</t>
    <rPh sb="0" eb="1">
      <t>ホン</t>
    </rPh>
    <rPh sb="6" eb="8">
      <t>コウチク</t>
    </rPh>
    <rPh sb="8" eb="10">
      <t>タイショウ</t>
    </rPh>
    <rPh sb="20" eb="22">
      <t>リヨウ</t>
    </rPh>
    <rPh sb="30" eb="32">
      <t>セッケイ</t>
    </rPh>
    <rPh sb="37" eb="38">
      <t>ウカガ</t>
    </rPh>
    <phoneticPr fontId="7"/>
  </si>
  <si>
    <t>個人情報有無</t>
    <rPh sb="0" eb="2">
      <t>コジン</t>
    </rPh>
    <rPh sb="2" eb="4">
      <t>ジョウホウ</t>
    </rPh>
    <rPh sb="4" eb="6">
      <t>ウム</t>
    </rPh>
    <phoneticPr fontId="7"/>
  </si>
  <si>
    <t>マイナンバー</t>
    <phoneticPr fontId="7"/>
  </si>
  <si>
    <t>対応ランクB-1以上</t>
    <rPh sb="0" eb="2">
      <t>タイオウ</t>
    </rPh>
    <rPh sb="8" eb="10">
      <t>イジョウ</t>
    </rPh>
    <phoneticPr fontId="7"/>
  </si>
  <si>
    <t>認証機能</t>
    <rPh sb="0" eb="2">
      <t>ニンショウ</t>
    </rPh>
    <rPh sb="2" eb="4">
      <t>キノウ</t>
    </rPh>
    <phoneticPr fontId="7"/>
  </si>
  <si>
    <t>メール</t>
    <phoneticPr fontId="7"/>
  </si>
  <si>
    <t>開発承認ランクB以上</t>
    <rPh sb="0" eb="2">
      <t>カイハツ</t>
    </rPh>
    <rPh sb="2" eb="4">
      <t>ショウニン</t>
    </rPh>
    <rPh sb="8" eb="10">
      <t>イジョウ</t>
    </rPh>
    <phoneticPr fontId="7"/>
  </si>
  <si>
    <t>対応ランクB-1以上</t>
    <phoneticPr fontId="7"/>
  </si>
  <si>
    <t>抜本認証</t>
    <phoneticPr fontId="7"/>
  </si>
  <si>
    <t>1. アクセス制御</t>
    <rPh sb="7" eb="9">
      <t>セイギョ</t>
    </rPh>
    <phoneticPr fontId="7"/>
  </si>
  <si>
    <t>1.1. アカウント管理</t>
    <rPh sb="10" eb="12">
      <t>カンリ</t>
    </rPh>
    <phoneticPr fontId="7"/>
  </si>
  <si>
    <t>APD.1</t>
    <phoneticPr fontId="7"/>
  </si>
  <si>
    <t>ユーザＩＤの発行履歴を取得し、３年保存しているか</t>
    <phoneticPr fontId="7"/>
  </si>
  <si>
    <t>APD.2</t>
    <phoneticPr fontId="7"/>
  </si>
  <si>
    <t>1.1.2.</t>
  </si>
  <si>
    <t xml:space="preserve">1つの認証システム内ではＩＤと個人は一対一の関係としているか（IDの共有や貸し借りは禁止しているか）
</t>
    <phoneticPr fontId="7"/>
  </si>
  <si>
    <t>APD.3</t>
  </si>
  <si>
    <t>ユーザＩＤの桁数は７桁以上としているか</t>
    <phoneticPr fontId="7"/>
  </si>
  <si>
    <t>APD.4</t>
  </si>
  <si>
    <t xml:space="preserve">インターネットを経由してアクセスするシステム（対応ランクA）においては、ユーザのIDにメールアドレスを利用せず、システム独自のIDを付与しているか。
・メールアドレスをIDに利用する場合は、多要素認証、リスクベース認証等をあわせて導入すること。なお、ユーザに任意にIDを決めさせる場合、ユーザ自身がメールアドレスをIDとして指定する恐れがあるため、メールアドレス形式のID登録はエラーとするよう入力値を確認すること。
・独自ID付与の場合においても、重要度やリスクに応じて多要素認証を導入すること。
</t>
    <phoneticPr fontId="7"/>
  </si>
  <si>
    <t>APD.5</t>
  </si>
  <si>
    <t>1.1.5.</t>
    <phoneticPr fontId="7"/>
  </si>
  <si>
    <t>アカウントの不正利用時に対応できるよう、システム管理者がユーザＩＤを無効化・有効化できる設計としているか</t>
    <phoneticPr fontId="7"/>
  </si>
  <si>
    <t>2021/12/1追加</t>
    <phoneticPr fontId="7"/>
  </si>
  <si>
    <t>1.2. ログイン、パスワード管理</t>
    <rPh sb="15" eb="17">
      <t>カンリ</t>
    </rPh>
    <phoneticPr fontId="7"/>
  </si>
  <si>
    <t>APD.6</t>
    <phoneticPr fontId="7"/>
  </si>
  <si>
    <t>1.2.1.</t>
    <phoneticPr fontId="7"/>
  </si>
  <si>
    <t>ユーザを知的認証（ＩＤ、パスワード）方式により認証しているか。
特に、特定のユーザや管理者のみに表示・実行を許可する画面や機能、APIは、そこに含まれる画像やファイルなどのコンテンツを直接URL指定によりアクセスできる公開ディレクトリには配置せず、ユーザ認証を実施すること。
（URLのパラメータだけでは検索サイトのサジェスト機能などにキャッシュされ、予期しない形で第三者に共有される場合がある。本人認証を設けない場合、URLを知っただけで情報漏洩に繋がるリスクがある)
情報漏洩のリスクがない場合（ファイルのアップロード機能のみ等）もユーザ認証を実施することが望ましい。
技術的な制約により認証ができずURLパラメータにて個人を識別できる仕組みとする場合は、以下のいずれかの採用も可とする。
・契約等で当社側が確認・保有している個人情報を利用した簡易的な本人認証
・URLのアクセス回数(1回限り)および有効時間(最大24h)を制限</t>
    <phoneticPr fontId="7"/>
  </si>
  <si>
    <t>2021/12/1修正
2022/4/1修正
2022/7/1修正</t>
    <rPh sb="20" eb="22">
      <t>シュウセイ</t>
    </rPh>
    <rPh sb="31" eb="33">
      <t>シュウセイ</t>
    </rPh>
    <phoneticPr fontId="7"/>
  </si>
  <si>
    <t>APD.7</t>
    <phoneticPr fontId="7"/>
  </si>
  <si>
    <t>1.2.2.</t>
  </si>
  <si>
    <t>システムの重要度や攻撃の容易性により、以下の複数要素を組み合わせた認証やリスクベース認証を導入しているか
　　・知識要素（パスワード等）
　　・所有要素（証明書、トークン等）
　　・生体要素（指紋等）
特に、金銭の取引にかかわる処理機能をもつシステムについては複数要素を組み合わせた認証を必須とする。
また、以下に該当する場合は、業務利用が認められた端末でのみアクセスできるようアクセス制御(通信元ＩＰアドレスの制限やクライアント証明書）を必須とする。
　　・本人以外の個人情報や法人情報を参照できる機能を有する場合
　　・本人以外の個人情報や法人情報を編集できる機能を有する場合
　　・システム全体の可用性に及ぼす機能（設定変更、サービス停止、解約など）を有する場合</t>
    <phoneticPr fontId="7"/>
  </si>
  <si>
    <t>2021/12/1修正
2022/4/1修正
2023/7/3修正</t>
    <rPh sb="20" eb="22">
      <t>シュウセイ</t>
    </rPh>
    <rPh sb="31" eb="33">
      <t>シュウセイ</t>
    </rPh>
    <phoneticPr fontId="7"/>
  </si>
  <si>
    <t>APD.8</t>
  </si>
  <si>
    <t>1.2.3.</t>
  </si>
  <si>
    <t>ユーザの認証無しに登録機能（メールアドレス登録など）を有する場合は、以下を満たしているか。
・キャプチャ（画像）認証などの機械登録を防止する機能を設ける
・ユーザの登録情報をもとにメールを自動返信する場合、ユーザが入力した情報をメールに含めない</t>
    <phoneticPr fontId="7"/>
  </si>
  <si>
    <t>APD.9</t>
  </si>
  <si>
    <t>1.2.4.</t>
  </si>
  <si>
    <t>ユーザのアカウントの初期パスワードはランダムに生成し、盗聴のリスク対策を講じた安全な経路でユーザに通知しているか（メールの場合はS/MIMEの実装など）</t>
    <phoneticPr fontId="7"/>
  </si>
  <si>
    <t>Recommended</t>
    <phoneticPr fontId="7"/>
  </si>
  <si>
    <t>2021/12/1修正</t>
    <phoneticPr fontId="7"/>
  </si>
  <si>
    <t>APD.10</t>
  </si>
  <si>
    <t>1.2.5.</t>
  </si>
  <si>
    <t>システムにてユーザの初期パスワードを指定する場合、初回ログイン時にパスワード変更を強制しているか</t>
    <rPh sb="10" eb="12">
      <t>ショキ</t>
    </rPh>
    <rPh sb="18" eb="20">
      <t>シテイ</t>
    </rPh>
    <rPh sb="22" eb="24">
      <t>バアイ</t>
    </rPh>
    <phoneticPr fontId="10"/>
  </si>
  <si>
    <t>APD.11</t>
  </si>
  <si>
    <t>1.2.6.</t>
  </si>
  <si>
    <t>APD.12</t>
  </si>
  <si>
    <t>1.2.7.</t>
    <phoneticPr fontId="7"/>
  </si>
  <si>
    <t>ユーザIDやパスワード、クレジットカード情報は画面に表示させない設計としているか。
これを満たせない場合は、画面表示時にマスクしているか。
また、パスワードについては、HTML中（hiddenパラメータ等）やCookieにも含めない設計としているか。</t>
    <phoneticPr fontId="7"/>
  </si>
  <si>
    <t>APD.13</t>
  </si>
  <si>
    <t>1.2.8.</t>
    <phoneticPr fontId="7"/>
  </si>
  <si>
    <t>パスワードの入力を省略する機能（入力したパスワードの記憶）は、実装していないか。
例外的に実装せざるを得ない場合は、ITサービス管理部・サイバーセキュリティ担当に相談の上で、初期状態においてパスワード記憶を無効とし、ユーザがパスワード記憶の可否を選択する設計とする。</t>
    <rPh sb="52" eb="53">
      <t>エ</t>
    </rPh>
    <rPh sb="85" eb="86">
      <t>ウエ</t>
    </rPh>
    <phoneticPr fontId="7"/>
  </si>
  <si>
    <t>APD.14</t>
  </si>
  <si>
    <t>1.2.9.</t>
  </si>
  <si>
    <t>ユーザが長いパスワードを利用出来るようにするため、パスワードの入力欄でペースト機能を禁止しない設計としているか</t>
    <phoneticPr fontId="7"/>
  </si>
  <si>
    <t>APD.15</t>
  </si>
  <si>
    <t>1.2.10.</t>
  </si>
  <si>
    <t>認証失敗時に、失敗した理由を推測可能と なる情報を付与しないよう、レスポンスを統一しているか。</t>
    <rPh sb="11" eb="13">
      <t>リユウ</t>
    </rPh>
    <phoneticPr fontId="7"/>
  </si>
  <si>
    <t>APD.16</t>
  </si>
  <si>
    <t>1.2.11.</t>
  </si>
  <si>
    <t>APD.17</t>
  </si>
  <si>
    <t>1.2.12.</t>
  </si>
  <si>
    <t>ユーザによるパスワード変更機能を提供しているか
その際、第三者が容易にパスワードを変更できないよう、現在のパスワードの入力を要求することが望ましい</t>
    <phoneticPr fontId="7"/>
  </si>
  <si>
    <t>APD.18</t>
  </si>
  <si>
    <t>1.2.13.</t>
  </si>
  <si>
    <t>パスワードリセットを実行する際には、ユーザ本人しか受け取れない連絡先（事前に受け取り確認済のメールアドレス、電話番号など）へワンタイムトークンを含むURLなどの再設定方法を通知しているか。
また、ワンタイムトークンの有効期限は必要最低限（やむを得ない場合でも最長で12時間以内）に設定し、使用されたワンタイムトークンは破棄すること。
また、リセット後の新たなパスワードはユーザ自身に再設定させているか。</t>
    <phoneticPr fontId="7"/>
  </si>
  <si>
    <t>APD.19</t>
  </si>
  <si>
    <t>1.2.14.</t>
  </si>
  <si>
    <t>ユーザのログイン時に前回のログイン日時を表示するようにしているか　</t>
    <phoneticPr fontId="7"/>
  </si>
  <si>
    <t>APD.20</t>
  </si>
  <si>
    <t>1.2.15.</t>
  </si>
  <si>
    <t>同一IDによる同時使用を禁止しているか</t>
  </si>
  <si>
    <t>APD.21</t>
  </si>
  <si>
    <t>1.2.16.</t>
  </si>
  <si>
    <t>ユーザが明示的にログアウトできるように、ログアウト機能を用意し、ログアウトした場合はサーバ側で管理しているセッションIDを無効にしているか</t>
    <phoneticPr fontId="7"/>
  </si>
  <si>
    <t>APD.22</t>
  </si>
  <si>
    <t>1.2.17.</t>
  </si>
  <si>
    <t>ユーザの操作が最長で１８０分間ない場合は、システムから画面を自動的にログオフもしくはセッションを切断し、再ログインが必要となるよう設計にしているか</t>
    <phoneticPr fontId="7"/>
  </si>
  <si>
    <t>APD.23</t>
  </si>
  <si>
    <t>1.2.18.</t>
  </si>
  <si>
    <t>重要な処理（※）を実行するリクエストの際に、以下のいずれかのクロスサイトリクエストフォージェリ対策を実施しているか。
　a. ユーザにパスワードの再入力や取引暗証番号等の入力を求める。
　b. hidden パラメータにサーバ側で生成したランダムな文字列を挿入し、その値が正しい場合のみ処理を実行する。
※重要な処理とは以下に該当するようなものを指す。
・認証に関わる情報の変更（パスワードや電話番号など）
・登録している個人情報の変更
・退会や解約処理
・金銭の取引に関する処理
など</t>
  </si>
  <si>
    <t>APD.24</t>
    <phoneticPr fontId="7"/>
  </si>
  <si>
    <t>1.2.19.</t>
    <phoneticPr fontId="7"/>
  </si>
  <si>
    <t>2022/4/1修正</t>
    <rPh sb="8" eb="10">
      <t>シュウセイ</t>
    </rPh>
    <phoneticPr fontId="7"/>
  </si>
  <si>
    <t>APD.25</t>
  </si>
  <si>
    <t>1.2.20.</t>
  </si>
  <si>
    <t>クレジット決済機能を設ける場合、3Dセキュアを利用し、ユーザが設定したパスワードや暗証番号による本人認証を行う機能を提供しているか
3Dセキュアの導入が難しい場合は、決済処理時にクレジットカード番号情報、有効期限、カード検証コード（CAV2/CID/CVC2/CVV2）による認証に加えて、キャプチャ等によるボット対策の機能を提供しているか</t>
    <rPh sb="7" eb="9">
      <t>キノウ</t>
    </rPh>
    <rPh sb="10" eb="11">
      <t>モウ</t>
    </rPh>
    <phoneticPr fontId="7"/>
  </si>
  <si>
    <t>1.3. 権限管理</t>
    <rPh sb="5" eb="7">
      <t>ケンゲン</t>
    </rPh>
    <rPh sb="7" eb="9">
      <t>カンリ</t>
    </rPh>
    <phoneticPr fontId="7"/>
  </si>
  <si>
    <t>APD.26</t>
    <phoneticPr fontId="7"/>
  </si>
  <si>
    <t>1.3.1.</t>
    <phoneticPr fontId="7"/>
  </si>
  <si>
    <t>ユーザに発行するIDについては、システム管理者権限（ＯＳ、ＢＩＯＳ、ミドルウェア等）を付与していないか。
また、システムの安定稼動に必要なデータや重要データへのアクセス権を不必要に付与していないか。</t>
    <rPh sb="4" eb="6">
      <t>ハッコウ</t>
    </rPh>
    <rPh sb="84" eb="85">
      <t>ケン</t>
    </rPh>
    <rPh sb="86" eb="89">
      <t>フヒツヨウ</t>
    </rPh>
    <rPh sb="90" eb="92">
      <t>フヨ</t>
    </rPh>
    <phoneticPr fontId="7"/>
  </si>
  <si>
    <t>APD.27</t>
    <phoneticPr fontId="7"/>
  </si>
  <si>
    <t>1.3.2.</t>
  </si>
  <si>
    <t>アプリで個別に重要と判断するケース（例えば「保険金支払い」や「人事」など）では、アプリ単位での認証もしくはIDによるメニューコントロールを行っているか
なお、F/Eアプリはランク、ラインナップ区分等によるアクセス制御が可能であるため、この機能で実装可能か確認する。</t>
    <phoneticPr fontId="7"/>
  </si>
  <si>
    <t>1.3.3.</t>
  </si>
  <si>
    <t>2. 暗号</t>
    <rPh sb="3" eb="5">
      <t>アンゴウ</t>
    </rPh>
    <phoneticPr fontId="7"/>
  </si>
  <si>
    <t>APD.29</t>
    <phoneticPr fontId="7"/>
  </si>
  <si>
    <t>APD.30</t>
    <phoneticPr fontId="7"/>
  </si>
  <si>
    <t>2.1.2.</t>
  </si>
  <si>
    <t>2022/7/1修正</t>
    <rPh sb="8" eb="10">
      <t>シュウセイ</t>
    </rPh>
    <phoneticPr fontId="7"/>
  </si>
  <si>
    <t>APD.31</t>
  </si>
  <si>
    <t>2.1.3.</t>
  </si>
  <si>
    <t>3. 個別要件</t>
    <rPh sb="3" eb="5">
      <t>コベツ</t>
    </rPh>
    <rPh sb="5" eb="7">
      <t>ヨウケン</t>
    </rPh>
    <phoneticPr fontId="7"/>
  </si>
  <si>
    <t>APD.32</t>
    <phoneticPr fontId="7"/>
  </si>
  <si>
    <t>当社からメールを送信する業務において、送信元アドレスにフリーメールを利用しない設計となっているか</t>
    <phoneticPr fontId="7"/>
  </si>
  <si>
    <t>APD.33</t>
    <phoneticPr fontId="7"/>
  </si>
  <si>
    <t>3.1.2.</t>
    <phoneticPr fontId="7"/>
  </si>
  <si>
    <t>当社からSMSを送信する業務において、送信元番号を日本国内の番号とする設計となっているか</t>
    <phoneticPr fontId="7"/>
  </si>
  <si>
    <t>APD.34</t>
  </si>
  <si>
    <t>3.1.3.</t>
    <phoneticPr fontId="7"/>
  </si>
  <si>
    <t>メールを送信または受信する場合は、TLSやS/MIME等を用いてメールを暗号化しているか。</t>
    <phoneticPr fontId="7"/>
  </si>
  <si>
    <t>2023/7/3追加</t>
    <rPh sb="8" eb="10">
      <t>ツイカ</t>
    </rPh>
    <phoneticPr fontId="7"/>
  </si>
  <si>
    <t>APD.35</t>
  </si>
  <si>
    <t>3.1.4.</t>
    <phoneticPr fontId="7"/>
  </si>
  <si>
    <t>当社からユーザ宛てにメールを送信する場合は、メール本文に個人情報を記載しない設計としているか。
個人情報をユーザに連携する要件がある場合は、メール毎に異なるパスワードをつけた添付ファイルとして送るか、認証機能を持ったWebシステム上で連携しているか。
なお、上記の仕組みでは業務要件を満たせない場合は、「情報セキュリティ管理マニュアル」の記載内容を満たす範囲であればメール本文への個人情報の記載も可とする。</t>
    <phoneticPr fontId="7"/>
  </si>
  <si>
    <t>2023/7/3追加</t>
    <phoneticPr fontId="7"/>
  </si>
  <si>
    <t>APD.36</t>
  </si>
  <si>
    <t>3.1.5.</t>
    <phoneticPr fontId="7"/>
  </si>
  <si>
    <t>本要件は、以下の●全てを満たす場合に回答すること。
●構築または改修対象が社内向けシステム(※１)である
●上記システムへのテレワークによるリモートアクセスが想定される（※２）
※１社内向けシステムの定義には「ひとり一台端末」等の社内業務端末も含む。
※２テレワーク端末から既にリモートアクセスが認められている業務端末（ひとり一台シンクラ、FAT、システムズ端末、PTN端末など）へのリモートアクセスを経由してアクセスされる経路のみの場合は、本項は回答不要。 
上記の条件を満たすシステムは、以下の全ての要件を満たしているか。
・認証に多要素認証方式を利用する
・リモートアクセスに使用する通信は常時暗号化する
・高い機密性が求められるデータを取り扱う場合は、当該データへのアクセスログを取得し定期的な監査を行う
・BYOD 端末から社内ネットワークへのアクセスを許可する場合は、アクセス可能とする範囲を定義し、それに沿ったシステム構成とする（原則、BYOD端末からの直接社内ネットワークへアクセスすることは禁止。）</t>
    <phoneticPr fontId="7"/>
  </si>
  <si>
    <t>アプリコーディングチェックシート</t>
    <phoneticPr fontId="7"/>
  </si>
  <si>
    <t>本シートは、構築対象のシステム（あるいは利用するサービス）のコーディングについてお伺いするものです。</t>
    <rPh sb="0" eb="1">
      <t>ホン</t>
    </rPh>
    <rPh sb="6" eb="8">
      <t>コウチク</t>
    </rPh>
    <rPh sb="8" eb="10">
      <t>タイショウ</t>
    </rPh>
    <rPh sb="20" eb="22">
      <t>リヨウ</t>
    </rPh>
    <rPh sb="41" eb="42">
      <t>ウカガ</t>
    </rPh>
    <phoneticPr fontId="7"/>
  </si>
  <si>
    <t>No</t>
    <phoneticPr fontId="8"/>
  </si>
  <si>
    <t>重要度
(コメント参照)</t>
    <rPh sb="0" eb="3">
      <t>ジュウヨウド</t>
    </rPh>
    <rPh sb="9" eb="11">
      <t>サンショウ</t>
    </rPh>
    <phoneticPr fontId="8"/>
  </si>
  <si>
    <t>SAUC(アウトソース)</t>
    <phoneticPr fontId="8"/>
  </si>
  <si>
    <t>SAUC(自社)</t>
    <rPh sb="5" eb="7">
      <t>ジシャ</t>
    </rPh>
    <phoneticPr fontId="8"/>
  </si>
  <si>
    <t>対応ランクB-1以上</t>
    <rPh sb="0" eb="2">
      <t>タイオウ</t>
    </rPh>
    <rPh sb="8" eb="10">
      <t>イジョウ</t>
    </rPh>
    <phoneticPr fontId="8"/>
  </si>
  <si>
    <t>静的Webシステム</t>
    <rPh sb="0" eb="2">
      <t>セイテキ</t>
    </rPh>
    <phoneticPr fontId="8"/>
  </si>
  <si>
    <t>動的Webシステム</t>
    <rPh sb="0" eb="2">
      <t>ドウテキ</t>
    </rPh>
    <phoneticPr fontId="8"/>
  </si>
  <si>
    <t>回答フラグ</t>
    <rPh sb="0" eb="2">
      <t>カイトウ</t>
    </rPh>
    <phoneticPr fontId="8"/>
  </si>
  <si>
    <t>反映日</t>
    <rPh sb="0" eb="2">
      <t>ハンエイ</t>
    </rPh>
    <rPh sb="2" eb="3">
      <t>ビ</t>
    </rPh>
    <phoneticPr fontId="8"/>
  </si>
  <si>
    <t>1. セキュアコーディング</t>
    <phoneticPr fontId="7"/>
  </si>
  <si>
    <t>1.1. 入出力値に関するチェック事項</t>
    <rPh sb="5" eb="8">
      <t>ニュウシュツリョク</t>
    </rPh>
    <rPh sb="8" eb="9">
      <t>チ</t>
    </rPh>
    <rPh sb="10" eb="11">
      <t>カン</t>
    </rPh>
    <rPh sb="17" eb="19">
      <t>ジコウ</t>
    </rPh>
    <phoneticPr fontId="7"/>
  </si>
  <si>
    <t xml:space="preserve"> </t>
    <phoneticPr fontId="8"/>
  </si>
  <si>
    <t>APC.1</t>
    <phoneticPr fontId="7"/>
  </si>
  <si>
    <t>ユーザーによりWebブラウザから送信された値が妥当なものかどうか、パラメータ要件に基づいて、入力値の文字種や文字列長、形式をサーバー側で検証すること。例えhiddenフィールドやHTTPヘッダであっても信頼せず、想定外の入力があった場合でも、正しく（エラー）処理が行なわれるように考慮すること。</t>
    <phoneticPr fontId="7"/>
  </si>
  <si>
    <t>Required</t>
    <phoneticPr fontId="8"/>
  </si>
  <si>
    <t>〇</t>
    <phoneticPr fontId="8"/>
  </si>
  <si>
    <t>2021/12/1修正</t>
    <rPh sb="9" eb="11">
      <t>シュウセイ</t>
    </rPh>
    <phoneticPr fontId="8"/>
  </si>
  <si>
    <t>APC.2</t>
    <phoneticPr fontId="7"/>
  </si>
  <si>
    <t>ユーザーから受け取った入力値を画面に出力する場合は、入力値に含まれる不正なスクリプトがブラウザ上で実行されること（クロスサイトスクリプティング）を防止するため、画面への出力の前に以下のエスケープ処理を実施すること。
・表示に影響する特別な記号文字（「&lt;」、「&gt;」、「&amp;」等）を、HTMLエンティティ（「&amp;lt;」、「&amp;gt;」、「&amp;amp;」等）に置換する。
・HTMLタグを出力する場合は、その属性値を必ず「"」（ダブルクォート）で括り、「"」で括られた属性値に含まれる「"」を、HTMLエンティティ「&amp;quot;」に置換する。</t>
    <phoneticPr fontId="7"/>
  </si>
  <si>
    <t>2021/12/1修正</t>
    <phoneticPr fontId="8"/>
  </si>
  <si>
    <t>APC.3</t>
  </si>
  <si>
    <t>1.1.3.</t>
    <phoneticPr fontId="7"/>
  </si>
  <si>
    <t>不正なデータベース操作（SQLインジェクション）を防止するため、SQL構文は静的に組み立て、ユーザーからの入力値はバインドメカニズムを利用してクエリーへ挿入すること。</t>
    <phoneticPr fontId="7"/>
  </si>
  <si>
    <t>APC.4</t>
  </si>
  <si>
    <t>1.1.4.</t>
    <phoneticPr fontId="7"/>
  </si>
  <si>
    <t>ユーザーの入力値に基づいた外部コマンドの呼び出し（OSコマンドやアプリケーションなどのコマンド、シェル、eval()などによるコマンドの実行）は可能な限り避けること。ユーザーの入力値に基づいて外部コマンドを呼び出す際は、不正なコマンドが実行されることを防ぐため、ユーザーの入力値の妥当性を確認すること。</t>
    <phoneticPr fontId="8"/>
  </si>
  <si>
    <t>APC.5</t>
  </si>
  <si>
    <t>ユーザーの入力値に基づいて操作対象のファイル名を指定する処理は避け、パラメータ（クエリーストリング、エンティティボディ、cookieなどクライアントから受け渡される値）にパス名を含めないこと。ファイル名を指定させる処理を実装する際は、意図しないファイルが操作されることを防ぐため、ユーザーの入力値の妥当性を確認すること。</t>
    <phoneticPr fontId="8"/>
  </si>
  <si>
    <t>APC.6</t>
  </si>
  <si>
    <t>1.1.6.</t>
    <phoneticPr fontId="7"/>
  </si>
  <si>
    <t>ユーザーがファイルをアップロードする機能においては、ファイルの種類・フォーマットの妥当性やサイズのチェックを実施すること。</t>
    <rPh sb="18" eb="20">
      <t>キノウ</t>
    </rPh>
    <rPh sb="31" eb="33">
      <t>シュルイ</t>
    </rPh>
    <rPh sb="41" eb="44">
      <t>ダトウセイ</t>
    </rPh>
    <rPh sb="54" eb="56">
      <t>ジッシ</t>
    </rPh>
    <phoneticPr fontId="8"/>
  </si>
  <si>
    <t>APC.7</t>
  </si>
  <si>
    <t>1.1.7.</t>
  </si>
  <si>
    <t>XML外部エンティティ(XXE)攻撃への対策として、XMLを読み込む際は外部参照を無効にすること。</t>
    <phoneticPr fontId="8"/>
  </si>
  <si>
    <t>2021/12/1追加</t>
    <rPh sb="9" eb="11">
      <t>ツイカ</t>
    </rPh>
    <phoneticPr fontId="8"/>
  </si>
  <si>
    <t>APC.8</t>
  </si>
  <si>
    <t>1.1.8.</t>
    <phoneticPr fontId="8"/>
  </si>
  <si>
    <t>信頼できないデータ供給元からのシリアライズされたオブジェクトを受け入れないこと。
デシリアライズする場合は、シリアライズしたオブジェクトにデジタル署名などを付与し、信頼できる供給元が発行したデータであるかを検証すること。</t>
    <phoneticPr fontId="8"/>
  </si>
  <si>
    <t>2021/12/1追加</t>
    <phoneticPr fontId="8"/>
  </si>
  <si>
    <t>APC.9</t>
  </si>
  <si>
    <t>1.1.9.</t>
    <phoneticPr fontId="8"/>
  </si>
  <si>
    <t>ユーザーの入力値に基づいてHTTPレスポンスヘッダを動的に生成する際は、不正なヘッダや改行コードが挿入されることを防ぐため、ユーザーの入力値の妥当性を確認すること。</t>
    <rPh sb="26" eb="28">
      <t>ドウテキ</t>
    </rPh>
    <rPh sb="29" eb="31">
      <t>セイセイ</t>
    </rPh>
    <rPh sb="33" eb="34">
      <t>サイ</t>
    </rPh>
    <rPh sb="43" eb="45">
      <t>カイギョウ</t>
    </rPh>
    <rPh sb="49" eb="51">
      <t>ソウニュウ</t>
    </rPh>
    <rPh sb="57" eb="58">
      <t>フセ</t>
    </rPh>
    <phoneticPr fontId="8"/>
  </si>
  <si>
    <t>APC.10</t>
  </si>
  <si>
    <t>1.1.10.</t>
    <phoneticPr fontId="8"/>
  </si>
  <si>
    <t>ユーザーの入力値に基づいてメールの送信先を指定する際は、不正なコマンドや改行コードが挿入されることを防ぐため、ユーザーの入力値がメールアドレスとして妥当であるか確認すること。</t>
    <phoneticPr fontId="8"/>
  </si>
  <si>
    <t>APC.11</t>
  </si>
  <si>
    <t>1.1.11.</t>
    <phoneticPr fontId="8"/>
  </si>
  <si>
    <t>&lt;script&gt;...&lt;/script&gt;要素の内容やイベントハンドラ（onmouseover=””など）を動的に生成しないこと。
ただし、jQueryなどのAjaxライブラリを使用する際はその限りではないため、アップデート状況などを調べて信頼できるライブラリを選択すること。</t>
    <phoneticPr fontId="8"/>
  </si>
  <si>
    <t>APC.12</t>
  </si>
  <si>
    <t>1.1.12.</t>
    <phoneticPr fontId="8"/>
  </si>
  <si>
    <t>任意のスタイルシートを外部サイトから取り込めないようにすること。
やむを得ず取りこむ場合は、取り込んだスタイルシートに危険なスクリプトが含まれていないことを確認すること。</t>
    <phoneticPr fontId="8"/>
  </si>
  <si>
    <t>APC.13</t>
  </si>
  <si>
    <t>1.1.13.</t>
    <phoneticPr fontId="8"/>
  </si>
  <si>
    <t>CSSインジェクションへの対策として、外部からの入力に基づいてCSSを動的に生成しないこと。</t>
    <phoneticPr fontId="8"/>
  </si>
  <si>
    <t>APC.14</t>
  </si>
  <si>
    <t>1.1.14.</t>
    <phoneticPr fontId="8"/>
  </si>
  <si>
    <t>JSON API/JSONP APIにおいて、JSON文字列インジェクションへの対策やWebブラウザによるコンテンツ形式の誤認を防止するため、文字列連結でJSON文字列を生成しないこと。
・適切なライブラリを用いてオブジェクトをJSONに変換し、応答データをUnicodeエスケープする。
・適切なライブラリがない場合は、JSONとして特殊な意味を持つ文字（ " \ , : { } [ ] ）をUnicodeエスケープする。</t>
    <phoneticPr fontId="8"/>
  </si>
  <si>
    <t>APC.15</t>
  </si>
  <si>
    <t>1.1.15.</t>
    <phoneticPr fontId="8"/>
  </si>
  <si>
    <t>Webブラウザによるコンテンツ形式の誤認を防止するため、以下に配慮すること。
・URLパターン（URLマッピング）において、ワイルドカードを利用しない。
・HTTPレスポンスヘッダで X-Content-Type-Options: nosniff  を応答する。</t>
    <rPh sb="15" eb="17">
      <t>ケイシキ</t>
    </rPh>
    <rPh sb="18" eb="20">
      <t>ゴニン</t>
    </rPh>
    <rPh sb="21" eb="23">
      <t>ボウシ</t>
    </rPh>
    <rPh sb="28" eb="30">
      <t>イカ</t>
    </rPh>
    <rPh sb="31" eb="33">
      <t>ハイリョ</t>
    </rPh>
    <phoneticPr fontId="8"/>
  </si>
  <si>
    <t>2021/12/1修正
2023/1/4修正</t>
    <rPh sb="20" eb="22">
      <t>シュウセイ</t>
    </rPh>
    <phoneticPr fontId="8"/>
  </si>
  <si>
    <t>1.2. データの送受信に関するチェック事項</t>
    <phoneticPr fontId="7"/>
  </si>
  <si>
    <t>APC.16</t>
    <phoneticPr fontId="7"/>
  </si>
  <si>
    <t>APC.17</t>
    <phoneticPr fontId="8"/>
  </si>
  <si>
    <t>APC.18</t>
    <phoneticPr fontId="8"/>
  </si>
  <si>
    <t>1.2.3.</t>
    <phoneticPr fontId="8"/>
  </si>
  <si>
    <t>APC.19</t>
  </si>
  <si>
    <t>1.2.4.</t>
    <phoneticPr fontId="8"/>
  </si>
  <si>
    <t>Recommended</t>
    <phoneticPr fontId="8"/>
  </si>
  <si>
    <t>APC.20</t>
  </si>
  <si>
    <t>1.2.5.</t>
    <phoneticPr fontId="8"/>
  </si>
  <si>
    <t>APC.21</t>
  </si>
  <si>
    <t>1.2.6.</t>
    <phoneticPr fontId="8"/>
  </si>
  <si>
    <t>クロスオリジンでXMLHttpRequest (XHR)を使う場合、Access-Control-Allow-Originヘッダに指定するオリジンは、動的生成やワイルドカードで設定せずに固定値を指定すること。
不要な場合は指定する必要はなく、指定する場合は特定のオリジンのみを指定すること。</t>
    <phoneticPr fontId="8"/>
  </si>
  <si>
    <t>APC.22</t>
  </si>
  <si>
    <t>1.2.7.</t>
    <phoneticPr fontId="8"/>
  </si>
  <si>
    <t>接続元IPアドレスやクライアント証明書などによる接続元の制限を行なっている場合は、HTTPヘッダのHOSTフィールドをチェックし、自サイトのドメインでない場合は接続を拒否する。</t>
    <phoneticPr fontId="7"/>
  </si>
  <si>
    <t>1.3. セッション管理に関するチェック事項</t>
    <rPh sb="10" eb="12">
      <t>カンリ</t>
    </rPh>
    <rPh sb="13" eb="14">
      <t>カン</t>
    </rPh>
    <rPh sb="20" eb="22">
      <t>ジコウ</t>
    </rPh>
    <phoneticPr fontId="8"/>
  </si>
  <si>
    <t>APC.23</t>
    <phoneticPr fontId="7"/>
  </si>
  <si>
    <t>セッションIDは、アプリケーションサーバなどのミドルウェアが備えている機能を利用して生成すること。Webアプリケーションで独自に生成する場合には、セキュアな乱数発生関数を利用するとともに、生成した乱数の一意性を確認すること。また、携帯電話向けシステムでコンテンツ変換サーバを用いる場合は、コンテンツ変換サーバが発行するセッションIDの強度が十分であることを確認すること。</t>
    <rPh sb="61" eb="63">
      <t>ドクジ</t>
    </rPh>
    <rPh sb="117" eb="119">
      <t>デンワ</t>
    </rPh>
    <rPh sb="119" eb="120">
      <t>ム</t>
    </rPh>
    <phoneticPr fontId="8"/>
  </si>
  <si>
    <t>APC.24</t>
    <phoneticPr fontId="8"/>
  </si>
  <si>
    <t>認証機能を持つWebサイトでは、ログイン後の画面にアクセスがあった場合、セッションIDをもとに、ログイン済みのユーザーからの要求であることを確認すること。さらに、特定のユーザーのみがアクセスできる機能やデータの場合は、セッションIDをもとにアクセスを行なったユーザーを特定し、そのユーザーの当該機能や当該データに対するアクセス権限を確認すること。</t>
    <rPh sb="98" eb="100">
      <t>キノウ</t>
    </rPh>
    <rPh sb="145" eb="147">
      <t>トウガイ</t>
    </rPh>
    <rPh sb="147" eb="149">
      <t>キノウ</t>
    </rPh>
    <rPh sb="150" eb="152">
      <t>トウガイ</t>
    </rPh>
    <rPh sb="156" eb="157">
      <t>タイ</t>
    </rPh>
    <phoneticPr fontId="8"/>
  </si>
  <si>
    <t>1.3.3.</t>
    <phoneticPr fontId="8"/>
  </si>
  <si>
    <t>1.3.4.</t>
    <phoneticPr fontId="8"/>
  </si>
  <si>
    <t>1.3.5.</t>
    <phoneticPr fontId="8"/>
  </si>
  <si>
    <t>APC.28</t>
  </si>
  <si>
    <t>1.3.6.</t>
    <phoneticPr fontId="8"/>
  </si>
  <si>
    <t>ユーザーによるログイン認証が完了した際に、新しく生成したセッションIDを発行することで、セッション固定化攻撃への対策をすること。</t>
    <rPh sb="18" eb="19">
      <t>サイ</t>
    </rPh>
    <rPh sb="49" eb="52">
      <t>コテイカ</t>
    </rPh>
    <rPh sb="52" eb="54">
      <t>コウゲキ</t>
    </rPh>
    <rPh sb="56" eb="58">
      <t>タイサク</t>
    </rPh>
    <phoneticPr fontId="8"/>
  </si>
  <si>
    <t>APC.29</t>
  </si>
  <si>
    <t>セッションIDはURLの一部に埋め込まず、Cookieを発行して送信すること。また、Cookieを利用する場合には、URLリライティング機能(Cookieが利用できない環境でセッションIDを自動的にURLに埋め込む機能)を利用しないよう設定すること。</t>
    <phoneticPr fontId="7"/>
  </si>
  <si>
    <t>APC.30</t>
  </si>
  <si>
    <t>セッション汚染攻撃を防止するため、セッション管理を行なうシステムでは、エラー処理の際に、セッション領域を更新しないこと。</t>
    <rPh sb="5" eb="7">
      <t>オセン</t>
    </rPh>
    <rPh sb="7" eb="9">
      <t>コウゲキ</t>
    </rPh>
    <rPh sb="10" eb="12">
      <t>ボウシ</t>
    </rPh>
    <rPh sb="38" eb="40">
      <t>ショリ</t>
    </rPh>
    <rPh sb="41" eb="42">
      <t>サイ</t>
    </rPh>
    <phoneticPr fontId="8"/>
  </si>
  <si>
    <t>APC.31</t>
  </si>
  <si>
    <t>セッション情報などの重要なオブジェクトをシリアライズしてhiddenパラメータに含めないこと。特殊要件などによりシリアライズ方式を採用する場合は、シリアライズデータがユーザーによって改竄されないよう、シリアライズデータの暗号化等の対策を講じること。</t>
    <rPh sb="47" eb="49">
      <t>トクシュ</t>
    </rPh>
    <rPh sb="110" eb="113">
      <t>アンゴウカ</t>
    </rPh>
    <rPh sb="113" eb="114">
      <t>ナド</t>
    </rPh>
    <phoneticPr fontId="8"/>
  </si>
  <si>
    <t>1.4. クライアントプログラム開発に関するチェック事項</t>
    <rPh sb="16" eb="18">
      <t>カイハツ</t>
    </rPh>
    <rPh sb="19" eb="20">
      <t>カン</t>
    </rPh>
    <rPh sb="26" eb="28">
      <t>ジコウ</t>
    </rPh>
    <phoneticPr fontId="8"/>
  </si>
  <si>
    <t>APC.32</t>
    <phoneticPr fontId="7"/>
  </si>
  <si>
    <t>1.4.1.</t>
    <phoneticPr fontId="7"/>
  </si>
  <si>
    <t>APC.33</t>
    <phoneticPr fontId="8"/>
  </si>
  <si>
    <t>1.4.2.</t>
  </si>
  <si>
    <t>クライアントプログラムに用いるコード署名には、VeriSignなどの信頼された機関によって発行されたものを利用すること。また、ダウンロードするプログラムがどのようなプログラムであるのかユーザーが確認できるよう、コード署名の作成に際して、プログラムに関する説明へのリンクを埋め込むこと。</t>
    <phoneticPr fontId="8"/>
  </si>
  <si>
    <t>APC.34</t>
  </si>
  <si>
    <t>1.4.3.</t>
  </si>
  <si>
    <t>クライアントプログラムのソースコードや設定ファイルなど、ユーザーが閲覧することが可能なファイルから、開発者情報やシステム内部情報などのユーザーに不要な情報を削除すること。</t>
    <rPh sb="50" eb="53">
      <t>カイハツシャ</t>
    </rPh>
    <rPh sb="53" eb="55">
      <t>ジョウホウ</t>
    </rPh>
    <rPh sb="60" eb="62">
      <t>ナイブ</t>
    </rPh>
    <rPh sb="62" eb="64">
      <t>ジョウホウ</t>
    </rPh>
    <phoneticPr fontId="8"/>
  </si>
  <si>
    <t>APC.35</t>
  </si>
  <si>
    <t>1.4.4.</t>
  </si>
  <si>
    <t>通信機能を実装しているクライアントプログラムにおいて、連携するWebアプリケーションのシステム以外と通信が行なわれないように、通信先の検証を行なうこと。</t>
    <rPh sb="67" eb="69">
      <t>ケンショウ</t>
    </rPh>
    <rPh sb="70" eb="71">
      <t>オコナ</t>
    </rPh>
    <phoneticPr fontId="8"/>
  </si>
  <si>
    <t>1.5. 画面表示に関するチェック事項</t>
    <rPh sb="5" eb="7">
      <t>ガメン</t>
    </rPh>
    <rPh sb="7" eb="9">
      <t>ヒョウジ</t>
    </rPh>
    <rPh sb="10" eb="11">
      <t>カン</t>
    </rPh>
    <rPh sb="17" eb="19">
      <t>ジコウ</t>
    </rPh>
    <phoneticPr fontId="8"/>
  </si>
  <si>
    <t>APC.36</t>
    <phoneticPr fontId="7"/>
  </si>
  <si>
    <t>1.5.1.</t>
    <phoneticPr fontId="7"/>
  </si>
  <si>
    <t>APC.37</t>
    <phoneticPr fontId="8"/>
  </si>
  <si>
    <t>1.5.2.</t>
  </si>
  <si>
    <t>アドレスバーおよびステータスバーを常時表示すること。また、右クリックの利用を制限しないこと。</t>
    <phoneticPr fontId="7"/>
  </si>
  <si>
    <t>APC.38</t>
  </si>
  <si>
    <t>1.5.3.</t>
  </si>
  <si>
    <t>フレームを利用しないこと。
（フレームを利用しているサイトでは、ブラウザ上で複数のページが同時に表示されるが、それぞれ独立したURLを表示しており、サブフレームのURLをアドレスバーから確認することができないため、ユーザーが意図しないURLへ誘導される危険性が高まる）</t>
    <rPh sb="112" eb="114">
      <t>イト</t>
    </rPh>
    <rPh sb="121" eb="123">
      <t>ユウドウ</t>
    </rPh>
    <rPh sb="126" eb="129">
      <t>キケンセイ</t>
    </rPh>
    <phoneticPr fontId="8"/>
  </si>
  <si>
    <t>APC.39</t>
  </si>
  <si>
    <t>1.5.4.</t>
  </si>
  <si>
    <t>APC.40</t>
  </si>
  <si>
    <t>1.5.5.</t>
  </si>
  <si>
    <t>ドメインは、運営組織名称を利用するか、関連性のある名称を設定すること。</t>
    <phoneticPr fontId="7"/>
  </si>
  <si>
    <t>APC.41</t>
  </si>
  <si>
    <t>1.5.6.</t>
  </si>
  <si>
    <t>クリックジャッキング攻撃への対策として、HTTPヘッダに以下2点を設定し、コンテンツがフレーム内に読み込まれることを抑制すること。
・Content-Security-Policyの frame-ancestorsディレクティブにnoneまたはselfを指定する。
・X-Frame-OptionsにDENYまたはSAMEORIGINを指定する。
（CSP レベル 2 仕様で frame-ancestorsディレクティブが策定され、X-Frame-Optionsは非推奨とされている）</t>
    <phoneticPr fontId="8"/>
  </si>
  <si>
    <t>1.6. 暗号化に関するチェック事項</t>
    <rPh sb="5" eb="8">
      <t>アンゴウカ</t>
    </rPh>
    <rPh sb="9" eb="10">
      <t>カン</t>
    </rPh>
    <rPh sb="16" eb="18">
      <t>ジコウ</t>
    </rPh>
    <phoneticPr fontId="8"/>
  </si>
  <si>
    <t>APC.42</t>
    <phoneticPr fontId="8"/>
  </si>
  <si>
    <t>1.6.1.</t>
    <phoneticPr fontId="8"/>
  </si>
  <si>
    <t>暗号鍵や秘密情報(シークレットキーなど)を生成する際は、暗号技術での利用に適した暗号論的疑似乱数生成関数を用いること。
例：
Javaであればjava.util.Random クラスではなくjava.security.SecureRandom クラスを用いる
PHPであればrandではなくrandom_intを用いる</t>
    <phoneticPr fontId="8"/>
  </si>
  <si>
    <t>インフラチェックシート（自社DC版）</t>
    <rPh sb="12" eb="14">
      <t>ジシャ</t>
    </rPh>
    <rPh sb="16" eb="17">
      <t>バン</t>
    </rPh>
    <phoneticPr fontId="7"/>
  </si>
  <si>
    <t>本シートは、構築対象のシステム（あるいは利用するサービス）の基盤環境についてお伺いするものです。</t>
    <rPh sb="0" eb="1">
      <t>ホン</t>
    </rPh>
    <rPh sb="6" eb="8">
      <t>コウチク</t>
    </rPh>
    <rPh sb="8" eb="10">
      <t>タイショウ</t>
    </rPh>
    <rPh sb="20" eb="22">
      <t>リヨウ</t>
    </rPh>
    <rPh sb="30" eb="32">
      <t>キバン</t>
    </rPh>
    <rPh sb="32" eb="34">
      <t>カンキョウ</t>
    </rPh>
    <rPh sb="39" eb="40">
      <t>ウカガ</t>
    </rPh>
    <phoneticPr fontId="7"/>
  </si>
  <si>
    <t>構築対象システムがTMNFもしくはアウトソース先の自社DC（クラウド利用でない）を前提としています。</t>
    <rPh sb="0" eb="2">
      <t>コウチク</t>
    </rPh>
    <rPh sb="2" eb="4">
      <t>タイショウ</t>
    </rPh>
    <rPh sb="23" eb="24">
      <t>サキ</t>
    </rPh>
    <rPh sb="25" eb="27">
      <t>ジシャ</t>
    </rPh>
    <rPh sb="34" eb="36">
      <t>リヨウ</t>
    </rPh>
    <rPh sb="41" eb="43">
      <t>ゼンテイ</t>
    </rPh>
    <phoneticPr fontId="7"/>
  </si>
  <si>
    <t>自社DC</t>
    <rPh sb="0" eb="2">
      <t>ジシャ</t>
    </rPh>
    <phoneticPr fontId="7"/>
  </si>
  <si>
    <t>ランサム分類A</t>
    <rPh sb="4" eb="6">
      <t>ブンルイ</t>
    </rPh>
    <phoneticPr fontId="7"/>
  </si>
  <si>
    <t>ランサム分類B</t>
    <rPh sb="4" eb="6">
      <t>ブンルイ</t>
    </rPh>
    <phoneticPr fontId="7"/>
  </si>
  <si>
    <t>ランサム分類C</t>
    <rPh sb="4" eb="6">
      <t>ブンルイ</t>
    </rPh>
    <phoneticPr fontId="7"/>
  </si>
  <si>
    <t>開発承認ランクCで左記以外</t>
    <rPh sb="0" eb="2">
      <t>カイハツ</t>
    </rPh>
    <rPh sb="2" eb="4">
      <t>ショウニン</t>
    </rPh>
    <rPh sb="9" eb="11">
      <t>サキ</t>
    </rPh>
    <rPh sb="11" eb="13">
      <t>イガイ</t>
    </rPh>
    <phoneticPr fontId="7"/>
  </si>
  <si>
    <t xml:space="preserve">運用担当者のID発行は必要最低限とし、IDと個人が一対一の関係としているか（IDの共有や貸し借りは禁止しているか）
共有IDにせざるを得ない場合は、後で個人を特定することが可能な仕組みになっているか。
</t>
    <rPh sb="0" eb="2">
      <t>ウンヨウ</t>
    </rPh>
    <rPh sb="2" eb="5">
      <t>タントウシャ</t>
    </rPh>
    <rPh sb="8" eb="10">
      <t>ハッコウ</t>
    </rPh>
    <rPh sb="11" eb="13">
      <t>ヒツヨウ</t>
    </rPh>
    <rPh sb="13" eb="16">
      <t>サイテイゲン</t>
    </rPh>
    <rPh sb="58" eb="60">
      <t>キョウユウ</t>
    </rPh>
    <rPh sb="67" eb="68">
      <t>エ</t>
    </rPh>
    <rPh sb="70" eb="72">
      <t>バアイ</t>
    </rPh>
    <rPh sb="74" eb="75">
      <t>アト</t>
    </rPh>
    <rPh sb="76" eb="78">
      <t>コジン</t>
    </rPh>
    <rPh sb="79" eb="81">
      <t>トクテイ</t>
    </rPh>
    <rPh sb="86" eb="88">
      <t>カノウ</t>
    </rPh>
    <rPh sb="89" eb="91">
      <t>シク</t>
    </rPh>
    <phoneticPr fontId="7"/>
  </si>
  <si>
    <t xml:space="preserve">運用担当者や開発担当者がサーバーにアクセスする際の認証について、複数のシステムを同一のグループにせず、システムごとに認証しているか。
</t>
    <rPh sb="0" eb="2">
      <t>ウンヨウ</t>
    </rPh>
    <rPh sb="2" eb="5">
      <t>タントウシャ</t>
    </rPh>
    <rPh sb="6" eb="8">
      <t>カイハツ</t>
    </rPh>
    <rPh sb="8" eb="11">
      <t>タントウシャ</t>
    </rPh>
    <rPh sb="58" eb="60">
      <t>ニンショウ</t>
    </rPh>
    <phoneticPr fontId="7"/>
  </si>
  <si>
    <t>IOD.3</t>
  </si>
  <si>
    <t>システムの管理・運用に用いるＩＤの桁数は７桁以上としているか</t>
    <rPh sb="5" eb="7">
      <t>カンリ</t>
    </rPh>
    <rPh sb="8" eb="10">
      <t>ウンヨウ</t>
    </rPh>
    <rPh sb="11" eb="12">
      <t>モチ</t>
    </rPh>
    <phoneticPr fontId="7"/>
  </si>
  <si>
    <t>IOD.4</t>
  </si>
  <si>
    <t>運用担当者、開発担当者が使用する特認ID※、およびバッチ処理に組み込んで使用するＩＤは、既存の特認ＩＤ種類を使用する運用であり、新たな特認ＩＤ種類やアクセス権限を追加していないか。
新規に特認ＩＤを作成、使用する場合は、ＩＤ管理部門が設計を行うものとしているか。
※特認IDとは、本番環境や本番データにアクセス可能なユーザIDを指す。</t>
    <rPh sb="0" eb="2">
      <t>ウンヨウ</t>
    </rPh>
    <rPh sb="2" eb="5">
      <t>タントウシャ</t>
    </rPh>
    <rPh sb="6" eb="8">
      <t>カイハツ</t>
    </rPh>
    <rPh sb="8" eb="11">
      <t>タントウシャ</t>
    </rPh>
    <rPh sb="12" eb="14">
      <t>シヨウ</t>
    </rPh>
    <rPh sb="16" eb="18">
      <t>トクニン</t>
    </rPh>
    <rPh sb="28" eb="30">
      <t>ショリ</t>
    </rPh>
    <rPh sb="31" eb="32">
      <t>ク</t>
    </rPh>
    <rPh sb="33" eb="34">
      <t>コ</t>
    </rPh>
    <rPh sb="36" eb="38">
      <t>シヨウ</t>
    </rPh>
    <rPh sb="44" eb="46">
      <t>キゾン</t>
    </rPh>
    <rPh sb="47" eb="49">
      <t>トクニン</t>
    </rPh>
    <rPh sb="51" eb="53">
      <t>シュルイ</t>
    </rPh>
    <rPh sb="54" eb="56">
      <t>シヨウ</t>
    </rPh>
    <rPh sb="58" eb="60">
      <t>ウンヨウ</t>
    </rPh>
    <rPh sb="64" eb="65">
      <t>アラ</t>
    </rPh>
    <rPh sb="67" eb="69">
      <t>トクニン</t>
    </rPh>
    <rPh sb="71" eb="73">
      <t>シュルイ</t>
    </rPh>
    <rPh sb="78" eb="80">
      <t>ケンゲン</t>
    </rPh>
    <rPh sb="81" eb="83">
      <t>ツイカ</t>
    </rPh>
    <rPh sb="134" eb="136">
      <t>トクニン</t>
    </rPh>
    <rPh sb="141" eb="143">
      <t>ホンバン</t>
    </rPh>
    <rPh sb="143" eb="145">
      <t>カンキョウ</t>
    </rPh>
    <rPh sb="146" eb="148">
      <t>ホンバン</t>
    </rPh>
    <rPh sb="156" eb="158">
      <t>カノウ</t>
    </rPh>
    <rPh sb="165" eb="166">
      <t>サ</t>
    </rPh>
    <phoneticPr fontId="7"/>
  </si>
  <si>
    <t>IOD.5</t>
  </si>
  <si>
    <t>OS・SWのシステムアカウント（デフォルトアカウント※含む）、運用アカウントに関して、利用しない場合は削除（もしくは無効化）しているか。
削除（もしくは無効化）できない場合、使用するパスワードを本Sheetの「ログイン、パスワード管理」に従ったものに変更しているか。
※デフォルトアカウントとは、OS・SW導入時に自動設定されるアカウント（UNIXのnobody、WindowsのGuest、Oracleのscott、WindowsのAdministrator、UNIXのroot、Oracleのsys等）のこと</t>
    <rPh sb="115" eb="117">
      <t>カンリ</t>
    </rPh>
    <phoneticPr fontId="7"/>
  </si>
  <si>
    <t xml:space="preserve"> </t>
    <phoneticPr fontId="7"/>
  </si>
  <si>
    <t>運用担当者のIDを知的認証（ＩＤ、パスワード）方式により認証しているか</t>
    <rPh sb="0" eb="5">
      <t>ウンヨウタントウシャ</t>
    </rPh>
    <rPh sb="28" eb="30">
      <t>ニンショウ</t>
    </rPh>
    <phoneticPr fontId="7"/>
  </si>
  <si>
    <t>●</t>
  </si>
  <si>
    <t>OS・SWのシステムアカウント及び運用アカウントのパスワードは、ランダムかつユニークなものを設定しているか
特に、パスワードは推測され難いものを設定し、IDやホスト名の文字列を含まないこと。</t>
  </si>
  <si>
    <t>〇</t>
    <phoneticPr fontId="10"/>
  </si>
  <si>
    <t>IOD.8</t>
  </si>
  <si>
    <t>運用担当者が利用するアカウントの初期パスワードはランダムに生成しているか。
上記が困難な場合はパスワードの有効期限や初回の強制変更を設定するなど確実な変更を促すこと。</t>
    <rPh sb="29" eb="31">
      <t>セイセイ</t>
    </rPh>
    <rPh sb="38" eb="40">
      <t>ジョウキ</t>
    </rPh>
    <rPh sb="41" eb="43">
      <t>コンナン</t>
    </rPh>
    <rPh sb="44" eb="46">
      <t>バアイ</t>
    </rPh>
    <rPh sb="53" eb="55">
      <t>ユウコウ</t>
    </rPh>
    <rPh sb="55" eb="57">
      <t>キゲン</t>
    </rPh>
    <rPh sb="58" eb="60">
      <t>ショカイ</t>
    </rPh>
    <rPh sb="61" eb="63">
      <t>キョウセイ</t>
    </rPh>
    <rPh sb="63" eb="65">
      <t>ヘンコウ</t>
    </rPh>
    <rPh sb="66" eb="68">
      <t>セッテイ</t>
    </rPh>
    <phoneticPr fontId="7"/>
  </si>
  <si>
    <t>IOD.9</t>
  </si>
  <si>
    <t>IOD.10</t>
  </si>
  <si>
    <t>1.2.5.</t>
    <phoneticPr fontId="7"/>
  </si>
  <si>
    <t>IOD.11</t>
  </si>
  <si>
    <t>IOD.12</t>
  </si>
  <si>
    <t>1.2.7.</t>
  </si>
  <si>
    <t>サーバや端末内にアカウントのパスワードを平文で記載したファイルやスクリプトを配置していないか
システム制約上、スクリプトにパスワードが平文でハードコードされる場合は、一般ユーザ（一般ドメインユーザ）がアクセスできないフォルダに配置すること。</t>
  </si>
  <si>
    <t>IOD.13</t>
  </si>
  <si>
    <t>1.2.8.</t>
  </si>
  <si>
    <t>原則として運用担当者のログイン時に前回のログイン日時を表示するようにしているか　</t>
    <rPh sb="5" eb="7">
      <t>ウンヨウ</t>
    </rPh>
    <rPh sb="7" eb="10">
      <t>タントウシャ</t>
    </rPh>
    <phoneticPr fontId="7"/>
  </si>
  <si>
    <t>IOD.14</t>
  </si>
  <si>
    <t>原則として同一の運用担当者のIDによる同時使用（同時ログイン)を禁止しているか</t>
    <phoneticPr fontId="7"/>
  </si>
  <si>
    <t>2023/7/3修正</t>
    <phoneticPr fontId="7"/>
  </si>
  <si>
    <r>
      <t xml:space="preserve">ユーザアカウントを役割（ID管理者、暗号鍵管理者、基盤運用者 等）ごとに分離し、システムアカウントや開発・運用アカウントを含めて、各アカウントに付与する権限を必要最小限にする。
また、システム導入時のデフォルト管理者権限（スーパー権限）の利用を禁止しているか。
特に、以下の権限については、アクセスルールの規定に従い、ユーザID・属性により機械的に制限すること。
</t>
    </r>
    <r>
      <rPr>
        <b/>
        <sz val="14"/>
        <color rgb="FFFF0000"/>
        <rFont val="Yu Gothic"/>
        <family val="3"/>
        <charset val="128"/>
        <scheme val="minor"/>
      </rPr>
      <t>（アウトソースシステムは、回答で「YES」を選択した場合でも実施している対策を備考欄に記入する。）</t>
    </r>
    <r>
      <rPr>
        <b/>
        <sz val="14"/>
        <rFont val="Yu Gothic"/>
        <family val="3"/>
        <charset val="128"/>
        <scheme val="minor"/>
      </rPr>
      <t xml:space="preserve">
</t>
    </r>
    <r>
      <rPr>
        <sz val="14"/>
        <rFont val="Yu Gothic"/>
        <family val="3"/>
        <charset val="128"/>
        <scheme val="minor"/>
      </rPr>
      <t xml:space="preserve">
・オンライントランザクションの実行
・データベースアクセス範囲
・共有ファイルのアクセス可否
・データベース操作内容（挿入、更新、削除、参照）
・インフラ関連の設定変更
・PCへのダウンロード(業務用、個人用へのダウンロード）、ファイルの書き出し
・インターネットへのアクセス（Webメール、掲示板、SNS、オンラインストレージなど）</t>
    </r>
    <rPh sb="105" eb="108">
      <t>カンリシャ</t>
    </rPh>
    <rPh sb="119" eb="121">
      <t>リヨウ</t>
    </rPh>
    <phoneticPr fontId="7"/>
  </si>
  <si>
    <t>センシティブ情報を保管する場合は、参照権限者を限定しているか。</t>
    <rPh sb="6" eb="8">
      <t>ジョウホウ</t>
    </rPh>
    <rPh sb="9" eb="11">
      <t>ホカン</t>
    </rPh>
    <rPh sb="13" eb="15">
      <t>バアイ</t>
    </rPh>
    <rPh sb="17" eb="19">
      <t>サンショウ</t>
    </rPh>
    <rPh sb="19" eb="21">
      <t>ケンゲン</t>
    </rPh>
    <rPh sb="21" eb="22">
      <t>シャ</t>
    </rPh>
    <rPh sb="23" eb="25">
      <t>ゲンテイ</t>
    </rPh>
    <phoneticPr fontId="10"/>
  </si>
  <si>
    <t>IOD.17</t>
  </si>
  <si>
    <t>取得したログは厳格にアクセス制御しているか、又は一回書き込み型の装置を使用するなどの改ざん防止措置を行っているか</t>
    <rPh sb="0" eb="2">
      <t>シュトク</t>
    </rPh>
    <phoneticPr fontId="7"/>
  </si>
  <si>
    <t>IOD.19</t>
  </si>
  <si>
    <t>ハッシュ関数や暗号アルゴリズムは、「電子政府推奨暗号リスト※」に記載されているものを採用しているか
※電子政府推奨暗号リストは下記URLを参照
https://www.cryptrec.go.jp/list.html</t>
    <phoneticPr fontId="7"/>
  </si>
  <si>
    <t>暗号鍵を耐タンパー性を有する暗号モジュールへ格納しているか。
また、暗号鍵は、管理者以外アクセス不可能な保存媒体及び保存場所へ格納しているか</t>
    <phoneticPr fontId="7"/>
  </si>
  <si>
    <t>IOD.21</t>
  </si>
  <si>
    <t>2.1.4.</t>
  </si>
  <si>
    <t>IOD.22</t>
  </si>
  <si>
    <t>2.1.5.</t>
  </si>
  <si>
    <t>他企業とのデータ交換は通信の暗号化、もしくは専用線を利用しているか。
なお、マイナンバー（法人番号は含まない）を外部委託先等とデータ交換する際は暗号化を必須とし、媒体は原則使用しない。</t>
    <phoneticPr fontId="7"/>
  </si>
  <si>
    <t>3. 環境</t>
    <rPh sb="3" eb="5">
      <t>カンキョウ</t>
    </rPh>
    <phoneticPr fontId="7"/>
  </si>
  <si>
    <t>3.1.システム環境</t>
    <rPh sb="8" eb="10">
      <t>カンキョウ</t>
    </rPh>
    <phoneticPr fontId="7"/>
  </si>
  <si>
    <t xml:space="preserve">本番環境やプレ本環境にアクセス出来るエリアは、ゾーニングエリアを設置し、入室管理・端末利用管理・持ち込み／持ち出し管理を徹底しているか。
・本番環境 ：本番検証室の端末もしくはひとり一台端末を利用
・プレ本環境　 ：プレ本検証室の端末を利用
</t>
    <phoneticPr fontId="7"/>
  </si>
  <si>
    <t>IOD.24</t>
  </si>
  <si>
    <t xml:space="preserve">本番サーバへのログインは、専用のセグメントに設置した運用管理専用の端末（TMNFにおいてはセキュア環境）（※)を経由しているか。
また、直接特権ＩＤでログインせずに、個人ＩＤでログイン後に特権ＩＤへ切り替える等、作業者を特定できるようにしているか
※以下を満たす本番環境接続時の環境を指す。
　・社内LAN接続不可
　・インターネットアクセスおよびメール送受信不可
　　(セキュリティパッチ適用やウィルスパターンファイル更新も社内の運用管理サーバ経由で適用することが好ましい）
　・印刷不可
　・踏み台環境より外（操作元のPCなど）へのデータ持ち出しやカット＆ペースト不可
　・環境内での操作記録
　・サーバやNW機器の認証情報を端末内に残さない
</t>
    <rPh sb="0" eb="2">
      <t>ホンバン</t>
    </rPh>
    <rPh sb="13" eb="15">
      <t>センヨウ</t>
    </rPh>
    <rPh sb="22" eb="24">
      <t>セッチ</t>
    </rPh>
    <rPh sb="49" eb="51">
      <t>カンキョウ</t>
    </rPh>
    <rPh sb="70" eb="72">
      <t>トッケン</t>
    </rPh>
    <rPh sb="94" eb="96">
      <t>トッケン</t>
    </rPh>
    <rPh sb="104" eb="105">
      <t>ナド</t>
    </rPh>
    <rPh sb="106" eb="109">
      <t>サギョウシャ</t>
    </rPh>
    <rPh sb="110" eb="112">
      <t>トクテイ</t>
    </rPh>
    <rPh sb="126" eb="128">
      <t>イカ</t>
    </rPh>
    <rPh sb="129" eb="130">
      <t>ミ</t>
    </rPh>
    <rPh sb="132" eb="134">
      <t>ホンバン</t>
    </rPh>
    <rPh sb="134" eb="136">
      <t>カンキョウ</t>
    </rPh>
    <rPh sb="136" eb="138">
      <t>セツゾク</t>
    </rPh>
    <rPh sb="138" eb="139">
      <t>ジ</t>
    </rPh>
    <rPh sb="140" eb="142">
      <t>カンキョウ</t>
    </rPh>
    <rPh sb="143" eb="144">
      <t>サ</t>
    </rPh>
    <rPh sb="149" eb="151">
      <t>シャナイ</t>
    </rPh>
    <rPh sb="154" eb="156">
      <t>セツゾク</t>
    </rPh>
    <rPh sb="156" eb="158">
      <t>フカ</t>
    </rPh>
    <rPh sb="242" eb="244">
      <t>インサツ</t>
    </rPh>
    <rPh sb="244" eb="246">
      <t>フカ</t>
    </rPh>
    <rPh sb="249" eb="250">
      <t>フ</t>
    </rPh>
    <rPh sb="251" eb="252">
      <t>ダイ</t>
    </rPh>
    <rPh sb="252" eb="254">
      <t>カンキョウ</t>
    </rPh>
    <rPh sb="256" eb="257">
      <t>ソト</t>
    </rPh>
    <rPh sb="272" eb="273">
      <t>モ</t>
    </rPh>
    <rPh sb="274" eb="275">
      <t>ダ</t>
    </rPh>
    <rPh sb="290" eb="292">
      <t>カンキョウ</t>
    </rPh>
    <rPh sb="292" eb="293">
      <t>ナイ</t>
    </rPh>
    <rPh sb="295" eb="297">
      <t>ソウサ</t>
    </rPh>
    <rPh sb="297" eb="299">
      <t>キロク</t>
    </rPh>
    <rPh sb="308" eb="310">
      <t>キキ</t>
    </rPh>
    <rPh sb="311" eb="313">
      <t>ニンショウ</t>
    </rPh>
    <rPh sb="313" eb="315">
      <t>ジョウホウ</t>
    </rPh>
    <rPh sb="316" eb="318">
      <t>タンマツ</t>
    </rPh>
    <rPh sb="318" eb="319">
      <t>ナイ</t>
    </rPh>
    <rPh sb="320" eb="321">
      <t>ノコ</t>
    </rPh>
    <phoneticPr fontId="7"/>
  </si>
  <si>
    <t>通信回線装置やサーバの時刻は、常にUTCを基準とした時刻と同期を取っているか</t>
    <phoneticPr fontId="7"/>
  </si>
  <si>
    <t>IOD.26</t>
  </si>
  <si>
    <t>マイナンバー（法人番号は含まない）を保管するシステムは以下の要件を全て満たしているか。
・参照・登録を行うＷｅｂアプリケーションサーバ（以下Ｗｅｂサーバ）と、データを保管するデータベースサーバ（以下ＤＢサーバ）で構成する
・マイナンバーはＤＢサーバにのみ保管する
・ＤＢサーバに対する通信は、特定の機器からのみ可能とする制御を行う
・ひとり一台端末からの業務利用を前提とし、インターネットからのアクセスを不可とする</t>
    <phoneticPr fontId="7"/>
  </si>
  <si>
    <t>2022/7/1追加</t>
    <rPh sb="8" eb="10">
      <t>ツイカ</t>
    </rPh>
    <phoneticPr fontId="7"/>
  </si>
  <si>
    <t>IOD.27</t>
  </si>
  <si>
    <t>対応ランクAシステムは、セキュリティインシデントによりサーバが停止した（あるいは停止せざるを得ない）場合に備えて、同一サーバ以外の環境からユーザにサービス停止の旨を案内するSorryページを用意しているか。
同一サーバ以外とは、例えば別のサーバやクラウド環境が挙げられる。
なお、オンプレセキュアドGWを通る環境については、共通的なSorryページの仕組みを構築している。実装にあたっては、以下キャビネに掲載の方法を参照願う。
https://cc.tm.millea.co.jp/fw/dfw/SFDCLI/common/Login?startURL=https%3A%2F%2Ftokiomarine--c.vf.force.com%2Fa091000007009KAAAY</t>
    <phoneticPr fontId="7"/>
  </si>
  <si>
    <t>3.2.端末環境</t>
    <rPh sb="4" eb="6">
      <t>タンマツ</t>
    </rPh>
    <rPh sb="6" eb="8">
      <t>カンキョウ</t>
    </rPh>
    <phoneticPr fontId="7"/>
  </si>
  <si>
    <t>3.2.1.</t>
    <phoneticPr fontId="7"/>
  </si>
  <si>
    <t>3.2.2.</t>
    <phoneticPr fontId="7"/>
  </si>
  <si>
    <r>
      <rPr>
        <b/>
        <sz val="14"/>
        <color rgb="FFFF0000"/>
        <rFont val="Yu Gothic"/>
        <family val="3"/>
        <charset val="128"/>
        <scheme val="minor"/>
      </rPr>
      <t>（注意）本セルは、記載が多く表示に収まっていないため、セル末尾の★★★ここまで★★★まで確認すること</t>
    </r>
    <r>
      <rPr>
        <sz val="14"/>
        <rFont val="Yu Gothic"/>
        <family val="3"/>
        <charset val="128"/>
        <scheme val="minor"/>
      </rPr>
      <t xml:space="preserve">
本要件は、以下の●全てを満たす場合に回答すること。
●構築または改修対象が社内向けシステム(※)である
●上記システムへのテレワークによるリモートアクセスが想定される
　※「ひとり一台端末」等の社内業務端末も社内向けシステムの定義に含む
上記の条件を満たす場合、テレワークの際にリモートアクセス元となる端末（手元端末）は、以下の全ての要件を満たしているか。
なお、既にリモートアクセスを行っている手元端末(ひとり一台の手元端末やIntune管理されたスマートフォン)の場合は、既に下記を満たしているため「YES」と回答願う。
・手元端末にログインする際のパスワードは3種12桁以上もしくは4種10桁以上を設定する
・アンチウイルスソフトやOS 等のファイアウォール機能の有効化を行うよう利用者に周知徹底する
・アクセス時は業務上必要のない機能を無効化するよう利用者に周知徹底する
・公衆無線LAN 等のネットワークは使用しないよう利用者に周知徹底する
・個人所有ネットワーク機器から社内端末へのアクセスを許可する場合は、同一のネットワークに接続する別の端末や機器についてのセキュリティ対策を定義し、必要な対策を利用者に周知徹底する
・無線LANルータを利用する場合は、WPA2（Wi-Fi Protected Access 2）またはWPA3（Wi-Fi Protected Access 3）方式を採用し、暗号化のためのパスワード及び無線LAN ルータの管理者パスワードを第三者に推測されにくいものにするよう利用者に周知徹底する
・手元端末を廃棄する場合はデータが完全に復元不可能な状態となる措置を講ずる
・手元端末の紛失・盗難に備え、MDM（Mobile Device Management）ソリューション等を導入し、遠隔制御でのデータ・アカウント初期化、ログイン時のパスワード認証の強制、HDD やSSD の暗号化等の機能を有効化する
・手元端末が社内ネットワークを経由せずにインターネットに接続できる構成を採用する場合は、クラウドプロキシサービス等の外部の通信制御を行うサービスを利用する
・手元端末へのデータ保存を制限する
</t>
    </r>
    <r>
      <rPr>
        <b/>
        <sz val="14"/>
        <color rgb="FFFF0000"/>
        <rFont val="Yu Gothic"/>
        <family val="3"/>
        <charset val="128"/>
        <scheme val="minor"/>
      </rPr>
      <t>★★★ここまで★★★</t>
    </r>
    <phoneticPr fontId="7"/>
  </si>
  <si>
    <t>3.3.データセンター設備</t>
    <rPh sb="11" eb="13">
      <t>セツビ</t>
    </rPh>
    <phoneticPr fontId="7"/>
  </si>
  <si>
    <t>3.3.1.</t>
    <phoneticPr fontId="7"/>
  </si>
  <si>
    <t>業務データを扱う機器、電子媒体および書類等については、以下の盗難・紛失防止策を講じているか。
例：
・施錠できるキャビネット・書庫等への保管
・機器盗難防止のためのセキュリティワイヤーによる固定</t>
    <phoneticPr fontId="7"/>
  </si>
  <si>
    <t>4. 運用管理</t>
    <rPh sb="3" eb="5">
      <t>ウンヨウ</t>
    </rPh>
    <rPh sb="5" eb="7">
      <t>カンリ</t>
    </rPh>
    <phoneticPr fontId="7"/>
  </si>
  <si>
    <t>4.1. マルウェア対策</t>
    <rPh sb="10" eb="12">
      <t>タイサク</t>
    </rPh>
    <phoneticPr fontId="7"/>
  </si>
  <si>
    <r>
      <rPr>
        <b/>
        <sz val="14"/>
        <color rgb="FFFF0000"/>
        <rFont val="Yu Gothic"/>
        <family val="3"/>
        <charset val="128"/>
        <scheme val="minor"/>
      </rPr>
      <t>（注意）本セルは、記載が多く表示に収まっていないため、セル末尾の★★★ここまで★★★まで確認すること
（回答で「YES」を選択した場合でも、OSの種別と台数を備考欄に記入する。）</t>
    </r>
    <r>
      <rPr>
        <sz val="14"/>
        <rFont val="Yu Gothic"/>
        <family val="3"/>
        <charset val="128"/>
        <scheme val="minor"/>
      </rPr>
      <t xml:space="preserve">
システムの開発、運用、管理に用いる全てのWindows PC、Windowsサーバ、および外部からのファイルの流入が発生し得るWindows”以外”のサーバにアンチウイルスソフトを導入し、以下の対応を行っているか。
「外部からのファイルの流入」とは、当社のガバナンス外で作られたファイルの流入を指し、例えば以下のようなケースが挙げられる。
・システムのエンドユーザ(当社管理外の利用者)がファイルをアップロードする（POST）
・当社システムが、管理外のシステムやサイトからファイルを入手する（GET）
アンチウイルスソフトとは、パターンマッチングとヒューリスティック(振舞検知)機能を持つものを指す。
当社WindowsサーバにおいてはTrendmicro社 ServerProtectが標準である。
・アンチウイルスソフトの検索モジュールとパターンファイルの自動更新（難しい場合は少なくとも週 1 回更新）
・リアルタイムスキャンの常時有効化
・定期的なフルスキャンの実施
・スキャン結果を監査ログとして出力
・サービス稼働に必要なコンポーネントの監視除外
　(アンチウイルスソフトの誤遮断による障害リスクの低減)</t>
    </r>
    <r>
      <rPr>
        <b/>
        <sz val="14"/>
        <color rgb="FFFF0000"/>
        <rFont val="Yu Gothic"/>
        <family val="3"/>
        <charset val="128"/>
        <scheme val="minor"/>
      </rPr>
      <t xml:space="preserve">
★★★ここまで★★★</t>
    </r>
    <rPh sb="104" eb="105">
      <t>モチ</t>
    </rPh>
    <rPh sb="180" eb="182">
      <t>ドウニュウ</t>
    </rPh>
    <rPh sb="184" eb="186">
      <t>イカ</t>
    </rPh>
    <rPh sb="187" eb="189">
      <t>タイオウ</t>
    </rPh>
    <rPh sb="190" eb="191">
      <t>オコナ</t>
    </rPh>
    <rPh sb="390" eb="391">
      <t>サ</t>
    </rPh>
    <rPh sb="495" eb="497">
      <t>コウシン</t>
    </rPh>
    <rPh sb="515" eb="516">
      <t>カ</t>
    </rPh>
    <rPh sb="555" eb="557">
      <t>カドウ</t>
    </rPh>
    <rPh sb="558" eb="560">
      <t>ヒツヨウ</t>
    </rPh>
    <rPh sb="569" eb="571">
      <t>カンシ</t>
    </rPh>
    <rPh sb="571" eb="573">
      <t>ジョガイ</t>
    </rPh>
    <rPh sb="587" eb="588">
      <t>ゴ</t>
    </rPh>
    <rPh sb="588" eb="590">
      <t>シャダン</t>
    </rPh>
    <rPh sb="593" eb="595">
      <t>ショウガイ</t>
    </rPh>
    <rPh sb="599" eb="601">
      <t>テイゲン</t>
    </rPh>
    <phoneticPr fontId="7"/>
  </si>
  <si>
    <r>
      <rPr>
        <b/>
        <sz val="14"/>
        <color rgb="FFFF0000"/>
        <rFont val="Yu Gothic"/>
        <family val="3"/>
        <charset val="128"/>
        <scheme val="minor"/>
      </rPr>
      <t>（回答で「YES」を選択した場合でも、OSの種別と台数を備考欄に記入する。）</t>
    </r>
    <r>
      <rPr>
        <sz val="14"/>
        <color theme="1"/>
        <rFont val="Yu Gothic"/>
        <family val="3"/>
        <charset val="128"/>
        <scheme val="minor"/>
      </rPr>
      <t xml:space="preserve">
Windows端末　台
Windows Server　台
上記以外で外部からのファイルの流入がありえるサーバ　台</t>
    </r>
    <phoneticPr fontId="7"/>
  </si>
  <si>
    <t xml:space="preserve">Windowsのサーバや端末を構築する場合、リモート実行機能を有するタスクスケジューラ、PsExec、PowerShell等を不要であれば使用不可としているか。
利用する場合はイベントログを出力する設定にし、タスクの追加やサービスの起動を監視する設計としているか。
</t>
    <rPh sb="124" eb="126">
      <t>セッケイ</t>
    </rPh>
    <phoneticPr fontId="7"/>
  </si>
  <si>
    <t>4.1.3.</t>
    <phoneticPr fontId="7"/>
  </si>
  <si>
    <t>4.2. バックアップ</t>
    <phoneticPr fontId="7"/>
  </si>
  <si>
    <t>4.2.1.</t>
    <phoneticPr fontId="7"/>
  </si>
  <si>
    <t>システム障害やランサムウェアによりデータおよびシステム領域が破壊された場合に備えて、以下について定期的にバックアップを取得しているか。
　a. 業務データ
　b. プログラム
　c. ドキュメント（システム設計書、操作手順書、復旧手順書）</t>
    <phoneticPr fontId="7"/>
  </si>
  <si>
    <t>4.2.2.</t>
    <phoneticPr fontId="7"/>
  </si>
  <si>
    <t>サービスレベルを満たす適切なバックアップ方式（全または差分）と、バックアップの保存サイクル、保存世代数が決められ実装されているか
また、バックアップは正副を取得しているか</t>
  </si>
  <si>
    <t>IOD.36</t>
  </si>
  <si>
    <t>4.2.3.</t>
  </si>
  <si>
    <t xml:space="preserve">ランサムウェア等によるデータおよびシステム領域の破壊が行われた場合に備えて、ランサムウェア対応分類A,Bのシステムについては、インシデントに気づけるタイミング(※)を想定した上で、十分なバックアップの保持期間を決めているか。
(最後に取得したバックアップの保持期間を過ぎてからインシデントに気づき、リストアできないような事態を避ける）
なお、TMNFオンプレの仮想化基盤が提供する標準機能のバックアップを使用している場合は、自動的に本要件を満たしているためYESと回答する。
※以下のようにシステムごとに気づけるまでの時間が異なるため、それを考慮したバックアップの保持が必要。
例1：24365システムであれば常時稼働しているため、システムエラー等によりインシデントをすぐに検知できる。夜間や休日を含めても遅くともX時間以内にはFFAを開催できる
例2：システム稼働時間が限られているため、連休などを考慮すると最長でX営業日はインシデントに気づかない可能性がある
</t>
    <phoneticPr fontId="7"/>
  </si>
  <si>
    <t>2021/12/1修正
2022/4/1修正</t>
    <rPh sb="20" eb="22">
      <t>シュウセイ</t>
    </rPh>
    <phoneticPr fontId="7"/>
  </si>
  <si>
    <t>IOD.37</t>
  </si>
  <si>
    <t>4.2.4.</t>
  </si>
  <si>
    <t>ランサムウェア等によるデータおよびシステム領域の破壊が行われた場合に備えて、ランサムウェア対応分類A,Bのシステムについては、バックアップを最低2世代取得する設計としているか。
また、必要世代以前の古いバックアップについて、上述のバックアップの保持期間を迎える前に削除されないよう考慮した上で、削除タイミングを設計しているか。</t>
    <phoneticPr fontId="7"/>
  </si>
  <si>
    <t>2021/12/1追加
2022/4/1修正</t>
    <phoneticPr fontId="7"/>
  </si>
  <si>
    <t>IOD.38</t>
  </si>
  <si>
    <t>4.2.5.</t>
  </si>
  <si>
    <r>
      <rPr>
        <b/>
        <sz val="14"/>
        <color rgb="FFFF0000"/>
        <rFont val="Yu Gothic"/>
        <family val="3"/>
        <charset val="128"/>
        <scheme val="minor"/>
      </rPr>
      <t xml:space="preserve">（注意）本セルは、記載が多く表示に収まっていないため、セル末尾の★★★ここまで★★★まで確認すること
</t>
    </r>
    <r>
      <rPr>
        <sz val="14"/>
        <rFont val="Yu Gothic"/>
        <family val="3"/>
        <charset val="128"/>
        <scheme val="minor"/>
      </rPr>
      <t xml:space="preserve">ランサムウェア等によりバックアップ自体が破壊されることを防ぐために、ランサムウェア対応分類A,Bのシステムについては、バックアップを業務サービス(サーバOSやネットワーク)からオフラインの環境で保護しているか。
例：
・テープなどに保存し、都度オフラインする
・ストレージ機能でのバックアップ取得を実施し、管理コンソールおよび取得領域には業務LANからは隔離された管理LANからしかアクセスできないようにする（業務LAN・管理LAN両方にアクセス可能なOSは存在しないことが重要）
なお、ランサムウェア対応分類Bのシステムについては、以下の2つの対策をともに満たすことで、上記のオフライン化の代替策として認める。以下はバックアップデータに対する高権限ID（OSのAdmin/rootや、サービスを管理するIDなど）を悪用した変更・破壊の試みを阻止する対策である。
・「バックアップ対象システム」と、「バックアップシステム（専用ソフトウェア、別サーバなど）」および「取得したバックアップデータ」のアクセス権を分離する。
分離とは、バックアップ対象システムの高権限IDを用いて、「バックアップシステムや取得したバックアップデータを変更できない」ことと「バックアップシステムのID管理作業（パスワードリセットやID作成等）ができない」状態を指す。
・バックアップシステムのIDおよびパスワードを推測できないもの（Admin/rootや、ホスト名、システム名およびこれらが含まれるものも不可）にする。可能であれば、2要素認証を導入する。
</t>
    </r>
    <r>
      <rPr>
        <b/>
        <sz val="14"/>
        <color rgb="FFFF0000"/>
        <rFont val="Yu Gothic"/>
        <family val="3"/>
        <charset val="128"/>
        <scheme val="minor"/>
      </rPr>
      <t>★★★ここまで★★★</t>
    </r>
    <phoneticPr fontId="7"/>
  </si>
  <si>
    <t>IOD.39</t>
  </si>
  <si>
    <t>4.2.6.</t>
  </si>
  <si>
    <t>ランサムウェア感染時の対策として、ランサムウェア対応分類A,Bのシステムについては、(システム障害時の一部分の戻しだけでなく）バックアップデータからの全リストアを想定したRTO,RPOを定義しているか。
また、ランサムウェア対応分類Aのシステムについては、サービスイン後のリストアテストの実施を想定した環境（テストが可能な開発・プレ本環境の構築、もしくは本番環境でテストできるような非機能要件の設計）を準備しているか。</t>
    <phoneticPr fontId="7"/>
  </si>
  <si>
    <t>4.3. 脆弱性管理</t>
    <rPh sb="5" eb="8">
      <t>ゼイジャクセイ</t>
    </rPh>
    <rPh sb="8" eb="10">
      <t>カンリ</t>
    </rPh>
    <phoneticPr fontId="7"/>
  </si>
  <si>
    <t>4.3.1.</t>
    <phoneticPr fontId="7"/>
  </si>
  <si>
    <t>ソフトウェアおよび機器（以下、製品）を採用する際は、多くの脆弱性が報告される傾向にあるプロダクト（Apache Struts、Word Press等）を避け、提供元（ベンダー、オープンソースプロジェクト運営団体等）がサポートするバージョンの製品を選定しているか
また製品の利用にあたっては、セキュリティ設定を正しく行うため、各製品の提供元が発信する推奨設定情報やセキュリティパッチに関する情報を参考に設定を行っているか。</t>
    <rPh sb="23" eb="24">
      <t>サイ</t>
    </rPh>
    <rPh sb="120" eb="122">
      <t>セイヒン</t>
    </rPh>
    <phoneticPr fontId="7"/>
  </si>
  <si>
    <t>4.3.2.</t>
  </si>
  <si>
    <t>サーバや端末、ネットワーク機器の未使用又は不必要なデーモン／サービス／エージェントが全て停止又は削除される設計がされているか</t>
    <rPh sb="4" eb="6">
      <t>タンマツ</t>
    </rPh>
    <rPh sb="13" eb="15">
      <t>キキ</t>
    </rPh>
    <phoneticPr fontId="7"/>
  </si>
  <si>
    <t>4.3.3.</t>
  </si>
  <si>
    <t>インターネットへ公開されているサービスについて、利用している製品の種類・バージョン情報等のシステム構成情報（バナー情報）がHTTPレスポンスヘッダに含まれないようにしているか</t>
    <phoneticPr fontId="7"/>
  </si>
  <si>
    <t>5. ネットワーク</t>
    <phoneticPr fontId="7"/>
  </si>
  <si>
    <t>NWセグメントを、業務内容や取り扱う情報区分ごとに分離（サーバセグメント、運用管理セグメント、ユーザセグメント（必要に応じ部署毎）等）しているか。
また、サーバセグメントの中でも、サービスの種類や重要度に合わせて更に分離し、セグメント間の通信を最小限のサービスのみに制限しているか。</t>
    <rPh sb="87" eb="88">
      <t>ナカ</t>
    </rPh>
    <rPh sb="107" eb="108">
      <t>サラ</t>
    </rPh>
    <rPh sb="109" eb="111">
      <t>ブンリ</t>
    </rPh>
    <phoneticPr fontId="7"/>
  </si>
  <si>
    <t>インターネットからアクセスを受けるシステムに関しては、DoS、DDoS攻撃に対して、以下の通り帯域幅消費攻撃とシステム資源消費攻撃の双方の対策を行っているか。
なお、アウトソースシステムにおいては、当社へのサービス提供に直接用いていない共用箇所も含み上記の対策ができているか。（詳細は当セルのコメントを参照）
・可能な限りインターネットに近い位置での対策（オンプレよりもISPやCDN、スクラビングセンターなど）
・システム停止時の影響が大きなシステムに おいては、被害を受けた場合の影響を極小化できる構成と緩和策を導入
・無線LANを構築する場合、管理フレームを悪用した通信妨害攻撃対策（IEEE802.11w規格）などの保護対策を導入
・サービスの可用性が高い水準で要求されるシステムや、企業ブランドに関わるコーポレートサイトといった、アクセス不通時の影響が大きなシステムにおいては、DNSサーバーについてもDDos対策を実施</t>
    <phoneticPr fontId="7"/>
  </si>
  <si>
    <t>IPS等セキュリティ機器の定義ファイル、検知ルールなどの最適化を実施しているか</t>
  </si>
  <si>
    <t>IOD.47</t>
  </si>
  <si>
    <t xml:space="preserve">外部から直接アクセスを受けるサーバ（公開サーバ／専用機等）をDMZに、
情報を保有するサーバ（非公開サーバ）を内部セグメントにそれぞれ配置し、インターネットとDMZの境界、およびDMZと内部セグメントの境界にファイアウォールを導入してセグメント間の通信を必要最小限に制限しているか
</t>
    <rPh sb="55" eb="57">
      <t>ナイブ</t>
    </rPh>
    <rPh sb="67" eb="69">
      <t>ハイチ</t>
    </rPh>
    <phoneticPr fontId="7"/>
  </si>
  <si>
    <t>IOD.48</t>
  </si>
  <si>
    <t>5.1.6.</t>
  </si>
  <si>
    <t>顧客情報や決済情報を保管する DB サーバーへのネットワーク経由及び物理的なアクセス を、業務上必要な対象のみに制限できているか。
特に、マイナンバー（法人番号は含まない）を保管するシステムについては必須とする。</t>
    <phoneticPr fontId="7"/>
  </si>
  <si>
    <t>IOD.49</t>
  </si>
  <si>
    <t>5.1.7.</t>
  </si>
  <si>
    <t>公開DNSサーバを構築する場合、DMZ上に配置し、適切なファイアウォール設定としてるか</t>
  </si>
  <si>
    <t>5.1.8.</t>
  </si>
  <si>
    <t>公開DNSサーバを構築する場合、外部からの再帰問い合わせ（Recursive Query）に応答しないように設定しているか</t>
  </si>
  <si>
    <t>5.1.9.</t>
  </si>
  <si>
    <t>リモートアクセスサーバーにより内部セグメントに対し接続できる場合、適切なアクセス制限が設けられているか</t>
  </si>
  <si>
    <t>5.1.10.</t>
  </si>
  <si>
    <t>データセンター間を接続するネットワークは閉域網を利用しているか</t>
  </si>
  <si>
    <t>IOD.53</t>
  </si>
  <si>
    <t>5.1.11.</t>
  </si>
  <si>
    <t>利用していない機能を悪用した不正アクセスを防止するため、不要な通信を遮断し、必要最小限の通信のみを許可するよう設定しているか。
特に、インターネットからアクセスを直接受けるNW機器やサーバーについては、リフレクション攻撃の踏み台にされるケースがあるため、通信要件を限定すること。
（補足：特にtelnet、FTP、HTTP、NetBIOS、Windowsファイル共有（SMB/CIFS）等のサービス、およびリフレクション攻撃に使われやすい外部からのDNSリクエストや、SNMP、NTP、SSDP等のUDP通信）</t>
    <phoneticPr fontId="7"/>
  </si>
  <si>
    <t>IOD.54</t>
  </si>
  <si>
    <t>5.1.12.</t>
  </si>
  <si>
    <t>メンテナンス用ポート（SSH（Secure Shell）、RDP（Remote Desktop Protocol）、FTP（File Transfer Protocol） 等）について、外部からの通信をファイアウォールで遮断し、接続できる端末をIPアドレスやクライアント証明書等で制限しているか。
また、当該サービス自体を利用していない場合には、サービスの停止または削除を行っているか。</t>
    <rPh sb="114" eb="116">
      <t>セツゾク</t>
    </rPh>
    <rPh sb="119" eb="121">
      <t>タンマツ</t>
    </rPh>
    <rPh sb="137" eb="138">
      <t>ショ</t>
    </rPh>
    <rPh sb="140" eb="142">
      <t>セイゲン</t>
    </rPh>
    <phoneticPr fontId="7"/>
  </si>
  <si>
    <t>IOD.55</t>
  </si>
  <si>
    <t>5.1.13.</t>
  </si>
  <si>
    <t>システム運用業務で利用するメールアドレスにフリーメールを利用しない設計となっているか</t>
    <rPh sb="4" eb="6">
      <t>ウンヨウ</t>
    </rPh>
    <rPh sb="6" eb="8">
      <t>ギョウム</t>
    </rPh>
    <rPh sb="9" eb="11">
      <t>リヨウ</t>
    </rPh>
    <phoneticPr fontId="7"/>
  </si>
  <si>
    <t>IOD.56</t>
  </si>
  <si>
    <t>5.1.14.</t>
  </si>
  <si>
    <t>社内ＷＡＮ環境は閉域網を利用しているか</t>
  </si>
  <si>
    <t>IOD.57</t>
  </si>
  <si>
    <t>5.1.15.</t>
  </si>
  <si>
    <t>無線ＬＡＮ環境を構築する場合にはアクセス可能な通信回線の範囲を制限し、暗号化（ＡＥＳ以上の強度を持つ事・暗号キーの非開示, ESSIDのステルス化)・端末認証（802.1X認証）を実装しているか</t>
    <phoneticPr fontId="7"/>
  </si>
  <si>
    <t>IOD.58</t>
  </si>
  <si>
    <t>5.1.16</t>
    <phoneticPr fontId="7"/>
  </si>
  <si>
    <t>6. 個別要件</t>
    <rPh sb="3" eb="5">
      <t>コベツ</t>
    </rPh>
    <rPh sb="5" eb="7">
      <t/>
    </rPh>
    <phoneticPr fontId="7"/>
  </si>
  <si>
    <t>構築対象の端末について、常に基準となる時刻（システムリソースとの）と同期を取っているか</t>
    <rPh sb="5" eb="7">
      <t>タンマツ</t>
    </rPh>
    <phoneticPr fontId="7"/>
  </si>
  <si>
    <r>
      <t xml:space="preserve">構築対象の端末について、起動時および一定時間（１０分間）の無操作時は、ID・パスワードの入力を必要としているか。
</t>
    </r>
    <r>
      <rPr>
        <b/>
        <sz val="14"/>
        <color rgb="FFFF0000"/>
        <rFont val="Yu Gothic"/>
        <family val="3"/>
        <charset val="128"/>
        <scheme val="minor"/>
      </rPr>
      <t>（アウトソースシステムは、回答で「YES」を選択した場合、下記のうち該当する番号を備考欄に記入する。）</t>
    </r>
    <r>
      <rPr>
        <b/>
        <sz val="14"/>
        <rFont val="Yu Gothic"/>
        <family val="3"/>
        <charset val="128"/>
        <scheme val="minor"/>
      </rPr>
      <t xml:space="preserve">
</t>
    </r>
    <r>
      <rPr>
        <sz val="14"/>
        <rFont val="Yu Gothic"/>
        <family val="3"/>
        <charset val="128"/>
        <scheme val="minor"/>
      </rPr>
      <t>１．端末操作起動時および一定時間無操作時
２．端末操作起動時のみ</t>
    </r>
    <rPh sb="0" eb="2">
      <t>コウチク</t>
    </rPh>
    <rPh sb="2" eb="4">
      <t>タイショウ</t>
    </rPh>
    <rPh sb="5" eb="7">
      <t>タンマツ</t>
    </rPh>
    <rPh sb="12" eb="14">
      <t>キドウ</t>
    </rPh>
    <rPh sb="14" eb="15">
      <t>ジ</t>
    </rPh>
    <rPh sb="29" eb="30">
      <t>ム</t>
    </rPh>
    <rPh sb="30" eb="32">
      <t>ソウサ</t>
    </rPh>
    <rPh sb="32" eb="33">
      <t>ジ</t>
    </rPh>
    <phoneticPr fontId="7"/>
  </si>
  <si>
    <t>IOD.61</t>
  </si>
  <si>
    <t>構築対象のモバイル端末に内蔵記録媒体や外部記録媒体を装備する場合は保存されるデータを暗号化（ディスク単位での暗号化またはファイル単位での暗号化）するための機能を装備しているか</t>
    <rPh sb="0" eb="2">
      <t>コウチク</t>
    </rPh>
    <rPh sb="2" eb="4">
      <t>タイショウ</t>
    </rPh>
    <phoneticPr fontId="7"/>
  </si>
  <si>
    <t>IOD.62</t>
  </si>
  <si>
    <t>構築対象の端末について、端末間の通信を業務要件に基づいて必要最低限に制限、または遮断しているか。
攻撃者によりリモートコントロールされたユーザ端末から、周囲のユーザ端末へのファイル共有機能を悪用した内部侵害拡大を防止する。
ファイル共有が業務上必要な場合は監視を強化し、不正なファイル共有機能の利用を検知する。
ユーザ端末間の通信を制限する代表例は以下のようなものがある。
・Active Directoryのグループポリシー等を利用してファイル共有機能を停止するとともに、ユーザーによるファイル共有の新規作成を禁止する。
・パーソナルファイアウォール等のアクセス制御機能を用いて、ユーザ端末間の通信を遮断し、ウィルス定義ファイルやセキュリティパッチ自動配信等の運用管理に必要な通信のみ受付ける設定とする。
・ユーザー端末相互間において445/tcp、NetBIOS 137, 139での通信を禁止する、SMB v1（SMB 1.0/CIFSファイル共有）を無効化する。</t>
    <rPh sb="0" eb="2">
      <t>コウチク</t>
    </rPh>
    <rPh sb="2" eb="4">
      <t>タイショウ</t>
    </rPh>
    <rPh sb="5" eb="7">
      <t>タンマツ</t>
    </rPh>
    <phoneticPr fontId="7"/>
  </si>
  <si>
    <t>IOD.63</t>
  </si>
  <si>
    <r>
      <t xml:space="preserve">構築対象の端末について、端末内に本番データを保存できないようにしているか
保存する必要がある場合は、暗号化および外部媒体への書き出しを制御をしているか
</t>
    </r>
    <r>
      <rPr>
        <u/>
        <sz val="14"/>
        <rFont val="Yu Gothic"/>
        <family val="3"/>
        <charset val="128"/>
        <scheme val="minor"/>
      </rPr>
      <t xml:space="preserve">
</t>
    </r>
    <r>
      <rPr>
        <sz val="14"/>
        <color theme="1"/>
        <rFont val="Yu Gothic"/>
        <family val="3"/>
        <charset val="128"/>
        <scheme val="minor"/>
      </rPr>
      <t>また、上記暗号化に使用した暗号鍵は耐タンパー性を有する暗号モジュールへ格納すること。</t>
    </r>
    <rPh sb="16" eb="18">
      <t>ホンバン</t>
    </rPh>
    <rPh sb="80" eb="82">
      <t>ジョウキ</t>
    </rPh>
    <rPh sb="82" eb="85">
      <t>アンゴウカ</t>
    </rPh>
    <rPh sb="86" eb="88">
      <t>シヨウ</t>
    </rPh>
    <rPh sb="90" eb="92">
      <t>アンゴウ</t>
    </rPh>
    <rPh sb="92" eb="93">
      <t>カギ</t>
    </rPh>
    <rPh sb="94" eb="95">
      <t>タイ</t>
    </rPh>
    <rPh sb="99" eb="100">
      <t>セイ</t>
    </rPh>
    <rPh sb="101" eb="102">
      <t>ユウ</t>
    </rPh>
    <rPh sb="104" eb="106">
      <t>アンゴウ</t>
    </rPh>
    <rPh sb="112" eb="114">
      <t>カクノウ</t>
    </rPh>
    <phoneticPr fontId="3"/>
  </si>
  <si>
    <t>IOD.64</t>
  </si>
  <si>
    <t>6.1.6.</t>
  </si>
  <si>
    <t>社外に持ち出すことを前提とした端末・デバイスについては、以下のようなセキュリティ対策を行っているか。
・EDR、セキュアウェブゲートウェイ等端末に対するセキュリティ対策
・統合されたアカウント管理、デバイス管理システムの使用
　（例：Azure AD）
・端末へのログインには、多要素認証を利用
・端末紛失時の会社メールデータを含む保存データの遠隔消去または追跡可能であること
・端末紛失時に「紛失モード」や「アカウント無効化」を行い、業務継続を不可とすること
上記を満たせない場合は、下記の機能制限を全て行っているか。
・業務データの端末へのダウンロード制限
・ブラウザを使用する場合は、キャッシュの削除
・印刷の制限
・端末へのコピー＆ペースト機能の制限</t>
    <phoneticPr fontId="7"/>
  </si>
  <si>
    <t>2023/1/4追加
2023/7/3修正</t>
    <rPh sb="19" eb="21">
      <t>シュウセイ</t>
    </rPh>
    <phoneticPr fontId="7"/>
  </si>
  <si>
    <t>IOD.65</t>
  </si>
  <si>
    <t>6.1.7.</t>
  </si>
  <si>
    <r>
      <t>構築対象の端末はＵＳＢポートの利用を制限し、外部媒体を使用できない様にしているか（Windows PCに対するスマートフォン等のUSB接続対策を含む）
例外的に外部媒体の利用を認める端末を用意する場合は、以下の通り対応しているか。
　・外部媒体接続時の自動再生機能を停止
　・（外部媒体に書き出しを行う場合）通常の運用端末や業務端末とは別に書き出し用の端末を用意し、</t>
    </r>
    <r>
      <rPr>
        <sz val="14"/>
        <color theme="1"/>
        <rFont val="Yu Gothic"/>
        <family val="3"/>
        <charset val="128"/>
        <scheme val="minor"/>
      </rPr>
      <t>許可された利用者および外部媒体にのみに書き出しを制限するツールや仕組みを導入するとともに、自動的に暗号化を行う</t>
    </r>
    <rPh sb="185" eb="187">
      <t>キョカ</t>
    </rPh>
    <rPh sb="190" eb="193">
      <t>リヨウシャ</t>
    </rPh>
    <rPh sb="196" eb="198">
      <t>ガイブ</t>
    </rPh>
    <rPh sb="198" eb="200">
      <t>バイタイ</t>
    </rPh>
    <rPh sb="204" eb="205">
      <t>カ</t>
    </rPh>
    <rPh sb="206" eb="207">
      <t>ダ</t>
    </rPh>
    <rPh sb="209" eb="211">
      <t>セイゲン</t>
    </rPh>
    <rPh sb="217" eb="219">
      <t>シク</t>
    </rPh>
    <phoneticPr fontId="3"/>
  </si>
  <si>
    <t>6.1.8.</t>
    <phoneticPr fontId="7"/>
  </si>
  <si>
    <t>IOD.67</t>
  </si>
  <si>
    <t>6.1.9.</t>
  </si>
  <si>
    <t>構築対象の端末から社外へデータ提供する際は、電子メールもしくはデータへのアクセス制御（有効期限、メールアドレスに基づくアクセス制御）ができる電子ポストなどのサービスを使用する設計としているか。
また、電子メールは添付ファイルを自動的に暗号化する機能を実装し、暗号化パスワードは以下の対策を実施しているか。
・事前に送付先と取り決めたパスワードを使用する
・取り決めたパスワードはメール以外の方法で伝える</t>
    <phoneticPr fontId="3"/>
  </si>
  <si>
    <t>2023/1/4修正
2023/7/3修正</t>
    <rPh sb="8" eb="10">
      <t>シュウセイ</t>
    </rPh>
    <rPh sb="19" eb="21">
      <t>シュウセイ</t>
    </rPh>
    <phoneticPr fontId="7"/>
  </si>
  <si>
    <t>IOD.68</t>
  </si>
  <si>
    <t>6.1.10.</t>
  </si>
  <si>
    <t>構築対象の端末で使用するアカウントの権限を以下のように最小化しているか。
・ユーザー端末で使用するアカウントはDomain Usersグループに登録し（一般ユーザー権限とし）、管理者権限を付与しない。
・ユーザー端末のメンテナンスを行う場合は、Operatorsグループに登録したアカウント（ローカル管理者権限）を使用する。</t>
    <rPh sb="0" eb="2">
      <t>コウチク</t>
    </rPh>
    <rPh sb="2" eb="4">
      <t>タイショウ</t>
    </rPh>
    <rPh sb="5" eb="7">
      <t>タンマツ</t>
    </rPh>
    <rPh sb="21" eb="23">
      <t>イカ</t>
    </rPh>
    <phoneticPr fontId="7"/>
  </si>
  <si>
    <t>IOD.69</t>
  </si>
  <si>
    <t>6.1.11.</t>
  </si>
  <si>
    <t xml:space="preserve">構築対象のドメインの管理者アカウントを使用する業務を最小化しているか。
不用意な管理者アカウントの配布・拡散を防ぐため以下を実施する。
・ドメインの管理者アカウントは、普段使用するアカウントとは別に管理者専用のアカウントを割り当てる。
・当アカウントはドメインの管理者権限が必要となる業務に対してのみ許可する。
・当アカウントは特定の運用管理端末でのみ使用する。
</t>
    <rPh sb="0" eb="2">
      <t>コウチク</t>
    </rPh>
    <rPh sb="2" eb="4">
      <t>タイショウ</t>
    </rPh>
    <phoneticPr fontId="10"/>
  </si>
  <si>
    <t>6.1.12.</t>
  </si>
  <si>
    <r>
      <t xml:space="preserve">構築対象の端末が不特定のインターネットアクセスやメール送受信を行う場合、その出入口の経路において、IPS/IDSを用いて以下の対策を実装しているか。
・不正コードの検知と遮断、およびモニタリング
・アウトバウンドの不正通信の検知と遮断状、およびモニタリング
</t>
    </r>
    <r>
      <rPr>
        <b/>
        <sz val="14"/>
        <color rgb="FFFF0000"/>
        <rFont val="Yu Gothic"/>
        <family val="3"/>
        <charset val="128"/>
        <scheme val="minor"/>
      </rPr>
      <t xml:space="preserve">（回答で「YES」を選択した場合は、下記のうち該当する番号を備考欄に記入する。）
</t>
    </r>
    <r>
      <rPr>
        <sz val="14"/>
        <rFont val="Yu Gothic"/>
        <family val="3"/>
        <charset val="128"/>
        <scheme val="minor"/>
      </rPr>
      <t xml:space="preserve">1.対策、モニタリング共に実施している
2.対策はしていないがモニタリングは実施している
</t>
    </r>
    <rPh sb="0" eb="4">
      <t>コウチクタイショウ</t>
    </rPh>
    <rPh sb="5" eb="7">
      <t>タンマツ</t>
    </rPh>
    <rPh sb="31" eb="32">
      <t>オコナ</t>
    </rPh>
    <rPh sb="33" eb="35">
      <t>バアイ</t>
    </rPh>
    <rPh sb="38" eb="41">
      <t>デイリグチ</t>
    </rPh>
    <rPh sb="42" eb="44">
      <t>ケイロ</t>
    </rPh>
    <rPh sb="57" eb="58">
      <t>モチ</t>
    </rPh>
    <rPh sb="60" eb="62">
      <t>イカ</t>
    </rPh>
    <rPh sb="63" eb="65">
      <t>タイサク</t>
    </rPh>
    <rPh sb="66" eb="68">
      <t>ジッソウ</t>
    </rPh>
    <phoneticPr fontId="7"/>
  </si>
  <si>
    <t>6.1.13.</t>
  </si>
  <si>
    <t>構築対象の端末が不特定のインターネットアクセスや外部からのメール受信を行う場合、EDRや振舞検知製品の導入や、NW上にIDS/IPS等を導入することにより、社内システムとのデータ送受信の内容をチェックしているか。
また、不正コードの実行や不審な通信が検知された場合に、検知内容や遮断状況に応じて必要な対策をとるための手順およびツールを準備しているか。</t>
    <rPh sb="24" eb="26">
      <t>ガイブ</t>
    </rPh>
    <phoneticPr fontId="10"/>
  </si>
  <si>
    <t>6.1.14.</t>
  </si>
  <si>
    <t>構築対象の端末が不特定のインターネットアクセスや外部からのメール受信を行う場合、万が一不審ファイルをダウンロードしてしまった場合でも、不用意に実行されないための以下のような制限を行っているか。
・ 許可したプログラム・プロセスのみ実行可能とする。
・ PowerShellやWSH（Windows Scripting Host）を無効化して不必要なコマンドやスクリプトの実行をブロックする。</t>
    <rPh sb="80" eb="82">
      <t>イカ</t>
    </rPh>
    <phoneticPr fontId="7"/>
  </si>
  <si>
    <t>IOD.73</t>
  </si>
  <si>
    <t>6.1.15.</t>
  </si>
  <si>
    <t>構築対象の端末が不特定のインターネットアクセスや外部からのメール受信を行う場合、以下の条件をもとに端末内のファイルの保持条項や不正なアクセス履歴の有無を調べるための仕組み(例えばEDRなど)を構築しているか。
・任意のハッシュ値やファイル名をキーに、保持状況を調査する
・任意のURLやIPアドレスをキーに、アクセス履歴を調査する</t>
    <rPh sb="40" eb="42">
      <t>イカ</t>
    </rPh>
    <rPh sb="43" eb="45">
      <t>ジョウケン</t>
    </rPh>
    <rPh sb="58" eb="60">
      <t>ホジ</t>
    </rPh>
    <rPh sb="60" eb="62">
      <t>ジョウコウ</t>
    </rPh>
    <rPh sb="70" eb="72">
      <t>リレキ</t>
    </rPh>
    <rPh sb="76" eb="77">
      <t>シラ</t>
    </rPh>
    <rPh sb="86" eb="87">
      <t>タト</t>
    </rPh>
    <rPh sb="107" eb="109">
      <t>ニンイ</t>
    </rPh>
    <rPh sb="126" eb="128">
      <t>ホジ</t>
    </rPh>
    <rPh sb="128" eb="130">
      <t>ジョウキョウ</t>
    </rPh>
    <rPh sb="131" eb="133">
      <t>チョウサ</t>
    </rPh>
    <rPh sb="137" eb="139">
      <t>ニンイ</t>
    </rPh>
    <rPh sb="159" eb="161">
      <t>リレキ</t>
    </rPh>
    <rPh sb="162" eb="164">
      <t>チョウサ</t>
    </rPh>
    <phoneticPr fontId="7"/>
  </si>
  <si>
    <t>IOD.74</t>
  </si>
  <si>
    <t>6.1.16.</t>
  </si>
  <si>
    <t>構築対象の端末が不特定のインターネットアクセスや外部からのメール受信を行う場合、本番サーバのメンテナンス用ポートへの通信（SSHやRDP、FTPなど）を不可としているか</t>
  </si>
  <si>
    <t>IOD.75</t>
  </si>
  <si>
    <t>6.1.17.</t>
  </si>
  <si>
    <t>IOD.76</t>
  </si>
  <si>
    <t>6.1.18.</t>
    <phoneticPr fontId="7"/>
  </si>
  <si>
    <t xml:space="preserve">不特定からのメールを受信、かつ、不特定のインターネットへ直接アクセス可能な端末を構築する場合、不正なリンクが貼られたメールがフィルタリングをすり抜けた場合に備え、不正サイトへのアクセスを抑止できるようになっているか
不正サイトへの対策には以下のようなものがある。
・外部サイトへのURLリンクを一部加工する等のメール無害化を行う。
・仮想ブラウザにより端末とインターネットを分離する。
</t>
  </si>
  <si>
    <t>IOD.77</t>
  </si>
  <si>
    <t>6.1.19.</t>
    <phoneticPr fontId="7"/>
  </si>
  <si>
    <t>会社もしくは社員が所有する業務用途のタブレット端末については、以下の機能を装備しているか。
・端末への業務データのダウンロード・印刷・複製の制限
・会社メールを使用する場合、メールデータの暗号化及び3日を経過したメールの自動削除
・端末紛失時の、会社メールデータを含む保存データの遠隔消去
・10分間無操作時のパスコードロック強制</t>
    <rPh sb="149" eb="150">
      <t>アイダ</t>
    </rPh>
    <rPh sb="150" eb="151">
      <t>ム</t>
    </rPh>
    <rPh sb="151" eb="153">
      <t>ソウサ</t>
    </rPh>
    <rPh sb="153" eb="154">
      <t>ジ</t>
    </rPh>
    <phoneticPr fontId="7"/>
  </si>
  <si>
    <t>IOD.78</t>
  </si>
  <si>
    <t>6.1.20.</t>
    <phoneticPr fontId="7"/>
  </si>
  <si>
    <t>不特定からのメールを受信できるメール環境を構築する場合、あるいはメール受信を行う端末を構築する場合は、発信元のドメインやIPアドレス（特定のIPアドレス，海外等），メールの件名・本文に含まれるキーワード等の条件により、メールを遮断する機能を有しているか</t>
    <rPh sb="0" eb="3">
      <t>フトクテイ</t>
    </rPh>
    <rPh sb="10" eb="12">
      <t>ジュシン</t>
    </rPh>
    <rPh sb="35" eb="37">
      <t>ジュシン</t>
    </rPh>
    <rPh sb="113" eb="115">
      <t>シャダン</t>
    </rPh>
    <rPh sb="117" eb="119">
      <t>キノウ</t>
    </rPh>
    <rPh sb="120" eb="121">
      <t>ユウ</t>
    </rPh>
    <phoneticPr fontId="7"/>
  </si>
  <si>
    <t>IOD.79</t>
  </si>
  <si>
    <t>6.1.21.</t>
  </si>
  <si>
    <t>不特定からのメールを受信できるメール環境を構築する場合、あるいはメール受信を行う端末を構築する場合は、スパムメールや添付ファイルをフィルタリングし、実行形式の添付ファイルおよび実行形式のファイルを圧縮したものである場合はメールゲートウェイやメールサーバでドロップし、ユーザの手元に届かないようにしているか
（パスワード付き圧縮ファイル等、ファイル形式を技術的に判別できない場合を除く）
単体で実行される形式の添付ファイルは以下のようなものがある。
exe、bat、js、link、jar、chm、CMD、com、cpl、dll、hta、JSE、msc、ocx、pif、scr、sys、vbs、vbe、wsf、wsh等　</t>
    <phoneticPr fontId="7"/>
  </si>
  <si>
    <t>IOD.80</t>
  </si>
  <si>
    <t>6.1.22.</t>
  </si>
  <si>
    <t xml:space="preserve">不特定からのメールを受信する場合、メールサーバにパターンマッチとヒューリスティックスキャンの両方に対応したアンチウイルスソフトウエアを導入しているか。
</t>
  </si>
  <si>
    <t>IOD.81</t>
  </si>
  <si>
    <t>6.1.23.</t>
  </si>
  <si>
    <t>不特定からのメールを受信する場合、一定時間内の受信メール上限数を制限する仕組みを導入しているか</t>
  </si>
  <si>
    <t>IOD.82</t>
  </si>
  <si>
    <t>6.1.24.</t>
  </si>
  <si>
    <t>不特定からのメールを受信する場合、送信ドメイン認証を確認する対策（SPF、DKIM、DMARCなど）を実施しているか。
また、件名になりすましの可能性があるメールである旨の警告を付ける等、ユーザーへの注意を促すものを含め実施しているか。</t>
  </si>
  <si>
    <t>IOD.83</t>
  </si>
  <si>
    <t>6.1.25.</t>
  </si>
  <si>
    <t>メールサーバを構築して社外にメールを送信する場合、送信ドメイン認証を設定して（SPF、DKIM、DMARCなど）当社から正規に送付したメールであることを、受信者（お客様、代理店、ビジネスパートナー、その他社外の宛先）が確認できるようにしているか</t>
  </si>
  <si>
    <t>IOD.84</t>
  </si>
  <si>
    <t>6.1.26.</t>
  </si>
  <si>
    <t>メールサーバを構築して社外にメールを送信する場合、社外へのメール自動転送機能は使用できない様にしているか</t>
    <rPh sb="11" eb="13">
      <t>シャガイ</t>
    </rPh>
    <phoneticPr fontId="7"/>
  </si>
  <si>
    <t>IOD.85</t>
  </si>
  <si>
    <t>6.1.27.</t>
  </si>
  <si>
    <r>
      <t>任意の添付ファイルを社外に送信できるメール環境を構築する場合、あるいは外部へのメール送信を行う端末を構築する場合は、重要情報検知システム等により、送信時に上司の承認を求める、もしくは写に上司を設定しなければ送信できない仕組みとし</t>
    </r>
    <r>
      <rPr>
        <sz val="14"/>
        <color theme="1"/>
        <rFont val="Yu Gothic"/>
        <family val="3"/>
        <charset val="128"/>
        <scheme val="minor"/>
      </rPr>
      <t>、管理者が不正な送付でないことをモニタリングしているか。
もし現地法制・現地慣習などを踏まえ、上記対策が実施できない場合は個別にITサービス管理部へ相談すること</t>
    </r>
    <rPh sb="166" eb="168">
      <t>ジッシ</t>
    </rPh>
    <rPh sb="184" eb="186">
      <t>カンリ</t>
    </rPh>
    <rPh sb="186" eb="187">
      <t>ブ</t>
    </rPh>
    <rPh sb="188" eb="190">
      <t>ソウダン</t>
    </rPh>
    <phoneticPr fontId="3"/>
  </si>
  <si>
    <t>2023/1/4修正</t>
    <phoneticPr fontId="7"/>
  </si>
  <si>
    <t>IOD.86</t>
  </si>
  <si>
    <t>6.1.28.</t>
  </si>
  <si>
    <t>メールサーバーを新規構築する場合は電子メールが外部間の不正な中継ツールとならないためにオープンリレー対策を行っているか</t>
  </si>
  <si>
    <t>IOD.87</t>
  </si>
  <si>
    <t>6.1.29.</t>
  </si>
  <si>
    <t>構築対象のプロキシの認証機能を有効にし、インターネットへの通信について以下の要件を踏まえた上で認証を行うようにしているか
・プロキシは、ユーザ管理機能付またはディレクトリサービスと連携可能でユーザ単位で認証が可能になっているか。
・ユーザで認証する場合は、Basic認証ではなく、Digest認証やNTLM認証等の認証方式を採用しているか。
・端末やサーバで認証する場合は、証明書を登録したデバイス単位で認証が可能になっているか。</t>
    <rPh sb="0" eb="2">
      <t>コウチク</t>
    </rPh>
    <rPh sb="2" eb="4">
      <t>タイショウ</t>
    </rPh>
    <rPh sb="35" eb="37">
      <t>イカ</t>
    </rPh>
    <rPh sb="38" eb="40">
      <t>ヨウケン</t>
    </rPh>
    <rPh sb="41" eb="42">
      <t>フ</t>
    </rPh>
    <rPh sb="45" eb="46">
      <t>ウエ</t>
    </rPh>
    <phoneticPr fontId="7"/>
  </si>
  <si>
    <t>IOD.88</t>
  </si>
  <si>
    <t>6.1.30.</t>
  </si>
  <si>
    <t>構築対象のプロキシにおいて一定時間操作が行われなかった場合のタイムアウトが設定されているか</t>
  </si>
  <si>
    <t>インフラチェックシート（AWS版）</t>
    <phoneticPr fontId="7"/>
  </si>
  <si>
    <t>構築対象システムがAWS（IaaSとしての利用）を前提としています。</t>
    <rPh sb="0" eb="2">
      <t>コウチク</t>
    </rPh>
    <rPh sb="2" eb="4">
      <t>タイショウ</t>
    </rPh>
    <rPh sb="21" eb="23">
      <t>リヨウ</t>
    </rPh>
    <rPh sb="25" eb="27">
      <t>ゼンテイ</t>
    </rPh>
    <phoneticPr fontId="7"/>
  </si>
  <si>
    <r>
      <rPr>
        <b/>
        <sz val="16"/>
        <color rgb="FFFF0000"/>
        <rFont val="Yu Gothic"/>
        <family val="3"/>
        <charset val="128"/>
        <scheme val="minor"/>
      </rPr>
      <t>E列とF列にそれぞれ要件を記載していますので、両方を踏まえて</t>
    </r>
    <r>
      <rPr>
        <sz val="16"/>
        <rFont val="Yu Gothic"/>
        <family val="3"/>
        <charset val="128"/>
        <scheme val="minor"/>
      </rPr>
      <t>回答欄と備考欄へご回答ください。</t>
    </r>
    <rPh sb="1" eb="2">
      <t>レツ</t>
    </rPh>
    <rPh sb="4" eb="5">
      <t>レツ</t>
    </rPh>
    <rPh sb="10" eb="12">
      <t>ヨウケン</t>
    </rPh>
    <rPh sb="13" eb="15">
      <t>キサイ</t>
    </rPh>
    <rPh sb="23" eb="25">
      <t>リョウホウ</t>
    </rPh>
    <rPh sb="26" eb="27">
      <t>フ</t>
    </rPh>
    <phoneticPr fontId="7"/>
  </si>
  <si>
    <t>どちらかの列が白抜きの場合は、白抜き箇所についてご回答ください。当社の共通基盤利用時など、基盤側で自動的に満たされる項目はグレーアウトしています。</t>
    <rPh sb="5" eb="6">
      <t>レツ</t>
    </rPh>
    <rPh sb="7" eb="9">
      <t>シロヌ</t>
    </rPh>
    <rPh sb="11" eb="13">
      <t>バアイ</t>
    </rPh>
    <rPh sb="15" eb="17">
      <t>シロヌ</t>
    </rPh>
    <rPh sb="18" eb="20">
      <t>カショ</t>
    </rPh>
    <rPh sb="25" eb="27">
      <t>カイトウ</t>
    </rPh>
    <rPh sb="32" eb="34">
      <t>トウシャ</t>
    </rPh>
    <rPh sb="35" eb="37">
      <t>キョウツウ</t>
    </rPh>
    <rPh sb="37" eb="39">
      <t>キバン</t>
    </rPh>
    <rPh sb="39" eb="41">
      <t>リヨウ</t>
    </rPh>
    <rPh sb="41" eb="42">
      <t>ジ</t>
    </rPh>
    <rPh sb="45" eb="47">
      <t>キバン</t>
    </rPh>
    <rPh sb="47" eb="48">
      <t>ガワ</t>
    </rPh>
    <rPh sb="49" eb="52">
      <t>ジドウテキ</t>
    </rPh>
    <rPh sb="53" eb="54">
      <t>ミ</t>
    </rPh>
    <rPh sb="58" eb="60">
      <t>コウモク</t>
    </rPh>
    <phoneticPr fontId="7"/>
  </si>
  <si>
    <t>AWS追加要件</t>
    <rPh sb="3" eb="5">
      <t>ツイカ</t>
    </rPh>
    <rPh sb="5" eb="7">
      <t>ヨウケン</t>
    </rPh>
    <phoneticPr fontId="7"/>
  </si>
  <si>
    <t>AWS</t>
    <phoneticPr fontId="7"/>
  </si>
  <si>
    <t>AWS仮想化基盤(インフラ)</t>
    <rPh sb="3" eb="6">
      <t>カソウカ</t>
    </rPh>
    <rPh sb="6" eb="8">
      <t>キバン</t>
    </rPh>
    <phoneticPr fontId="7"/>
  </si>
  <si>
    <t>AWS仮想化基盤(クラウド)</t>
    <rPh sb="3" eb="6">
      <t>カソウカ</t>
    </rPh>
    <rPh sb="6" eb="8">
      <t>キバン</t>
    </rPh>
    <phoneticPr fontId="7"/>
  </si>
  <si>
    <t>DevOps基盤(インフラ)</t>
    <rPh sb="6" eb="8">
      <t>キバン</t>
    </rPh>
    <phoneticPr fontId="7"/>
  </si>
  <si>
    <t>DevOps基盤(クラウド)</t>
    <rPh sb="6" eb="8">
      <t>キバン</t>
    </rPh>
    <phoneticPr fontId="7"/>
  </si>
  <si>
    <t>FaaS基盤1.0
(インフラ)</t>
    <rPh sb="4" eb="6">
      <t>キバン</t>
    </rPh>
    <phoneticPr fontId="7"/>
  </si>
  <si>
    <t>FaaS基盤1.0
(クラウド)</t>
    <rPh sb="4" eb="6">
      <t>キバン</t>
    </rPh>
    <phoneticPr fontId="7"/>
  </si>
  <si>
    <t>FaaS基盤2.0/2.5
(インフラ)</t>
    <rPh sb="4" eb="6">
      <t>キバン</t>
    </rPh>
    <phoneticPr fontId="7"/>
  </si>
  <si>
    <t>FaaS基盤2.0/2.5
(クラウド)</t>
    <rPh sb="4" eb="6">
      <t>キバン</t>
    </rPh>
    <phoneticPr fontId="7"/>
  </si>
  <si>
    <t>クラウド独自要件。
クラウド利用時は右記を参照。</t>
    <rPh sb="4" eb="8">
      <t>ドクジヨウケン</t>
    </rPh>
    <rPh sb="14" eb="16">
      <t>リヨウ</t>
    </rPh>
    <rPh sb="16" eb="17">
      <t>ジ</t>
    </rPh>
    <rPh sb="18" eb="20">
      <t>ウキ</t>
    </rPh>
    <rPh sb="21" eb="23">
      <t>サンショウ</t>
    </rPh>
    <phoneticPr fontId="7"/>
  </si>
  <si>
    <t>AWSアカウントをシステム毎に分割する。
また、同一システムであっても、本番/開発間はAWSアカウントを分割する。</t>
    <phoneticPr fontId="7"/>
  </si>
  <si>
    <t>左記に加え、IAMユーザーのユーザー名（フレンドリ名）と個人は一対一の関係とする。</t>
    <phoneticPr fontId="7"/>
  </si>
  <si>
    <t>IAS.3</t>
  </si>
  <si>
    <t>左記の通り。AWS環境固有の追加要件なし。</t>
    <rPh sb="0" eb="2">
      <t>サキ</t>
    </rPh>
    <rPh sb="3" eb="4">
      <t>トオ</t>
    </rPh>
    <rPh sb="11" eb="13">
      <t>コユウ</t>
    </rPh>
    <rPh sb="14" eb="16">
      <t>ツイカ</t>
    </rPh>
    <rPh sb="16" eb="18">
      <t>ヨウケン</t>
    </rPh>
    <phoneticPr fontId="7"/>
  </si>
  <si>
    <t>IAS.4</t>
  </si>
  <si>
    <t xml:space="preserve">・AWSアカウントIDは12桁で固定されている。ルートユーザーのIDはメールアドレスが設定されている。
・IAMで用いられるユーザー名（フレンドリ名）は1桁以上の文字列で作成が可能であるが7桁以上で作成する。
</t>
    <phoneticPr fontId="7"/>
  </si>
  <si>
    <t>IAS.5</t>
  </si>
  <si>
    <t>・AWSアカウント環境では、IAMにおいて、特認ＩＤに相当するIAMユーザーまたはIAMロールを作成する。
・新たな特認ＩＤ種類やアクセス権限を追加していないかマネジメントコンソールまたはCLI等で定期的に確認する。
・または、CloudTrailログからIAMアイデンティティ作成を検知する仕組みを作る方法もあるため、必要に応じて検討する。</t>
    <phoneticPr fontId="7"/>
  </si>
  <si>
    <t>IAS.6</t>
  </si>
  <si>
    <t>1.1.6.</t>
  </si>
  <si>
    <t xml:space="preserve">・サーバーOSのデフォルトユーザーについては、Amazon Inspectorを利用して、不要なシステムアカウントがOS内部に残存していないか確認できるため、必要に応じて利用する。
</t>
    <phoneticPr fontId="7"/>
  </si>
  <si>
    <t>IAS.7</t>
    <phoneticPr fontId="7"/>
  </si>
  <si>
    <t>左記に加え、以下対策を実施する。
・AWSマネジメントコンソールにアクセスする必要がある場合は、IAMにて該当ユーザーのID（フレンドリ名）とパスワードを発行し、接続元IPアドレス制限に加えて、AWSが提供するMFA（多要素認証）の利用を必須とする（どちらか一方ではない）。
・AWSアカウントのルートユーザーはMFA（多要素認証）を必須とする。この際、該当ユーザは接続元IPアドレス制限ができないため、AWS環境にてワンタイムパスワードを利用する。
・IAM ユーザーがAPI コール、AWS CLI、Tools for Windows PowerShell のいずれかを使用する場合は、該当ユーザーのアクセスキー (アクセスキー ID とシークレットアクセスキー) を発行するとともに、IAMポリシーを利用して接続元IPアドレス制限を実装する。
・ベストプラクティスとして、ユーザーが必要とする認証情報のみを作成する。たとえば、AWS マネジメントコンソール を介したアクセスのみ必要なユーザーには、アクセスキーを作成しない。
・また、ルートユーザーのアクセスキー発行は禁止とする。
・EC2インスタンスからリソースへアクセスする際には、アクセスキーではなくインスタンスロールを利用する。</t>
    <phoneticPr fontId="7"/>
  </si>
  <si>
    <t>2021/12/1修正
2023/7/3修正</t>
    <rPh sb="20" eb="22">
      <t>シュウセイ</t>
    </rPh>
    <phoneticPr fontId="7"/>
  </si>
  <si>
    <t>IAS.8</t>
    <phoneticPr fontId="7"/>
  </si>
  <si>
    <t>左記に加え、IAMユーザーを対象とする。</t>
    <rPh sb="14" eb="16">
      <t>タイショウ</t>
    </rPh>
    <phoneticPr fontId="7"/>
  </si>
  <si>
    <t>IAS.9</t>
  </si>
  <si>
    <t>左記に加え、IAMユーザーの作成時において、初期パスワードをランダムにし、初回ログイン時にユーザーにパスワード変更を強制する。</t>
    <phoneticPr fontId="7"/>
  </si>
  <si>
    <t>IAS.10</t>
  </si>
  <si>
    <r>
      <rPr>
        <b/>
        <sz val="14"/>
        <color rgb="FFFF0000"/>
        <rFont val="Yu Gothic"/>
        <family val="3"/>
        <charset val="128"/>
        <scheme val="minor"/>
      </rPr>
      <t>（注意）本セルは、記載が多く表示に収まっていないため、セル末尾の★★★ここまで★★★まで確認すること</t>
    </r>
    <r>
      <rPr>
        <sz val="14"/>
        <rFont val="Yu Gothic"/>
        <family val="3"/>
        <charset val="128"/>
        <scheme val="minor"/>
      </rPr>
      <t xml:space="preserve">
左記に加え、IAMユーザーを対象に以下のように設定する。
・IAMユーザーのアクセスキーを定期的に更新する。
・IAMユーザーのパスワードポリシーにおいて、英字（大文字・小文字）、数字、記号の４種類かつ10桁以上を強制する。
・IAMユーザーのパスワードポリシーにおいて、指定した数の以前のパスワード（ 1 ～ 24 の範囲で設定可能）を IAM ユーザーが再利用することを禁止する。
・ユーザーID（フレンドリ名）と同じ文字列を含むパスワードの設定は禁止する。
・AWSの仕様により、IAMユーザーのパスワードの入力エラーによるアカウントロック機能は提供されていないため、代替手段としてAWSアカウントのルートユーザーに対して、ワンタイムパスワードを適用する。
また、左記b群の要件が満たせない場合の代替策「ユーザのパスワード有効期限を９０日以内」の実現方法として、IAMユーザーのパスワードポリシーを用いた、パスワードの有効期限90日以内の設定が可能である。
以下はAWSの仕様により自動的に満たされる。
・パスワード有効期限の15 日以内になると、AWS マネジメントコンソール で IAM ユーザーにユーザーに警告が表示される。
・IAMユーザーのパスワードポリシーにおいて、指定した期間が経過したら、IAM ユーザーにパスワードを変更するよう、強制的に要求される。
</t>
    </r>
    <r>
      <rPr>
        <b/>
        <sz val="14"/>
        <color rgb="FFFF0000"/>
        <rFont val="Yu Gothic"/>
        <family val="3"/>
        <charset val="128"/>
        <scheme val="minor"/>
      </rPr>
      <t>★★★ここまで★★★</t>
    </r>
    <phoneticPr fontId="7"/>
  </si>
  <si>
    <t>IAS.11</t>
  </si>
  <si>
    <t>マネジメントコンソールにアクセスするブラウザにおいて、ブラウザの機能などでパスワードが保存できる場合、当該機能も利用しないこと。</t>
    <phoneticPr fontId="7"/>
  </si>
  <si>
    <t>IAS.12</t>
  </si>
  <si>
    <t xml:space="preserve">AWSとしては下記のとおり対応されるため、構築するサーバについて左記のように対応する。
・AWSマネジメントコンソールのパスワード保存時の暗号化については、AWSの責任範囲であり、非開示である。
・AWS マネジメントコンソールでは、AWS サービス管理トラフィックを保護するために、クライアントブラウザとコンソールサービスエンドポイントの間でTLS が使用され、トラフィックが暗号化されている。
</t>
    <rPh sb="7" eb="9">
      <t>カキ</t>
    </rPh>
    <rPh sb="13" eb="15">
      <t>タイオウ</t>
    </rPh>
    <rPh sb="21" eb="23">
      <t>コウチク</t>
    </rPh>
    <rPh sb="32" eb="34">
      <t>サキ</t>
    </rPh>
    <rPh sb="38" eb="40">
      <t>タイオウ</t>
    </rPh>
    <phoneticPr fontId="7"/>
  </si>
  <si>
    <t>IAS.13</t>
  </si>
  <si>
    <t>アクセスキーの受け渡し等では、AWS Systems Managerのパラメータストアや、AWS Secrets managerを活用する。</t>
  </si>
  <si>
    <t>IAS.14</t>
  </si>
  <si>
    <t>AWSマネジメントコンソールでは、最終ログイン日時を表示することができない。このため、対象となるIAMアイデンティティの最終ログイン時刻を確認するためにCloudTrailを利用し、必要時に確認できるよう運用設計する。</t>
    <phoneticPr fontId="7"/>
  </si>
  <si>
    <t>IAS.15</t>
  </si>
  <si>
    <t>1.2.9.</t>
    <phoneticPr fontId="7"/>
  </si>
  <si>
    <t>・左記に加え、AWSマネジメントコンソールおよび、アクセスキーを利用した操作についても考慮する。
・ただし、AWSマネジメントコンソールでは、同一IDによる同時使用を制限する機能は提供されていないため、必要時にログイン履歴が確認できるよう運用設計する。また、運用ルールにて同一IDの利用を禁止する。</t>
    <phoneticPr fontId="7"/>
  </si>
  <si>
    <t>IAS.16</t>
    <phoneticPr fontId="7"/>
  </si>
  <si>
    <r>
      <rPr>
        <b/>
        <sz val="14"/>
        <color rgb="FFFF0000"/>
        <rFont val="Yu Gothic"/>
        <family val="3"/>
        <charset val="128"/>
        <scheme val="minor"/>
      </rPr>
      <t xml:space="preserve">（注意）本セルは、記載が多く表示に収まっていないため、セル末尾の★★★ここまで★★★まで確認すること
</t>
    </r>
    <r>
      <rPr>
        <sz val="14"/>
        <rFont val="Yu Gothic"/>
        <family val="3"/>
        <charset val="128"/>
        <scheme val="minor"/>
      </rPr>
      <t xml:space="preserve">AWSのマネジメントコンソールへのアクセス元端末に応じて、当社外AWSアカウントへのアクセス制限のための対策を実施する。セルのコメントもあわせて参照願う。
(1)共通的な対策
AWSの純正サービスでは、当社外AWSアカウントへのアクセスを制限できない。
このため、以下をもってリスク低減すること。
・マネジメントコンソールにおいて、機密情報などを持つリソースに対するデータの閲覧・取得・削除などが実施できないような権限設計を実施する。
・AWS環境であっても、不要なリソース共有は実施しない。
・AWS環境では、異なるAWSアカウントはリソースが共有されない。リソースを共有する必要がある場合には、共有する側のAWSアカウントにて必要な設定をする。
(2)ケース別の対策
a.内製システムであり、かつ、TMNF・ALの機密情報が入り得る端末からマネジメントコンソールへアクセスする場合
b.内製システムであり、かつ、アクセス元端末にTMNFの機密情報が存在しないが、アクセス先のAWS環境に対し、上記(1)の端末からのアクセスもありえる場合
上記a、bのいずれかに該当する場合は、当社外のAWSアカウントへのアクセスを禁止するためのProxy(McAfee UCE)を通してマネジメントコンソールへアクセスを行うこと。
</t>
    </r>
    <r>
      <rPr>
        <b/>
        <sz val="14"/>
        <color rgb="FFFF0000"/>
        <rFont val="Yu Gothic"/>
        <family val="3"/>
        <charset val="128"/>
        <scheme val="minor"/>
      </rPr>
      <t>★★★ここまで★★★</t>
    </r>
    <phoneticPr fontId="7"/>
  </si>
  <si>
    <t>2022/4/1修正
2023/7/3修正</t>
    <rPh sb="8" eb="10">
      <t>シュウセイ</t>
    </rPh>
    <rPh sb="19" eb="21">
      <t>シュウセイ</t>
    </rPh>
    <phoneticPr fontId="7"/>
  </si>
  <si>
    <t>IAS.17</t>
  </si>
  <si>
    <r>
      <rPr>
        <b/>
        <sz val="14"/>
        <color rgb="FFFF0000"/>
        <rFont val="Yu Gothic"/>
        <family val="3"/>
        <charset val="128"/>
        <scheme val="minor"/>
      </rPr>
      <t xml:space="preserve">（注意）本セルは、記載が多く表示に収まっていないため、セル末尾の★★★ここまで★★★まで確認すること
</t>
    </r>
    <r>
      <rPr>
        <sz val="14"/>
        <rFont val="Yu Gothic"/>
        <family val="3"/>
        <charset val="128"/>
        <scheme val="minor"/>
      </rPr>
      <t xml:space="preserve">左記要件の実現方法として、IAMユーザーやIAMロールのアクセス制御は、IAMによるポリシーによって管理が可能である。
以下のようにアクセス権限を設計すること。
【ルートユーザ】
・当ユーザーは最大の権限を保有しているため厳重に管理し、日常の運用には利用しない。
【IAMの管理者】
・業務上の必要最小限の権限を付与する。特に、請求処理、システム環境全体の可用性、AWSアカウントのセキュリティ設定に関する操作権限は付与しないようにする。（AdministratorAccessなどは、利用が必要な場合に限る）
・具体的に気をつける対象として、暗号鍵管理、ネットワーク機能を提供するVPC、アクセス管理機能を提供するIAM、データ取扱の観点で、S3、RDS、DynamoDBなどがあげられる。
・暗号鍵管理(生成・ローテーション・削除)の権限は、専用のIAMユーザを用意し、他の高権限を持つIAMユーザーには付与しない。
【IAMの運用者】
・一元管理の観点から、インラインポリシーではなくカスタマー管理ポリシーを使用する。
・ポリシーによって許可されているアクセスレベルは、AWS マネジメントコンソールで「ポリシー概要」、「サービス概要」、「アクション概要」を利用して確認する。
・個別要件がない限り、IAMポリシーは運用効率化の観点から、IAMユーザーの所属するIAMグループに適用する。
・本番データを格納するDBやストレージ（S3など）へのアクセス権限を持つ運用者であっても、担当業務上、データの中身を参照する必要がない場合は、暗号鍵の管理権限および復号権限を付与しない。
【IAMロール】
・役割に応じて最小権限を設定する。
</t>
    </r>
    <r>
      <rPr>
        <b/>
        <sz val="14"/>
        <color rgb="FFFF0000"/>
        <rFont val="Yu Gothic"/>
        <family val="3"/>
        <charset val="128"/>
        <scheme val="minor"/>
      </rPr>
      <t>★★★ここまで★★★</t>
    </r>
    <phoneticPr fontId="7"/>
  </si>
  <si>
    <t>IAS.18</t>
  </si>
  <si>
    <t xml:space="preserve">左記の通り。AWS環境固有の追加要件なし。
</t>
    <rPh sb="0" eb="2">
      <t>サキ</t>
    </rPh>
    <rPh sb="3" eb="4">
      <t>トオ</t>
    </rPh>
    <rPh sb="11" eb="13">
      <t>コユウ</t>
    </rPh>
    <rPh sb="14" eb="16">
      <t>ツイカ</t>
    </rPh>
    <rPh sb="16" eb="18">
      <t>ヨウケン</t>
    </rPh>
    <phoneticPr fontId="7"/>
  </si>
  <si>
    <t>IAS.19</t>
  </si>
  <si>
    <t>1.3.4.</t>
  </si>
  <si>
    <r>
      <t>・AWS環境であっても、OSレイヤ以上のログは利用者により取得し、保管する。
・AWS環境特有のログとして、AWS CloudTrailの取得時は以下の利用方針とする。CloudTrailで取得したログについては、第三者からの改ざん防止のため、ログに対するアクセス権の制御、暗号化かつ整合性確認を有効にする。
－利用可能な全てのリージョンでCloudTrailを有効化する
－AWSCloudTrailFullAccessポリシーへのアクセスを制限する
－AWS Configにて各設定が変更・無効化されないよう検知設定する
－CloudTrailのログをS3バケットに出力する
－専有・一元化されたS3バケットへログを出力する
－ログを保管するS3バケットへのアクセス権を最小限にする
－CloudTrailのログが保管されるS3バケットに対してS3 Multi Factor Authentication（MFA）Deleteを設定する。</t>
    </r>
    <r>
      <rPr>
        <sz val="14"/>
        <color theme="1"/>
        <rFont val="Yu Gothic"/>
        <family val="3"/>
        <charset val="128"/>
        <scheme val="minor"/>
      </rPr>
      <t>ただし、ログの洗い替えを設計する際の阻害要因となる場合は、当該設定の採用は任意とする
－ログアーカイブ用のAWSアカウントを作成しログを集約する
－ログはAWS KMSを使用して暗号化する
－ログファイルの整合性検証を有効化する
－CloudWatch Logsなどの統合ログ監視製品と連携する</t>
    </r>
    <rPh sb="33" eb="35">
      <t xml:space="preserve">ホカン </t>
    </rPh>
    <rPh sb="80" eb="81">
      <t xml:space="preserve">カイザン </t>
    </rPh>
    <rPh sb="83" eb="85">
      <t xml:space="preserve">ボウシ </t>
    </rPh>
    <phoneticPr fontId="19"/>
  </si>
  <si>
    <t>IAS.20</t>
    <phoneticPr fontId="7"/>
  </si>
  <si>
    <t>クラウド環境上で暗号化データがある場合、クラウドの利用解約時に暗号鍵を廃棄する。</t>
    <phoneticPr fontId="7"/>
  </si>
  <si>
    <t>IAS.21</t>
  </si>
  <si>
    <t xml:space="preserve">・左記に加え、AWS環境に個人情報（ログに個人情報が含まれるものも対象）を保存する場合は暗号化を必須とする。
・左記要件の実現方法として、AWS KMS を利用し、対象となるAWSサービス（EBS、RDS、S3など）のデータを暗号化する。
・更に、AWS IAMにおけるポリシーを利用して、誰が AWS リソースにアクセスできるか、またそれらのリソース上でどのようなアクションを実行できるかを指定する。
・CloudTrailを利用して左記同等のモニタリング体制を整備する。
</t>
    <phoneticPr fontId="7"/>
  </si>
  <si>
    <t>IAS.22</t>
  </si>
  <si>
    <t xml:space="preserve">AWSとしては下記のとおり対応されるため、構築するサーバについて左記のように対応する。
AWS環境においては、以下の暗号方式がサポートされており、これらは2019/12/24現在の電子政府推奨暗号リストに記載されている。
・共通鍵暗号方式におけるAWS KMS キーの長さとして256 ビット、ガロア/カウンターモード (GCM) の Advanced Encryption Standard (AES) アルゴリズムがサポートされている。
・公開鍵暗号における署名アルゴリズムではRSASSA-PKCS1-v1_5がサポートされる。
</t>
    <phoneticPr fontId="7"/>
  </si>
  <si>
    <t>IAS.23</t>
  </si>
  <si>
    <t>左記要件の実現方法として、暗号鍵はAWS KMSにおけるカスタマー管理のCMKを作成し利用する。
作成したCMKはキーローテーションを有効化する。
なお、AWS KMSのインフラ環境は責任共有モデルに基づき、AWSの責任下で適切に管理されている。
CMKは利用者にて、アクセス権の制御ができる。</t>
    <phoneticPr fontId="7"/>
  </si>
  <si>
    <t>IAS.24</t>
  </si>
  <si>
    <t xml:space="preserve">AWS環境上では以下の通り、複数の観点で検討が必要である。
・AWSアカウント上に構築したシステムとの通信はTLSで保護する。
・AWS環境とオンプレミス環境のネットワーク経路における閉鎖網はDirect ConnectもしくはVPNを利用して実現する。
・閉鎖網を構築する際は、Amazon VPCからAWSサービスへのアクセスをVPCエンドポイント経由に限定する。
・AWSマネジメントコンソールへのアクセスはTLSで通信が保護されている他、すべての AWS API はTLS で保護されたエンドポイント経由で利用可能である。
</t>
    <rPh sb="3" eb="5">
      <t>カンキョウ</t>
    </rPh>
    <rPh sb="5" eb="6">
      <t>ウエ</t>
    </rPh>
    <rPh sb="8" eb="10">
      <t>イカ</t>
    </rPh>
    <rPh sb="11" eb="12">
      <t>トオ</t>
    </rPh>
    <rPh sb="14" eb="16">
      <t>フクスウ</t>
    </rPh>
    <rPh sb="17" eb="19">
      <t>カンテン</t>
    </rPh>
    <rPh sb="20" eb="22">
      <t>ケントウ</t>
    </rPh>
    <rPh sb="23" eb="25">
      <t>ヒツヨウ</t>
    </rPh>
    <phoneticPr fontId="7"/>
  </si>
  <si>
    <t>2.1.6.</t>
  </si>
  <si>
    <t>・要件の実現方法として、一般企業など外部拠点とデータを交換する際には、S3などを利用して暗号化した状態で実施する。
・平文でデータを交換する場合には、専用回線を用意してデータを交換する。
AWS環境で専用回線を実現する手段として、PrivateLinkを利用し、VPCエンドポイントからの接続許可と、接続先リソースのセキュリティグループの権限が最小限となるように設定する。
東京海上のAWSアカウントとのVPC Peeringや田端/関西DCとのDirectConnectやVPNは利用しない。</t>
    <rPh sb="1" eb="3">
      <t>ヨウケン</t>
    </rPh>
    <rPh sb="4" eb="8">
      <t>ジツゲンホウホウ</t>
    </rPh>
    <rPh sb="97" eb="99">
      <t xml:space="preserve">カンキョウ </t>
    </rPh>
    <rPh sb="100" eb="102">
      <t xml:space="preserve">センヨウ </t>
    </rPh>
    <rPh sb="102" eb="104">
      <t xml:space="preserve">カイセン </t>
    </rPh>
    <rPh sb="105" eb="107">
      <t xml:space="preserve">ジツゲン </t>
    </rPh>
    <rPh sb="109" eb="111">
      <t xml:space="preserve">シュダン </t>
    </rPh>
    <phoneticPr fontId="20"/>
  </si>
  <si>
    <t>IAS.26</t>
    <phoneticPr fontId="7"/>
  </si>
  <si>
    <t>左記の通り。AWS環境固有の追加要件なし。</t>
    <phoneticPr fontId="7"/>
  </si>
  <si>
    <t>IAS.27</t>
  </si>
  <si>
    <t>・Amazon EC2などのサーバ環境およびAWSマネジメントコンソールへのログインについてはセキュア環境を経由する。
・アウトソースシステムについてはセキュア環境は存在しないため、各アウトソース先で用意する本番アクセス専用の環境からのアクセスに限定する。</t>
    <phoneticPr fontId="7"/>
  </si>
  <si>
    <t>IAS.28</t>
  </si>
  <si>
    <t>・AWSの責任範囲にあるコンポーネントの時刻同期は、AWSによって行われる。
・上記以外のコンポーネントについては、利用部門にて時刻同期を実施する（EC2インスタンス内のOSなどは、利用部門にて時刻同期を実施する）。</t>
    <phoneticPr fontId="7"/>
  </si>
  <si>
    <t>IAS.29</t>
  </si>
  <si>
    <t>IAS.30</t>
  </si>
  <si>
    <t>IAS.31</t>
    <phoneticPr fontId="7"/>
  </si>
  <si>
    <t>無操作時における自動ログオフやセッション断までの時間が設定可能か確認し、可能な場合は180分間、もしくは設定可能な最短の時間とする。</t>
    <phoneticPr fontId="7"/>
  </si>
  <si>
    <t>IAS.32</t>
    <phoneticPr fontId="7"/>
  </si>
  <si>
    <t>IAS.33</t>
    <phoneticPr fontId="7"/>
  </si>
  <si>
    <r>
      <t>AWS側で対応される。</t>
    </r>
    <r>
      <rPr>
        <sz val="14"/>
        <color rgb="FF0000FF"/>
        <rFont val="Yu Gothic"/>
        <family val="3"/>
        <charset val="128"/>
        <scheme val="minor"/>
      </rPr>
      <t/>
    </r>
    <phoneticPr fontId="7"/>
  </si>
  <si>
    <t>IAS.34</t>
    <phoneticPr fontId="7"/>
  </si>
  <si>
    <t>AWS環境であっても、左記の条件を満たすサーバに対して、ウイルス対策ソフトを導入する。
なお、S3のようなサービスであっても、外部からのファイルの流入がある場合はウイルス対策ソフトを用いてスキャンする。</t>
    <rPh sb="11" eb="13">
      <t>サキ</t>
    </rPh>
    <phoneticPr fontId="7"/>
  </si>
  <si>
    <r>
      <rPr>
        <b/>
        <sz val="14"/>
        <color rgb="FFFF0000"/>
        <rFont val="Yu Gothic"/>
        <family val="3"/>
        <charset val="128"/>
        <scheme val="minor"/>
      </rPr>
      <t>（回答で「YES」を選択した場合でも、OSの種別と台数を備考欄に記入する。）</t>
    </r>
    <r>
      <rPr>
        <sz val="14"/>
        <color theme="1"/>
        <rFont val="Yu Gothic"/>
        <family val="2"/>
        <scheme val="minor"/>
      </rPr>
      <t xml:space="preserve">
Windows端末　台
Windows Server　台
上記以外で外部からのファイルの流入がありえるサーバ　台</t>
    </r>
    <phoneticPr fontId="7"/>
  </si>
  <si>
    <t>IAS.35</t>
    <phoneticPr fontId="7"/>
  </si>
  <si>
    <t>IAS.36</t>
    <phoneticPr fontId="7"/>
  </si>
  <si>
    <t>IAS.37</t>
    <phoneticPr fontId="7"/>
  </si>
  <si>
    <t>IAS.38</t>
    <phoneticPr fontId="7"/>
  </si>
  <si>
    <t>・左記要件の実現方法として、各AWSサービスで定義されているバックアップ手法に基づき、バックアップを取得する。
・例えば、EC2インスタンス並びにRDSについて、スナップショット利用によりバックアップを取得することが出来る。または、EC2インスタンス（AMIおよびEBS）並びにRDSについては、AWS Backupを利用してバックアップの自動化と集中管理が可能となる。必要に応じて利用する。</t>
    <phoneticPr fontId="7"/>
  </si>
  <si>
    <t>IAS.39</t>
  </si>
  <si>
    <t>・左記要件の実現方法として、各AWSサービスで定義されているバックアップ手法に基づき、バックアップを取得する。
・例えば、EC2インスタンスのスナップショットを、左記要件で定めた期間分、取得することが考えられる。
・TMNFのAWS仮想化基盤が提供する標準機能のバックアップを使用している場合は、自動的に本要件を満たしているためYESと回答する。</t>
    <phoneticPr fontId="7"/>
  </si>
  <si>
    <t>IAS.40</t>
  </si>
  <si>
    <t>・左記要件の実現方法として、各AWSサービスで定義されているバックアップ手法に基づき、バックアップを取得する。
・例えば、EC2インスタンスのスナップショットを、左記要件で定めた期間分保持できるよう、削除タイミングを設計することが考えられる。</t>
    <phoneticPr fontId="7"/>
  </si>
  <si>
    <t>IAS.41</t>
  </si>
  <si>
    <t>・ランサムウェア対応分類A,Bのシステムについては、AWS責任共有モデルにおいてOSおよびコンテナイメージが利用者の責任範囲となるサービス（EC2、ECS/EKSにおけるコンテナイメージ等）を使用している場合、該当リソースが侵入され任意のコマンド実行が可能になった際にもバックアップデータを改変・削除できないよう、IAMやVPCエンドポイントポリシー・ネットワーク等で制御する。セルのコメントもあわせて参照願う。
　（例）
　　・EC2内のデータをスナップショットを用いてバックアップしているが、EC2のIAMロールにはスナップショットの削除権限を与えない
　　・EC2からS3にバックアップデータを保管するが、S3はバージョニングを有効化し、かつＥＣ２のＩＡＭロールやS3のVPCエンドポイントポリシーでバージョン削除の操作を許可しない。
　　・ECS/EKSタスクからDynamoDBにデータを格納しており、DynamoDBのデータバックアップはPITRおよび標準機能を用いているが、ECS/EKSタスクのIAMロールにはDynamoDBのバックアップ削除や無効化の権限を与えない。</t>
    <phoneticPr fontId="7"/>
  </si>
  <si>
    <t>2021/12/1追加
2022/7/1修正</t>
    <rPh sb="20" eb="22">
      <t>シュウセイ</t>
    </rPh>
    <phoneticPr fontId="7"/>
  </si>
  <si>
    <t>IAS.42</t>
  </si>
  <si>
    <t>IAS.43</t>
    <phoneticPr fontId="7"/>
  </si>
  <si>
    <t>IAS.44</t>
    <phoneticPr fontId="7"/>
  </si>
  <si>
    <t>クラウド独自要件。
クラウド利用時は右記を参照。</t>
  </si>
  <si>
    <t>AWS上で以下の設定変更作業があった場合に、AWSアカウント管理者が気づけるよう、リアルタイムに通知する機能を実装する。
・セキュリティグループの変更
要件の実現方法として、CloudWatchのメトリクスやCloudTrail APIイベントを使ってアラートを飛ばす方法が考えられる。</t>
    <phoneticPr fontId="7"/>
  </si>
  <si>
    <t>IAS.45</t>
  </si>
  <si>
    <t>4.3.3.</t>
    <phoneticPr fontId="7"/>
  </si>
  <si>
    <t>IAM Access Analyzerを利用し、他AWSアカウントへ共有されているリソースを可視化する。</t>
    <rPh sb="20" eb="22">
      <t>リヨウ</t>
    </rPh>
    <rPh sb="24" eb="25">
      <t>ホカ</t>
    </rPh>
    <rPh sb="34" eb="36">
      <t>キョウユウ</t>
    </rPh>
    <rPh sb="46" eb="49">
      <t>カシカ</t>
    </rPh>
    <phoneticPr fontId="7"/>
  </si>
  <si>
    <t>IAS.46</t>
  </si>
  <si>
    <t>4.3.4.</t>
    <phoneticPr fontId="7"/>
  </si>
  <si>
    <t>IAS.47</t>
  </si>
  <si>
    <t>4.3.5.</t>
    <phoneticPr fontId="7"/>
  </si>
  <si>
    <t>左記に加え、AMIは信頼できるベンダーから提供されているもののみを利用するものとし、コミュニティ版の利用は禁止とする。</t>
  </si>
  <si>
    <t>IAS.48</t>
  </si>
  <si>
    <t>4.3.6.</t>
    <phoneticPr fontId="7"/>
  </si>
  <si>
    <t>左記に加え、AWSアカウント内のリソースやサービス管理に用いるIAMユーザー等は未使用又は不必要な場合は削除する。</t>
    <rPh sb="0" eb="2">
      <t>サキ</t>
    </rPh>
    <phoneticPr fontId="7"/>
  </si>
  <si>
    <t>IAS.49</t>
  </si>
  <si>
    <t>4.3.7.</t>
    <phoneticPr fontId="7"/>
  </si>
  <si>
    <t>IAS.50</t>
    <phoneticPr fontId="7"/>
  </si>
  <si>
    <t>4.3.8.</t>
    <phoneticPr fontId="7"/>
  </si>
  <si>
    <t>クラウド独自要件。
クラウド利用時は右記を参照。</t>
    <phoneticPr fontId="7"/>
  </si>
  <si>
    <t>・EC2インスタンスはIMDSv2を使用する
・EC2 Auto Scalingの起動設定におけるIMDSのIPパケットの応答ホップ数を1(デフォルトのまま)にし、EC2外部からの不正なメタデータの取得を防止する。
なお、以下のガイドより、コンテナ環境ではアラートを抑制することを推奨する。
「コンテナ環境では、ホップ制限が 1 の場合、コンテナへの到達は余分なネットワークホップと見なされるため、IMDSv2 応答は返されません。IMDSv1 へのフォールバックプロセスとその結果として生じる遅延を回避するために、コンテナ環境でホップ制限を 2 に設定することをお勧めします。詳細については、インスタンスメタデータオプションの設定 を参照してください。」
https://docs.aws.amazon.com/ja_jp/AWSEC2/latest/UserGuide/instancedata-data-retrieval.htm</t>
    <phoneticPr fontId="3"/>
  </si>
  <si>
    <t>2023/1/4追加</t>
    <rPh sb="8" eb="10">
      <t>ツイカ</t>
    </rPh>
    <phoneticPr fontId="7"/>
  </si>
  <si>
    <t>IAS.51</t>
    <phoneticPr fontId="7"/>
  </si>
  <si>
    <t>当社が利用するクラウド環境のグローバルIPは、他社のテナントとIPアドレスが独立していることを確認する。
・AWS環境から払い出されるパブリックIPアドレスは、EC2インスタンスに対して割り当てられる。また、このパブリックIPアドレスの割り当てを解除すると、再利用することはできない。
・当社が保有するグローバルIPをAWS環境に持ち込む（BYOIP）ことも可能であるため、必要に応じて利用を検討する。</t>
    <phoneticPr fontId="7"/>
  </si>
  <si>
    <t>IAS.52</t>
    <phoneticPr fontId="7"/>
  </si>
  <si>
    <t>クラウド上には公開DNSを構築しない。
（もし構築する場合はITサービス管理部へ相談すること）</t>
    <rPh sb="23" eb="25">
      <t>コウチク</t>
    </rPh>
    <rPh sb="27" eb="29">
      <t>バアイ</t>
    </rPh>
    <rPh sb="36" eb="38">
      <t>カンリ</t>
    </rPh>
    <rPh sb="38" eb="39">
      <t>ブ</t>
    </rPh>
    <rPh sb="40" eb="42">
      <t>ソウダン</t>
    </rPh>
    <phoneticPr fontId="7"/>
  </si>
  <si>
    <t>IAS.53</t>
  </si>
  <si>
    <t>左記要件の実現方法として、Amazon VPC(Virtual Private Cloud)内において、サーバを設置するSubnetを使い分ける。
加えて、ネットワークACLやセキュリティグループを必要に応じて利用し、Subnet間の通信を制御する。
具体的には、Subnetは以下の通り分離する。
・インターネットからリクエストを受ける場合には、インターネットゲートウェイを構成し、Publicサブネット（DMZサブネット）と、Privateサブネット（社内サブネット）に分割する。
・Publicサブネットは、インターネットから直接リクエストを受けるリソース（公開サーバ／専用機等）を配置する。
・PrivateサブネットはPublicサブネットに配置しないリソース（非公開サーバ）を配置する。
・特定のSubnetから直接通信できないSubnetを必要に応じて用意する。
また、Amazon VPC内外を問わず他社AWSアカウントとの通信要件がある場合は、PrivateLinkを利用したVPCエンドポイントからの接続許可をした上で、接続先リソースのセキュリティグループ、S3のバケットポリシー、AWS STSのAssumeRole等を用いて必要最小限のアクセス権限に限定すること。</t>
    <phoneticPr fontId="7"/>
  </si>
  <si>
    <t>IAS.54</t>
  </si>
  <si>
    <t>・アウトソースシステムを除き、個別のAWSアカウントでインターネットごしに不特定多数の利用者から直接アクセスを受ける環境を用意することを禁止する。セキュアドGWもしくはDevOps基盤の共用領域を経由する。
・アウトソースシステムにおいて、インターネットごしに不特定多数の利用者から直接アクセスを受ける環境を用意する場合は、DDos対策を導入し、攻撃検知時にリアルタイムにシステム管理者へ通知されるよう設計する。</t>
    <phoneticPr fontId="7"/>
  </si>
  <si>
    <t>IAS.55</t>
  </si>
  <si>
    <t>・アウトソースシステムを除き、個別のAWSアカウントでインターネットごしに不特定多数の利用者から直接アクセスを受ける環境を用意することを禁止する。セキュアドGWもしくはDevOps基盤の共用領域を経由する。（この場合でも、改ざん検知は個別に実装が必要なので注意すること）
・アウトソースシステム等、上記以外のケースで対応ランクAシステムを構築する場合は、D列の監視の仕組みを構築する必要がある。
この際、24365SOC監視が実現できない限り、AWS WAFやWAF Charmの組み合わせでは要件を満たさないことに注意すること。
・AWS環境からインターネットへのアクセスは、経路の集約、不審サイトへの接続制限、POSTサイズ制限、ログ取得を行う。</t>
    <phoneticPr fontId="7"/>
  </si>
  <si>
    <t>IAS.56</t>
  </si>
  <si>
    <r>
      <t>左記要件の実現方法として、悪意のある操作や不正な動作を継続的にモニタリングする脅威検出サービスとして、Amazon Guard</t>
    </r>
    <r>
      <rPr>
        <sz val="14"/>
        <rFont val="ＭＳ 明朝"/>
        <family val="1"/>
        <charset val="128"/>
      </rPr>
      <t>​</t>
    </r>
    <r>
      <rPr>
        <sz val="14"/>
        <rFont val="游ゴシック"/>
        <family val="3"/>
        <charset val="128"/>
      </rPr>
      <t>Dutyを利用する。
（AWSの仕様により、Amazon GuardDutyの検知ルール等は自動で最適化される）</t>
    </r>
    <rPh sb="80" eb="82">
      <t>シヨウ</t>
    </rPh>
    <phoneticPr fontId="7"/>
  </si>
  <si>
    <t>IAS.57</t>
  </si>
  <si>
    <t xml:space="preserve">左記要件の実現方法として、以下のような設計を検討する。
・Amazon VPC内のサブネットをインターネットゲートウェイへのデフォルトルートを持たせるPublic SubnetとPrivate Subnetに分割する。
・サブネット間の通信の制限に相当するファイアウォール機能として、「ネットワークACL」を必要に応じて利用する。（ネットワークACLの詳細については、別冊ガイド参照）
</t>
    <rPh sb="13" eb="15">
      <t>イカ</t>
    </rPh>
    <rPh sb="105" eb="107">
      <t>ブンカツ</t>
    </rPh>
    <rPh sb="185" eb="187">
      <t>ベッサツ</t>
    </rPh>
    <phoneticPr fontId="7"/>
  </si>
  <si>
    <t>IAS.58</t>
  </si>
  <si>
    <t>要件の実現方法として、AWS環境では、ファイヤウォール設計をセキュリティグループを利用する。
ホスト型ファイアウォールとして、「セキュリティグループ」を利用する。
（セキュリティグループの詳細については、必要に応じてガイドを参照する）
特にAWS環境で顧客情報や決済情報を保管する場合、以下の点について制限する。
・顧客情報や決済情報の保管場所に対するインターネットからのダイレクトな通信（S3バケットのパブリックアクセスなど）
・顧客情報や決済情報が保管されるVPC内からインターネットへの通信（AWSの各サービスのパブリックエンドポイントの利用など）
・統制が効かない外部のAWSアカウントとのアクセス（VPCエンドポイントを介した他アカウントのS3バケットアクセスなど）</t>
    <phoneticPr fontId="7"/>
  </si>
  <si>
    <t>左記要件の実現方法として、リモートアクセスサーバーから内部セグメントへの通信を許可する場合、「セキュリティグループ」を利用してネットワークのアクセス制御を設計する。</t>
  </si>
  <si>
    <t>・AWSのデータセンター間の接続は、AWS側で対応される。
・オンプレデータセンターとの接続でTransit Gateway等を使う場合は、VPC等をそのネットワークリソースへ追加する際に自動的に受け入れる設定を用いず、追加受け入れする都度、オンプレあるいはTransit Gatewayに既に接続されている他のAWSアカウントへのリスク増加がないことを、Transit Gatewayの管理者が確認する。</t>
  </si>
  <si>
    <t>IAS.61</t>
  </si>
  <si>
    <t>・左記要件の実現方法として、サブネット型ファイアウォールとして「ネットワークACL」や、ホスト型ファイアウォールとして「セキュリティグループ」を必要に応じて利用する
・AWS TrustedAdvisorを利用し、特定のポートに無制限アクセスを許可するルール (0.0.0.0/0) がないかを確認する。</t>
    <phoneticPr fontId="7"/>
  </si>
  <si>
    <t>IAS.62</t>
  </si>
  <si>
    <t>左記の実現方法として、ホスト型ファイアウォールとして、「セキュリティグループ」を必要に応じて利用する。
（セキュリティグループは、特定のIPアドレスからの通信を制御するだけでなく、特定のセキュリティグループからの通信も制御することが可能である）</t>
    <rPh sb="0" eb="2">
      <t>サキ</t>
    </rPh>
    <rPh sb="40" eb="42">
      <t>ヒツヨウ</t>
    </rPh>
    <rPh sb="43" eb="44">
      <t>オウ</t>
    </rPh>
    <rPh sb="46" eb="48">
      <t>リヨウ</t>
    </rPh>
    <phoneticPr fontId="19"/>
  </si>
  <si>
    <t>IAS.63</t>
  </si>
  <si>
    <t>IAS.64</t>
  </si>
  <si>
    <t>5.1.14.</t>
    <phoneticPr fontId="7"/>
  </si>
  <si>
    <t>左記の通り対応する。
Lambdaを利用する場合は以下のように設計することで要件を実現する。
①Lambdaの変更イベントAWSconfigで検知する。
②Lambdaの実行ログをCloudTrailで管理する。
③②と突き合わせてどこに何を送信したかわかるようにCodeCommit等でコードの世代管理を実施する。</t>
    <phoneticPr fontId="7"/>
  </si>
  <si>
    <t>IAS.65</t>
  </si>
  <si>
    <t>5.1.15.</t>
    <phoneticPr fontId="7"/>
  </si>
  <si>
    <t>特定リソースのアクションを許可する際のアクセス元の条件が不十分であった場合、本来、アクションを実行する許可を持たない「IAMプリンシパル(IAMロールなど)」や「サービスプリンシパル(AWSサービス)」がアクセスし、該当アクションを実行してしまう問題がある（混乱した代理問題と呼ばれる）。
これを避けるため、次に挙げる対応を行うこと。
[AWSサービス間をリソースベースポリシーを用いて連携する場合]
aws:SourceArn および aws:SourceAccount のグローバル条件コンテキストキーの両方を使用して、サービスが持つ特定のリソースへのアクセス許可を制限する。
ただし、aws:SourceArn の値にアカウントIDが含まれる場合は、aws:SourceArnのみの指定でも問題ない。(※)
[SaaSなどの外部サービスとIAMロールを用いて連携する場合]
IAMロールの信頼ポリシーに ExternalId の条件の確認を含めることを必須とすることで、「混乱した代理」問題に対応できる。SaaSなどにおいてアクセス先ごとに一意の ExternalId 値を生成して、自アカウントではIAMロールを引き受けるリクエストでその値を識別する。
https://docs.aws.amazon.com/ja_jp/IAM/latest/UserGuide/id_roles_create_for-user_externalid.html#external-id-use</t>
    <phoneticPr fontId="7"/>
  </si>
  <si>
    <t xml:space="preserve">クラウド独自要件。
クラウド利用時は右記を参照。
</t>
  </si>
  <si>
    <t>クラウド上に不特定のインターネットアクセスを行える端末を構築することは許可しない。
（もし構築する場合はITサービス管理部に相談すること。）</t>
    <rPh sb="4" eb="5">
      <t>ジョウ</t>
    </rPh>
    <rPh sb="45" eb="47">
      <t>コウチク</t>
    </rPh>
    <rPh sb="49" eb="51">
      <t>バアイ</t>
    </rPh>
    <rPh sb="58" eb="60">
      <t>カンリ</t>
    </rPh>
    <rPh sb="60" eb="61">
      <t>ブ</t>
    </rPh>
    <rPh sb="62" eb="64">
      <t>ソウダン</t>
    </rPh>
    <phoneticPr fontId="7"/>
  </si>
  <si>
    <t>クラウド上には、任意のファイルを任意の宛先に送受信できるメール環境を構築することは許可しない。
（もし構築する場合はITサービス管理部に相談すること。）</t>
    <rPh sb="51" eb="53">
      <t>コウチク</t>
    </rPh>
    <rPh sb="55" eb="57">
      <t>バアイ</t>
    </rPh>
    <rPh sb="64" eb="66">
      <t>カンリ</t>
    </rPh>
    <rPh sb="66" eb="67">
      <t>ブ</t>
    </rPh>
    <rPh sb="68" eb="70">
      <t>ソウダン</t>
    </rPh>
    <phoneticPr fontId="7"/>
  </si>
  <si>
    <t>IAS.68</t>
  </si>
  <si>
    <t>IAS.69</t>
  </si>
  <si>
    <t>左記の通り。AWS環境固有の追加要件なし。</t>
    <rPh sb="0" eb="2">
      <t>サキ</t>
    </rPh>
    <rPh sb="3" eb="4">
      <t>トオ</t>
    </rPh>
    <rPh sb="9" eb="11">
      <t>カンキョウ</t>
    </rPh>
    <rPh sb="11" eb="13">
      <t>コユウ</t>
    </rPh>
    <rPh sb="14" eb="16">
      <t>ツイカ</t>
    </rPh>
    <rPh sb="16" eb="18">
      <t>ヨウケン</t>
    </rPh>
    <phoneticPr fontId="7"/>
  </si>
  <si>
    <t>IAS.70</t>
  </si>
  <si>
    <t>IAS.71</t>
  </si>
  <si>
    <t>IAS.72</t>
  </si>
  <si>
    <t>6.1.7.</t>
    <phoneticPr fontId="7"/>
  </si>
  <si>
    <t>IAS.73</t>
  </si>
  <si>
    <t>IAS.74</t>
  </si>
  <si>
    <t>6.1.9.</t>
    <phoneticPr fontId="7"/>
  </si>
  <si>
    <t>2023/1/4追加
2023/7/3修正</t>
    <rPh sb="8" eb="10">
      <t>ツイカ</t>
    </rPh>
    <rPh sb="19" eb="21">
      <t>シュウセイ</t>
    </rPh>
    <phoneticPr fontId="7"/>
  </si>
  <si>
    <t>6.1.10.</t>
    <phoneticPr fontId="7"/>
  </si>
  <si>
    <t>左記の通り。AWS環境固有の追加要件なし。</t>
  </si>
  <si>
    <t>IAS.76</t>
  </si>
  <si>
    <t>6.1.11.</t>
    <phoneticPr fontId="7"/>
  </si>
  <si>
    <t>IAS.77</t>
  </si>
  <si>
    <t>6.1.12.</t>
    <phoneticPr fontId="7"/>
  </si>
  <si>
    <t>6.1.13.</t>
    <phoneticPr fontId="7"/>
  </si>
  <si>
    <t>IAS.79</t>
  </si>
  <si>
    <t>6.1.14.</t>
    <phoneticPr fontId="7"/>
  </si>
  <si>
    <t>IAS.80</t>
  </si>
  <si>
    <t>6.1.15.</t>
    <phoneticPr fontId="7"/>
  </si>
  <si>
    <t>IAS.81</t>
  </si>
  <si>
    <t>6.1.16.</t>
    <phoneticPr fontId="7"/>
  </si>
  <si>
    <t>IAS.82</t>
  </si>
  <si>
    <t>6.1.17.</t>
    <phoneticPr fontId="7"/>
  </si>
  <si>
    <t>IAS.83</t>
  </si>
  <si>
    <t>IAS.84</t>
  </si>
  <si>
    <t>IAS.85</t>
  </si>
  <si>
    <t>IAS.86</t>
  </si>
  <si>
    <t>IAS.87</t>
  </si>
  <si>
    <t>IAS.88</t>
  </si>
  <si>
    <t>インフラチェックシート（IaaS版）</t>
    <rPh sb="16" eb="17">
      <t>バン</t>
    </rPh>
    <phoneticPr fontId="7"/>
  </si>
  <si>
    <t>構築対象システムがAWS以外のIaaSを前提としています。</t>
    <rPh sb="0" eb="2">
      <t>コウチク</t>
    </rPh>
    <rPh sb="2" eb="4">
      <t>タイショウ</t>
    </rPh>
    <rPh sb="12" eb="14">
      <t>イガイ</t>
    </rPh>
    <rPh sb="20" eb="22">
      <t>ゼンテイ</t>
    </rPh>
    <phoneticPr fontId="7"/>
  </si>
  <si>
    <r>
      <rPr>
        <b/>
        <sz val="16"/>
        <color rgb="FFFF0000"/>
        <rFont val="Yu Gothic"/>
        <family val="3"/>
        <charset val="128"/>
        <scheme val="minor"/>
      </rPr>
      <t>E列とF列にそれぞれ要件を記載していますので、両方を踏まえて</t>
    </r>
    <r>
      <rPr>
        <sz val="16"/>
        <rFont val="Yu Gothic"/>
        <family val="3"/>
        <charset val="128"/>
        <scheme val="minor"/>
      </rPr>
      <t>回答欄と備考欄へご回答ください。</t>
    </r>
    <rPh sb="10" eb="12">
      <t>ヨウケン</t>
    </rPh>
    <rPh sb="13" eb="15">
      <t>キサイ</t>
    </rPh>
    <rPh sb="23" eb="25">
      <t>リョウホウ</t>
    </rPh>
    <rPh sb="26" eb="27">
      <t>フ</t>
    </rPh>
    <phoneticPr fontId="7"/>
  </si>
  <si>
    <t>どちらかの列が白抜きの場合は、白抜き箇所についてご回答ください。</t>
    <rPh sb="5" eb="6">
      <t>レツ</t>
    </rPh>
    <rPh sb="7" eb="9">
      <t>シロヌ</t>
    </rPh>
    <rPh sb="11" eb="13">
      <t>バアイ</t>
    </rPh>
    <rPh sb="15" eb="17">
      <t>シロヌ</t>
    </rPh>
    <rPh sb="18" eb="20">
      <t>カショ</t>
    </rPh>
    <rPh sb="25" eb="27">
      <t>カイトウ</t>
    </rPh>
    <phoneticPr fontId="7"/>
  </si>
  <si>
    <t>IaaS追加要件</t>
    <rPh sb="4" eb="6">
      <t>ツイカ</t>
    </rPh>
    <rPh sb="6" eb="8">
      <t>ヨウケン</t>
    </rPh>
    <phoneticPr fontId="7"/>
  </si>
  <si>
    <t>IaaS</t>
    <phoneticPr fontId="7"/>
  </si>
  <si>
    <t>IIS.1</t>
    <phoneticPr fontId="7"/>
  </si>
  <si>
    <t>クラウド環境におけるテナントに対して、システム毎に論理的な境界（テナントレベルでの境界）を確立する。
また、同一システムであっても、本番/開発間はテナントを分割する。</t>
    <phoneticPr fontId="7"/>
  </si>
  <si>
    <t>IIS.2</t>
    <phoneticPr fontId="7"/>
  </si>
  <si>
    <t>左記に加え、クラウド環境管理用ユーザーのIDと個人は一対一の関係とする。</t>
    <rPh sb="0" eb="2">
      <t>サキ</t>
    </rPh>
    <phoneticPr fontId="7"/>
  </si>
  <si>
    <t>IIS.3</t>
  </si>
  <si>
    <t>左記の通り。クラウド環境固有の追加要件なし。</t>
    <phoneticPr fontId="7"/>
  </si>
  <si>
    <t>IIS.4</t>
  </si>
  <si>
    <t>左記に加え、クラウド環境管理用ユーザーのＩＤの桁数は７桁以上とする。</t>
    <rPh sb="0" eb="2">
      <t>サキ</t>
    </rPh>
    <phoneticPr fontId="7"/>
  </si>
  <si>
    <t>IIS.5</t>
  </si>
  <si>
    <t>左記に加え、クラウド環境は特権IDが容易に追加できるため、想定外の特認ＩＤ種類やアクセス権限を追加していないかクラウド環境管理用コンソールまたはCLI等で確認する。</t>
    <rPh sb="0" eb="2">
      <t>サキ</t>
    </rPh>
    <phoneticPr fontId="7"/>
  </si>
  <si>
    <t>IIS.6</t>
  </si>
  <si>
    <t>クラウド環境全体を管理する特権ユーザー(ルートユーザ等）は削除できない場合があるため、その場合は本Sheetの「ログイン、パスワード管理」に従ったパスワードを設定する。</t>
    <phoneticPr fontId="7"/>
  </si>
  <si>
    <t>IIS.7</t>
    <phoneticPr fontId="7"/>
  </si>
  <si>
    <t>・左記に加え、クラウド環境管理用コンソールにアクセスする必要がある場合は、同コンソール用ユーザーのIDとパスワードを発行し、MFA（多要素認証）を必須とする。
・MFAの要素として、接続元IPアドレス制限や、ワンタイムパスワードなどを利用する。
・同ユーザーがAPIコールを利用してクラウドサービスにアクセスする際には、必要に応じた認証情報（アクセスキーなど）を発行する。
・なお、認証情報の発行は、必要最低限とする。</t>
    <rPh sb="1" eb="3">
      <t>サキ</t>
    </rPh>
    <phoneticPr fontId="7"/>
  </si>
  <si>
    <t>IIS.8</t>
    <phoneticPr fontId="7"/>
  </si>
  <si>
    <t>左記に加え、クラウド環境管理用ユーザーを対象とする。</t>
    <rPh sb="0" eb="2">
      <t>サキ</t>
    </rPh>
    <phoneticPr fontId="7"/>
  </si>
  <si>
    <t>IIS.9</t>
  </si>
  <si>
    <t>左記に加え、クラウド環境管理用ユーザーの作成時において、初期パスワードをランダムにし、初回ログイン時にユーザーにパスワード変更を強制する。</t>
    <rPh sb="0" eb="2">
      <t>サキ</t>
    </rPh>
    <phoneticPr fontId="7"/>
  </si>
  <si>
    <t>IIS.10</t>
  </si>
  <si>
    <t>IIS.11</t>
  </si>
  <si>
    <t>左記に加え、クラウド環境管理用コンソールのパスワードについても対象とする。</t>
    <rPh sb="0" eb="2">
      <t>サキ</t>
    </rPh>
    <phoneticPr fontId="7"/>
  </si>
  <si>
    <t>IIS.12</t>
  </si>
  <si>
    <t>・左記に加え、クラウド環境管理用コンソールのパスワードについても考慮する。
・パスワード保存時の暗号化については、クラウドサービス事業者に左記の要件を満たしていることを確認する。
・クラウド環境管理コンソールとの通信の暗号化については、クラウドサービス事業者に左記の要件を満たしていることを確認する。</t>
    <rPh sb="1" eb="3">
      <t>サキ</t>
    </rPh>
    <rPh sb="69" eb="71">
      <t>サキ</t>
    </rPh>
    <phoneticPr fontId="7"/>
  </si>
  <si>
    <t>IIS.13</t>
  </si>
  <si>
    <t>IIS.14</t>
  </si>
  <si>
    <t>左記に加え、クラウド環境管理用コンソールについても考慮する。(例：クラウド環境管理者ユーザーのログインがあった場合に、あらかじめ設定したメールアドレスに通知される、など)
ただし、クラウド環境の仕様により表示できないケースが考えられるため、クラウド環境管理用コンソールのアクセスログを取得し、必要時に確認できるよう運用設計する。</t>
    <rPh sb="0" eb="2">
      <t>サキ</t>
    </rPh>
    <phoneticPr fontId="7"/>
  </si>
  <si>
    <t>IIS.15</t>
  </si>
  <si>
    <t>左記に加え、クラウド環境管理コンソールおよび、アクセスキーを利用した操作について、同一IDによる同時使用を禁止する。</t>
    <rPh sb="0" eb="2">
      <t>サキ</t>
    </rPh>
    <phoneticPr fontId="7"/>
  </si>
  <si>
    <t>IIS.16</t>
    <phoneticPr fontId="7"/>
  </si>
  <si>
    <t>当社から当社外テナントやサービスへのアクセスを制限（監視し遮断）する。</t>
    <phoneticPr fontId="7"/>
  </si>
  <si>
    <t>IIS.17</t>
  </si>
  <si>
    <t xml:space="preserve">・左記に加え、クラウド環境全体を管理する特権ユーザー(ルートユーザ等）やロールについても考慮する。
　-当ユーザーは最大の権限を保有しているため厳重に管理し、日常の運用には利用しない。
　-アカウント管理、暗号鍵管理(生成・ローテーション・削除)の権限については、他の高権限ユーザに付与しない。
　-本番データを格納するDBやストレージへのアクセス権限を持つ運用者であっても、担当業務上、データの中身を参照する必要がない場合は、暗号鍵の管理権限および復号権限を付与しない。
・クラウド環境上のシステム管理者には、業務上の必要最小限の権限を付与する。特に、請求処理、システム環境全体の可用性、セキュリティ設定に関する操作権限は付与しないようにする。
</t>
    <phoneticPr fontId="7"/>
  </si>
  <si>
    <t>IIS.18</t>
  </si>
  <si>
    <t>1.3.3.</t>
    <phoneticPr fontId="7"/>
  </si>
  <si>
    <t xml:space="preserve">左記の通り。クラウド環境固有の追加要件なし。
</t>
    <phoneticPr fontId="7"/>
  </si>
  <si>
    <t>IIS.19</t>
  </si>
  <si>
    <t>左記の通り。クラウド環境固有の追加要件なし。</t>
  </si>
  <si>
    <t>IIS.20</t>
    <phoneticPr fontId="7"/>
  </si>
  <si>
    <t>クラウド環境上で暗号化データがある場合、クラウドの利用解約時に暗号鍵を廃棄する。
上記の対応ができない場合は、以下の方法でクラウド事業者に対し、解約時にデータの削除を要求する。
　・共用ディスク上のデータの論理削除
　・データを完全消去するツールの使用
　・記録媒体の消磁もしくは破壊</t>
    <phoneticPr fontId="7"/>
  </si>
  <si>
    <t>IIS.21</t>
  </si>
  <si>
    <t>・左記に加え、クラウド環境に個人情報（ログに個人情報が含まれるものも対象）を保存する場合は暗号化を必須とする。</t>
    <phoneticPr fontId="7"/>
  </si>
  <si>
    <t>IIS.22</t>
  </si>
  <si>
    <t>IIS.23</t>
  </si>
  <si>
    <t>左記に加え、暗号鍵は当社が管理（廃棄、アクセス権の制御、ローテーション）する。</t>
    <rPh sb="0" eb="2">
      <t>サキ</t>
    </rPh>
    <phoneticPr fontId="7"/>
  </si>
  <si>
    <t>IIS.24</t>
  </si>
  <si>
    <t xml:space="preserve">クラウド環境では以下の通り、複数の観点で検討が必要である。
・クラウド環境上に構築したシステムとの通信はTLSで保護する。
・クラウド環境とオンプレミス環境のネットワーク経路における閉鎖網は専用線もしくはVPNを利用して実現する。
・クラウド環境管理コンソールへのアクセスや、全てのAPIはTLSで保護されているか確認する。
</t>
    <rPh sb="4" eb="6">
      <t>カンキョウ</t>
    </rPh>
    <rPh sb="8" eb="10">
      <t>イカ</t>
    </rPh>
    <rPh sb="11" eb="12">
      <t>トオ</t>
    </rPh>
    <rPh sb="14" eb="16">
      <t>フクスウ</t>
    </rPh>
    <rPh sb="17" eb="19">
      <t>カンテン</t>
    </rPh>
    <rPh sb="20" eb="22">
      <t>ケントウ</t>
    </rPh>
    <rPh sb="23" eb="25">
      <t>ヒツヨウ</t>
    </rPh>
    <phoneticPr fontId="7"/>
  </si>
  <si>
    <t>IIS.26</t>
    <phoneticPr fontId="7"/>
  </si>
  <si>
    <t>IIS.27</t>
  </si>
  <si>
    <t>・クラウド環境で提供されるサーバ環境へのログインについては、オンプレと同様にセキュア環境を経由する。
・アウトソースシステムについてはセキュア環境は存在しないため、各アウトソース先で用意する本番アクセス専用の環境からのアクセスに限定する。
・クラウド環境管理コンソールへのアクセスは、アクセス元IPアドレスの制限を実装する。</t>
    <phoneticPr fontId="7"/>
  </si>
  <si>
    <t>IIS.28</t>
  </si>
  <si>
    <t>クラウド環境において利用者の管理責任範囲のコンポーネントについては、利用部門にて時刻同期を実施する。</t>
  </si>
  <si>
    <t>IIS.29</t>
  </si>
  <si>
    <t>IIS.30</t>
  </si>
  <si>
    <t>IIS.31</t>
    <phoneticPr fontId="7"/>
  </si>
  <si>
    <t>IIS.32</t>
    <phoneticPr fontId="7"/>
  </si>
  <si>
    <t>クラウド環境であっても、左記の条件を満たすサーバ、サービスに対してアンチウイルスソフトを導入する。</t>
    <rPh sb="12" eb="14">
      <t>サキ</t>
    </rPh>
    <rPh sb="30" eb="31">
      <t>タイ</t>
    </rPh>
    <rPh sb="44" eb="46">
      <t>ドウニュウ</t>
    </rPh>
    <phoneticPr fontId="19"/>
  </si>
  <si>
    <t>IIS.35</t>
  </si>
  <si>
    <t>各クラウドサービスで定義されているバックアップ手法に基づき、バックアップを取得する。</t>
  </si>
  <si>
    <t>IIS.38</t>
  </si>
  <si>
    <t>4.2.3.</t>
    <phoneticPr fontId="7"/>
  </si>
  <si>
    <t>IIS.39</t>
  </si>
  <si>
    <t>IIS.40</t>
  </si>
  <si>
    <t>IIS.41</t>
  </si>
  <si>
    <t>4.3.4.</t>
  </si>
  <si>
    <t>当社が利用するクラウド環境のグローバルIPは、他社のテナントとIPアドレスが独立していることを確認する。</t>
    <phoneticPr fontId="7"/>
  </si>
  <si>
    <t>IIS.48</t>
  </si>
  <si>
    <t>要件の実現方法として、クラウド環境内において、ネットワークサブネットを用途毎に使い分ける。
加えて、ネットワークサブネット間の通信を制限する。
また、他社テナントとの通信要件がある場合は、必要最小限のアクセス権限に限定すること。</t>
    <phoneticPr fontId="7"/>
  </si>
  <si>
    <t>IIS.49</t>
  </si>
  <si>
    <t>・クラウド環境上に構築したサーバについて、左記の対策を実施する。
・クラウド環境のインフラ部分については、クラウド事業者にDDoS対策を行っていることを確認する。</t>
    <phoneticPr fontId="7"/>
  </si>
  <si>
    <t>・アウトソースシステムを除き、個別のクラウド環境でインターネットごしに不特定多数の利用者から直接アクセスを受ける環境を用意することを禁止する。セキュアドGWもしくはDevOps基盤の共用領域を経由する。
・クラウド環境からインターネットへのアクセスは、経路の集約や、不審サイトへの接続制限、POSTサイズ制限、ログ取得を行う。</t>
    <phoneticPr fontId="7"/>
  </si>
  <si>
    <t>IIS.51</t>
  </si>
  <si>
    <t>IIS.52</t>
  </si>
  <si>
    <t>IIS.53</t>
  </si>
  <si>
    <t>左記に加え、特にクラウド環境で顧客情報や決済情報を保管する場合、以下の点について制限する。
・顧客情報や決済情報の保管場所に対するインターネットからのダイレクトな通信
・顧客情報や決済情報が保管されるVPC内からインターネットへの通信
・統制が効かない外部のカウントとのアクセス</t>
    <phoneticPr fontId="7"/>
  </si>
  <si>
    <t>IIS.54</t>
  </si>
  <si>
    <t>IIS.55</t>
  </si>
  <si>
    <t>クラウド事業者が左記の対応を実施していることを確認する。</t>
    <rPh sb="8" eb="10">
      <t>サキ</t>
    </rPh>
    <phoneticPr fontId="7"/>
  </si>
  <si>
    <t>IIS.56</t>
  </si>
  <si>
    <t>クラウド環境上に構築したネットワークやサーバーについて、左記の対策を実施する。</t>
    <phoneticPr fontId="7"/>
  </si>
  <si>
    <t>IIS.57</t>
  </si>
  <si>
    <t>IIS.58</t>
  </si>
  <si>
    <t>クラウド上に不特定のインターネットアクセスを行える端末を構築することは許可しない。
（もし構築する場合はITサービス管理部に相談すること。）</t>
    <rPh sb="45" eb="47">
      <t>コウチク</t>
    </rPh>
    <rPh sb="49" eb="51">
      <t>バアイ</t>
    </rPh>
    <rPh sb="58" eb="60">
      <t>カンリ</t>
    </rPh>
    <rPh sb="60" eb="61">
      <t>ブ</t>
    </rPh>
    <rPh sb="62" eb="64">
      <t>ソウダン</t>
    </rPh>
    <phoneticPr fontId="7"/>
  </si>
  <si>
    <t>IIS.62</t>
  </si>
  <si>
    <t>IIS.63</t>
  </si>
  <si>
    <t>左記の通り。クラウド環境固有の追加要件なし。</t>
    <rPh sb="0" eb="2">
      <t>サキ</t>
    </rPh>
    <rPh sb="3" eb="4">
      <t>トオ</t>
    </rPh>
    <rPh sb="10" eb="12">
      <t>カンキョウ</t>
    </rPh>
    <rPh sb="12" eb="14">
      <t>コユウ</t>
    </rPh>
    <rPh sb="15" eb="17">
      <t>ツイカ</t>
    </rPh>
    <rPh sb="17" eb="19">
      <t>ヨウケン</t>
    </rPh>
    <phoneticPr fontId="7"/>
  </si>
  <si>
    <t>IIS.64</t>
  </si>
  <si>
    <t>IIS.65</t>
  </si>
  <si>
    <t>6.1.8.</t>
  </si>
  <si>
    <t>IIS.68</t>
  </si>
  <si>
    <t>IIS.69</t>
  </si>
  <si>
    <t>IIS.71</t>
  </si>
  <si>
    <t>IIS.72</t>
  </si>
  <si>
    <t>IIS.73</t>
  </si>
  <si>
    <t>IIS.74</t>
  </si>
  <si>
    <t>IIS.76</t>
  </si>
  <si>
    <t>IIS.77</t>
  </si>
  <si>
    <t>6.1.18.</t>
  </si>
  <si>
    <t>IIS.79</t>
  </si>
  <si>
    <t>IIS.80</t>
  </si>
  <si>
    <t>IIS.81</t>
  </si>
  <si>
    <t>IIS.82</t>
  </si>
  <si>
    <t>インフラチェックシート（SaaS版）</t>
    <rPh sb="14" eb="15">
      <t>バン</t>
    </rPh>
    <phoneticPr fontId="7"/>
  </si>
  <si>
    <t>構築対象システムがSaaS利用を前提としています。</t>
    <rPh sb="0" eb="2">
      <t>コウチク</t>
    </rPh>
    <rPh sb="2" eb="4">
      <t>タイショウ</t>
    </rPh>
    <rPh sb="13" eb="15">
      <t>リヨウ</t>
    </rPh>
    <rPh sb="16" eb="18">
      <t>ゼンテイ</t>
    </rPh>
    <phoneticPr fontId="7"/>
  </si>
  <si>
    <t>SaaS追加要件</t>
    <rPh sb="4" eb="6">
      <t>ツイカ</t>
    </rPh>
    <rPh sb="6" eb="8">
      <t>ヨウケン</t>
    </rPh>
    <phoneticPr fontId="7"/>
  </si>
  <si>
    <t>SaaS</t>
    <phoneticPr fontId="7"/>
  </si>
  <si>
    <t>ISS.1</t>
    <phoneticPr fontId="7"/>
  </si>
  <si>
    <t>ISS.2</t>
  </si>
  <si>
    <t>左記に加え、クラウド環境管理用ユーザーのIDと個人は一対一の関係とする。</t>
  </si>
  <si>
    <t>ISS.3</t>
  </si>
  <si>
    <t>クラウド事業者が左記の対応を実施していることを確認する。</t>
    <phoneticPr fontId="7"/>
  </si>
  <si>
    <t>ISS.4</t>
  </si>
  <si>
    <t>左記に加え、クラウド環境管理用ユーザーのＩＤの桁数は７桁以上とする。</t>
    <phoneticPr fontId="7"/>
  </si>
  <si>
    <t>ISS.5</t>
  </si>
  <si>
    <t>左記に加え、クラウド環境は特権IDが容易に追加できるため、想定外の特認ＩＤ種類やアクセス権限を追加していないかクラウド環境管理用コンソール等で確認する。</t>
    <phoneticPr fontId="7"/>
  </si>
  <si>
    <t>ISS.6</t>
  </si>
  <si>
    <t>クラウド環境管理用ユーザーは削除できない場合があるため、その場合は本Sheetの「ログイン、パスワード管理」に従ったパスワードを設定する。</t>
    <phoneticPr fontId="7"/>
  </si>
  <si>
    <t>ISS.7</t>
    <phoneticPr fontId="7"/>
  </si>
  <si>
    <t>・左記に加え、クラウド環境管理用コンソールにアクセスする必要がある場合は、同コンソール用ユーザーのIDとパスワードを発行し、MFA（多要素認証）を必須とする。
・MFAの要素として、接続元IPアドレス制限や、ワンタイムパスワードなどを利用する。</t>
    <rPh sb="1" eb="3">
      <t>サキ</t>
    </rPh>
    <phoneticPr fontId="7"/>
  </si>
  <si>
    <t>ISS.8</t>
  </si>
  <si>
    <t>ISS.9</t>
  </si>
  <si>
    <t>左記に加え、クラウド環境管理用コンソールのパスワードについても対象とし、要件を満たしていることを確認する。</t>
    <phoneticPr fontId="7"/>
  </si>
  <si>
    <t>ISS.10</t>
  </si>
  <si>
    <t>左記に加え、クラウド環境管理用ユーザーを対象とし、当社側で設定可能な場合は要件通り設定する。</t>
    <phoneticPr fontId="7"/>
  </si>
  <si>
    <t>ISS.11</t>
  </si>
  <si>
    <t>ISS.12</t>
  </si>
  <si>
    <t>ISS.13</t>
  </si>
  <si>
    <t>ISS.14</t>
  </si>
  <si>
    <t>左記に加え、クラウド環境管理用コンソールについても考慮する。(例：クラウド環境管理者ユーザーのログインがあった場合に、あらかじめ設定したメールアドレスに通知される、など)
ただし、クラウド環境の仕様により表示できないケースが考えられるため、クラウド環境管理用コンソールのアクセスログを必要時に確認できることを確認する。</t>
    <rPh sb="0" eb="2">
      <t>サキ</t>
    </rPh>
    <phoneticPr fontId="7"/>
  </si>
  <si>
    <t>ISS.15</t>
  </si>
  <si>
    <t>左記に加え、クラウド環境管理用コンソールについて、同一IDによる同時使用を禁止する。</t>
    <phoneticPr fontId="7"/>
  </si>
  <si>
    <t>ISS.16</t>
    <phoneticPr fontId="7"/>
  </si>
  <si>
    <t>当社から当社外テナントやサービスへのアクセスを制限（監視し遮断）する。
「当社外テナントやサービスへのアクセス」とは、当社の業務端末から特定のクラウドサービスを利用する際に、当社が契約していないテナント(例えば個人契約や他社テナント）にアクセスできることを指し、情報の不正持ち出しリスクを招く。
「制限（監視し遮断）」とは、例えば利用対象のクラウドサービスに通信するためのProxyの通信許可設定において自社テナントに限定したドメインを指定した穴あけや、クラウドサービスへのHTTPS通信をデコードした上で想定外のテナントにログインしていないことをチェックする仕組みを指す。</t>
    <phoneticPr fontId="7"/>
  </si>
  <si>
    <t>ISS.17</t>
  </si>
  <si>
    <t>・左記に加え、クラウド環境管理用ユーザーについても考慮する。
・また、クラウド事業者が事業者内の運用管理者に付与する権限を必要最小限にしていること、特にアカウント管理、暗号鍵管理(生成・ローテーション・削除)の権限については、不用意に多数の管理者に付与していないことを確認する。</t>
    <phoneticPr fontId="7"/>
  </si>
  <si>
    <t>ISS.18</t>
  </si>
  <si>
    <t>・クラウド事業者が左記の対応を実施していることを確認する。
・参照権限者の限定については、クラウド事業者だけでなく当社も実施する。</t>
    <phoneticPr fontId="7"/>
  </si>
  <si>
    <t>ISS.19</t>
    <phoneticPr fontId="7"/>
  </si>
  <si>
    <t>クラウド事業者が左記の対応を実施していることを確認する。
特に、ログが暗号化された上で保存されていることを確認する。</t>
    <phoneticPr fontId="7"/>
  </si>
  <si>
    <t>ISS.20</t>
    <phoneticPr fontId="7"/>
  </si>
  <si>
    <t>クラウド環境上で暗号化データがある場合、クラウドの利用解約時に暗号鍵を廃棄する。
上記の対応ができない場合は、以下の方法でクラウド事業者に対し、解約時にデータの削除を要求する。
　・共用ディスク上のデータの論理削除
　・データを完全消去するツールの使用
　・記録媒体の消磁もしくは破壊</t>
  </si>
  <si>
    <t>ISS.21</t>
  </si>
  <si>
    <t>・左記に加え、クラウド環境に個人情報（ログに個人情報が含まれるものも対象）を保存する場合は暗号化を必須とする。
・クラウド事業者が左記の対応を実施していることを確認する。</t>
    <phoneticPr fontId="7"/>
  </si>
  <si>
    <t>ISS.22</t>
  </si>
  <si>
    <t>ISS.23</t>
  </si>
  <si>
    <t>・クラウド事業者が当社の許可なく暗号化されたデータを復号しないことを、契約や第三者機関による監査にて確認する。
・上記対策ができない場合、当社自身が暗号鍵を管理(鍵のローテーションや廃棄等)し、クラウド事業者が復号できないようにする。
・当社側で暗号鍵を管理する機能が提供されない場合、クラウド事業者にて鍵管理の仕組みや運用ルールが確立されていることを確認する。</t>
    <phoneticPr fontId="7"/>
  </si>
  <si>
    <t xml:space="preserve">クラウド環境では以下の通り、複数の観点で検討が必要である。
・クラウドサービスと利用者間の通信がTLSで保護されることをクラウド事業者に確認する。
・クラウド環境管理用コンソールへのアクセスがTLSで保護されることをクラウド事業者に確認する。
</t>
    <rPh sb="4" eb="6">
      <t>カンキョウ</t>
    </rPh>
    <rPh sb="8" eb="10">
      <t>イカ</t>
    </rPh>
    <rPh sb="11" eb="12">
      <t>トオ</t>
    </rPh>
    <rPh sb="14" eb="16">
      <t>フクスウ</t>
    </rPh>
    <rPh sb="17" eb="19">
      <t>カンテン</t>
    </rPh>
    <rPh sb="20" eb="22">
      <t>ケントウ</t>
    </rPh>
    <rPh sb="23" eb="25">
      <t>ヒツヨウ</t>
    </rPh>
    <rPh sb="40" eb="43">
      <t>リヨウシャ</t>
    </rPh>
    <rPh sb="43" eb="44">
      <t>アイダ</t>
    </rPh>
    <rPh sb="64" eb="67">
      <t>ジギョウシャ</t>
    </rPh>
    <rPh sb="68" eb="70">
      <t>カクニン</t>
    </rPh>
    <rPh sb="111" eb="113">
      <t>ジギョウ</t>
    </rPh>
    <rPh sb="113" eb="114">
      <t>シャ</t>
    </rPh>
    <phoneticPr fontId="7"/>
  </si>
  <si>
    <t>ISS.26</t>
  </si>
  <si>
    <t>・クラウド環境管理用コンソールへのアクセスは、セキュア環境を使用する。もしくはデータの持ち出しを制限した専用端末を用意し、管理用コンソール側で通信元IPアドレスを制限する。
・クラウド事業者がサーバ環境へログインする場合は、本番データが外部に持ち出せないよう制御されていることを確認する。
・アウトソースシステムについてはセキュア環境は存在しないため、各アウトソース先で用意する本番アクセス専用の環境からのアクセスに限定する。
・ただし、管理用コンソールから顧客情報にアクセスできない場合（設定変更しかできない場合）は、この限りではない。</t>
    <phoneticPr fontId="7"/>
  </si>
  <si>
    <t>ISS.27</t>
  </si>
  <si>
    <t>ISS.28</t>
  </si>
  <si>
    <t>ISS.29</t>
  </si>
  <si>
    <t>・クラウド事業者がアンチウイルスソフトを導入している場合は、クラウド事業者が左記の対応を実施していることを確認する。
・加えて、当社がサービスの運用、管理に用いる端末を個別に準備する場合は、当該端末にも左記の対応を実施する。</t>
    <rPh sb="60" eb="61">
      <t>クワ</t>
    </rPh>
    <rPh sb="81" eb="83">
      <t>タンマツ</t>
    </rPh>
    <rPh sb="95" eb="96">
      <t>トウ</t>
    </rPh>
    <rPh sb="96" eb="97">
      <t>ガイ</t>
    </rPh>
    <rPh sb="97" eb="99">
      <t>タンマツ</t>
    </rPh>
    <rPh sb="101" eb="103">
      <t>サキ</t>
    </rPh>
    <phoneticPr fontId="7"/>
  </si>
  <si>
    <t>ISS.38</t>
  </si>
  <si>
    <t>ISS.39</t>
  </si>
  <si>
    <t>ISS.40</t>
  </si>
  <si>
    <t>ISS.41</t>
  </si>
  <si>
    <t>クラウド事業者が左記の対応を実施していることを確認する。</t>
  </si>
  <si>
    <t>ISS.48</t>
  </si>
  <si>
    <t>当社テナントと他社テナントは、双方のデータに不正アクセスできないように、物理的または論理的に分離されていることを確認する。
許可していない第三者からの当社テナントへのアクセスを制限（監視し遮断）できることを確認する。
許可済の第三者からの当社テナントについては、アクセス権を必要最小限とする。</t>
    <phoneticPr fontId="7"/>
  </si>
  <si>
    <t>ISS.49</t>
  </si>
  <si>
    <t>ISS.51</t>
  </si>
  <si>
    <t>ISS.52</t>
  </si>
  <si>
    <t>ISS.53</t>
  </si>
  <si>
    <t>ISS.54</t>
  </si>
  <si>
    <t>ISS.55</t>
  </si>
  <si>
    <t>ISS.56</t>
  </si>
  <si>
    <t>ISS.57</t>
  </si>
  <si>
    <t>ISS.58</t>
  </si>
  <si>
    <t>ISS.62</t>
  </si>
  <si>
    <t>ISS.63</t>
  </si>
  <si>
    <t>ISS.64</t>
  </si>
  <si>
    <t>ISS.65</t>
  </si>
  <si>
    <t>2022/1/4追加</t>
    <rPh sb="8" eb="10">
      <t>ツイカ</t>
    </rPh>
    <phoneticPr fontId="7"/>
  </si>
  <si>
    <t>ISS.68</t>
  </si>
  <si>
    <t>2022/1/4追加
2023/7/3修正</t>
    <rPh sb="8" eb="10">
      <t>ツイカ</t>
    </rPh>
    <phoneticPr fontId="7"/>
  </si>
  <si>
    <t>ISS.69</t>
  </si>
  <si>
    <t>ISS.71</t>
  </si>
  <si>
    <t>ISS.72</t>
  </si>
  <si>
    <t>ISS.73</t>
  </si>
  <si>
    <t>ISS.74</t>
  </si>
  <si>
    <t>ISS.76</t>
  </si>
  <si>
    <t>ISS.77</t>
  </si>
  <si>
    <t>ISS.79</t>
  </si>
  <si>
    <t>ISS.80</t>
  </si>
  <si>
    <t>ISS.81</t>
  </si>
  <si>
    <t>ISS.82</t>
  </si>
  <si>
    <t>運用プロセスチェックシート（自社DC版）</t>
    <rPh sb="0" eb="2">
      <t>ウンヨウ</t>
    </rPh>
    <rPh sb="14" eb="16">
      <t>ジシャ</t>
    </rPh>
    <rPh sb="18" eb="19">
      <t>バン</t>
    </rPh>
    <phoneticPr fontId="7"/>
  </si>
  <si>
    <t>本シートは、構築対象のシステム（あるいは利用するサービス）のサービスイン後の運用についてお伺いするものです。</t>
    <rPh sb="0" eb="1">
      <t>ホン</t>
    </rPh>
    <rPh sb="6" eb="8">
      <t>コウチク</t>
    </rPh>
    <rPh sb="8" eb="10">
      <t>タイショウ</t>
    </rPh>
    <rPh sb="20" eb="22">
      <t>リヨウ</t>
    </rPh>
    <rPh sb="36" eb="37">
      <t>アト</t>
    </rPh>
    <rPh sb="38" eb="40">
      <t>ウンヨウ</t>
    </rPh>
    <rPh sb="45" eb="46">
      <t>ウカガ</t>
    </rPh>
    <phoneticPr fontId="7"/>
  </si>
  <si>
    <t>1. 資産の管理</t>
    <rPh sb="3" eb="5">
      <t>シサン</t>
    </rPh>
    <rPh sb="6" eb="8">
      <t>カンリ</t>
    </rPh>
    <phoneticPr fontId="7"/>
  </si>
  <si>
    <t>OOD.1</t>
    <phoneticPr fontId="7"/>
  </si>
  <si>
    <t>保管期限を超過したデータを削除する設計としているか。</t>
    <rPh sb="17" eb="19">
      <t>セッケイ</t>
    </rPh>
    <phoneticPr fontId="7"/>
  </si>
  <si>
    <t>OOD.2</t>
    <phoneticPr fontId="7"/>
  </si>
  <si>
    <t>システムで利用するハードウェアや記憶媒体を廃棄、または、リース会社へ機器を返却する場合のデータ消去※の確実な実施、記録、記録の保管についての運用が設計されているか。
※データ消去は第三者に廃棄を委託する場合も含め、以下のような復元不可能な方法で実施すること
　・消磁等の物理的消去　
　・データの上書き等の論理的消去　
　なお、消去にあたっては記憶媒体の特性を踏まえて選択する必要がある。
　例えばSSDは消磁が出来ないので注意すること。</t>
    <rPh sb="5" eb="7">
      <t>リヨウ</t>
    </rPh>
    <rPh sb="108" eb="110">
      <t>イカ</t>
    </rPh>
    <rPh sb="114" eb="116">
      <t>フクゲン</t>
    </rPh>
    <rPh sb="116" eb="119">
      <t>フカノウ</t>
    </rPh>
    <rPh sb="123" eb="125">
      <t>ジッシ</t>
    </rPh>
    <rPh sb="149" eb="151">
      <t>ウワガ</t>
    </rPh>
    <rPh sb="152" eb="153">
      <t>ナド</t>
    </rPh>
    <rPh sb="165" eb="167">
      <t>ショウキョ</t>
    </rPh>
    <rPh sb="173" eb="175">
      <t>キオク</t>
    </rPh>
    <rPh sb="175" eb="177">
      <t>バイタイ</t>
    </rPh>
    <rPh sb="178" eb="180">
      <t>トクセイ</t>
    </rPh>
    <rPh sb="181" eb="182">
      <t>フ</t>
    </rPh>
    <rPh sb="185" eb="187">
      <t>センタク</t>
    </rPh>
    <rPh sb="189" eb="191">
      <t>ヒツヨウ</t>
    </rPh>
    <rPh sb="197" eb="198">
      <t>タト</t>
    </rPh>
    <rPh sb="204" eb="205">
      <t>ケ</t>
    </rPh>
    <phoneticPr fontId="7"/>
  </si>
  <si>
    <t>システムで利用するハードウェアや記憶媒体を廃棄、または、リース会社へ機器を返却する場合のデータ消去を他社に委託する場合、委託先との間での秘密保持契約を締結する運用としているか。</t>
    <rPh sb="75" eb="77">
      <t>テイケツ</t>
    </rPh>
    <rPh sb="79" eb="81">
      <t>ウンヨウ</t>
    </rPh>
    <phoneticPr fontId="7"/>
  </si>
  <si>
    <t>2. アカウントの管理</t>
    <rPh sb="9" eb="11">
      <t>カンリ</t>
    </rPh>
    <phoneticPr fontId="7"/>
  </si>
  <si>
    <t>OOD.4</t>
    <phoneticPr fontId="7"/>
  </si>
  <si>
    <t>システムのユーザ、運用担当者のIDの発行管理（ID申請・登録・変更・削除など）に係わるルール・手順が文書で定められているか
また、以下のことがルール・手順として定められているか。
・運用担当者のIDの発行、変更、削除は管理者の承認がなければ実施できない
・本番データにアクセス可能なＩＤをシステム運用者に付与する場合の基準・対象者を明確にしている
・ユーザおよび運用担当者のIDの発行履歴（ID申請・登録・変更・削除など）を３年間保存する</t>
    <rPh sb="9" eb="11">
      <t>ウンヨウ</t>
    </rPh>
    <rPh sb="11" eb="13">
      <t>タントウ</t>
    </rPh>
    <rPh sb="13" eb="14">
      <t>シャ</t>
    </rPh>
    <rPh sb="66" eb="68">
      <t>イカ</t>
    </rPh>
    <rPh sb="76" eb="78">
      <t>テジュン</t>
    </rPh>
    <rPh sb="81" eb="82">
      <t>サダ</t>
    </rPh>
    <rPh sb="92" eb="94">
      <t>ウンヨウ</t>
    </rPh>
    <rPh sb="94" eb="97">
      <t>タントウシャ</t>
    </rPh>
    <rPh sb="101" eb="103">
      <t>ハッコウ</t>
    </rPh>
    <rPh sb="104" eb="106">
      <t>ヘンコウ</t>
    </rPh>
    <rPh sb="107" eb="109">
      <t>サクジョ</t>
    </rPh>
    <rPh sb="110" eb="113">
      <t>カンリシャ</t>
    </rPh>
    <rPh sb="114" eb="116">
      <t>ショウニン</t>
    </rPh>
    <rPh sb="121" eb="123">
      <t>ジッシ</t>
    </rPh>
    <phoneticPr fontId="7"/>
  </si>
  <si>
    <t>OOD.5</t>
  </si>
  <si>
    <t xml:space="preserve">不要もしくは一定期間利用されていない運用担当者アカウントの棚卸を定期的に実施する運用を設計しているか。
また、IDの有効期間を経過した場合は、期間終了時に利用不可とし、
人事異動に伴う事象では人事システムと連動することで不要な権限の剥奪を自動化しているか
</t>
    <phoneticPr fontId="7"/>
  </si>
  <si>
    <t>●</t>
    <phoneticPr fontId="19"/>
  </si>
  <si>
    <t>OOD.6</t>
  </si>
  <si>
    <t>オーナ部門用ＩＤを発行するシステムの場合は、ＩＤの使用要否をＩＤ所有者へ定期的に確認する運用を設計しているか。</t>
    <rPh sb="47" eb="49">
      <t>セッケイ</t>
    </rPh>
    <phoneticPr fontId="7"/>
  </si>
  <si>
    <t>OOD.7</t>
  </si>
  <si>
    <t>特権IDの作成権限をもつIDや、マイナンバー(法人番号は含まない)・クレカ情報へのアクセス権をもつIDの管理業務(※)は、ID管理部門(当社においてはITサ支援部)が行う運用としているか。
※管理業務とは、IDの新規作成、貸出、廃止、PW変更、PWロック解除、棚卸を指す。</t>
    <phoneticPr fontId="7"/>
  </si>
  <si>
    <t>OOD.8</t>
  </si>
  <si>
    <t xml:space="preserve">特権IDを保有しない要員へ障害対応などにより一時的に特権IDを払い出す時は、その申請ルール（運用部門への申請を必要とする）を定めているか。
また、上記の目的で貸し出された特権IＤや強い権限のパーミッション等は使用期間を経過したら使用できない仕組み(実装や運用)になっているか。
</t>
    <rPh sb="5" eb="7">
      <t>ホユウ</t>
    </rPh>
    <rPh sb="10" eb="12">
      <t>ヨウイン</t>
    </rPh>
    <rPh sb="46" eb="48">
      <t>ウンヨウ</t>
    </rPh>
    <rPh sb="48" eb="50">
      <t>ブモン</t>
    </rPh>
    <phoneticPr fontId="7"/>
  </si>
  <si>
    <t>3. 運用管理</t>
    <rPh sb="3" eb="5">
      <t>ウンヨウ</t>
    </rPh>
    <rPh sb="5" eb="7">
      <t>カンリ</t>
    </rPh>
    <phoneticPr fontId="7"/>
  </si>
  <si>
    <t>3.1. 作業管理</t>
    <rPh sb="5" eb="7">
      <t>サギョウ</t>
    </rPh>
    <rPh sb="7" eb="9">
      <t>カンリ</t>
    </rPh>
    <phoneticPr fontId="7"/>
  </si>
  <si>
    <t>OOD.9</t>
    <phoneticPr fontId="7"/>
  </si>
  <si>
    <t>開発担当者による定例的な作業や、特権IDの使用を前提とした定例運用を行わないよう設計しているか。</t>
    <rPh sb="0" eb="2">
      <t>カイハツ</t>
    </rPh>
    <rPh sb="2" eb="5">
      <t>タントウシャ</t>
    </rPh>
    <rPh sb="8" eb="11">
      <t>テイレイテキ</t>
    </rPh>
    <rPh sb="12" eb="14">
      <t>サギョウ</t>
    </rPh>
    <rPh sb="16" eb="18">
      <t>トッケン</t>
    </rPh>
    <rPh sb="21" eb="23">
      <t>シヨウ</t>
    </rPh>
    <rPh sb="24" eb="26">
      <t>ゼンテイ</t>
    </rPh>
    <rPh sb="29" eb="31">
      <t>テイレイ</t>
    </rPh>
    <rPh sb="31" eb="33">
      <t>ウンヨウ</t>
    </rPh>
    <rPh sb="34" eb="35">
      <t>オコナ</t>
    </rPh>
    <rPh sb="40" eb="42">
      <t>セッケイ</t>
    </rPh>
    <phoneticPr fontId="7"/>
  </si>
  <si>
    <t>OOD.10</t>
  </si>
  <si>
    <t>システムで利用しているコンポーネントのVerなどの構成情報を取得し、常に最新の情報となるよう管理すること。また、収集した構成情報はITサービス管理部と共有できる体制を整備すること。
なお、当社内環境に構築したシステムにおいては、SAM基盤による構成管理が標準である。</t>
    <phoneticPr fontId="7"/>
  </si>
  <si>
    <t>OOD.11</t>
  </si>
  <si>
    <t>2022/7/1追加
2023/1/4修正</t>
    <rPh sb="8" eb="10">
      <t>ツイカ</t>
    </rPh>
    <rPh sb="19" eb="21">
      <t>シュウセイ</t>
    </rPh>
    <phoneticPr fontId="7"/>
  </si>
  <si>
    <t>OOD.12</t>
  </si>
  <si>
    <t>3.1.4.</t>
  </si>
  <si>
    <t xml:space="preserve">システムの開発、運用、管理に用いる端末にソフトウェアを導入する場合、管理部門に申請が必要となるルールとしているか。
また、許可なく導入したソフトウェア（不正ソフトウェア）を検知する機能を実装し、検知・報告を行っているか
</t>
    <rPh sb="14" eb="15">
      <t>トウ</t>
    </rPh>
    <rPh sb="57" eb="60">
      <t>ゼイジャクセイ</t>
    </rPh>
    <rPh sb="60" eb="62">
      <t>シンダン</t>
    </rPh>
    <phoneticPr fontId="7"/>
  </si>
  <si>
    <t>OOD.13</t>
  </si>
  <si>
    <t xml:space="preserve">システムで稼動するOSやソフトウエアにおいて、脆弱性が判明した場合は、速やかにパッチ適用することとしているか
・ベンダー(加えてシステムズITサ管理およびTMNFリスク管理G)にて「緊急」と判定された場合、速やかにセキュリティパッチを適用すること。直ちにセキュリティパ ッチを適用することが難しい場合は、設定変更等による緩和策の実施や、WAF/IPS の仮想パッチによる攻撃の防御を検討する。 
・緊急性が高いとは判断されなかった脆弱性についても、定期的なパッチ適用プロセスに従い適用する。 （以下の場合は要件を満たすように設計すること。）
　・対応ランクAのWindowsサーバ、もしくは不特定からのメール受信や任意のサイトアクセスができる端末：毎月
　・対応ランクB1以下のWindowsサーバ、もしくは対応ランクAのRHELサーバ、もしくは上記以外の端末：年2回以上
</t>
    <rPh sb="62" eb="63">
      <t>クワ</t>
    </rPh>
    <rPh sb="101" eb="103">
      <t>バアイ</t>
    </rPh>
    <rPh sb="249" eb="251">
      <t>イカ</t>
    </rPh>
    <rPh sb="252" eb="254">
      <t>バアイ</t>
    </rPh>
    <rPh sb="255" eb="257">
      <t>ヨウケン</t>
    </rPh>
    <rPh sb="258" eb="259">
      <t>ミ</t>
    </rPh>
    <rPh sb="264" eb="266">
      <t>セッケイ</t>
    </rPh>
    <phoneticPr fontId="7"/>
  </si>
  <si>
    <t>OOD.14</t>
  </si>
  <si>
    <t>3.1.6.</t>
    <phoneticPr fontId="7"/>
  </si>
  <si>
    <t>Windowsサーバ、端末については、OS、ブラウザ（IEやEdge)、Officeのセキュリティパッチを定期的に適用する運用となっているか</t>
    <phoneticPr fontId="7"/>
  </si>
  <si>
    <t>OOD.15</t>
  </si>
  <si>
    <t>3.1.7.</t>
    <phoneticPr fontId="7"/>
  </si>
  <si>
    <r>
      <t xml:space="preserve">リリース前に脆弱性診断を実施する計画とし、リリース後は以下脆弱性診断を行う運用としているか。
・プラットフォーム診断：月1回（※）
・Webアプリ診断：対応ランクAシステムは年1回
加えて、アウトソースシステムは定期的にペネトレーションテスト（侵入テスト）を行う運用としているか。
（※）月1回のプラットフォーム診断が難しい場合は、緊急性の高い脆弱性が公表された際に実施するITサービス管理部からの確認依頼の際に、脆弱性の影響調査が行える態勢を設備し、脆弱性の影響を受ける場合には迅速に対応できる運用としているか。
</t>
    </r>
    <r>
      <rPr>
        <b/>
        <sz val="14"/>
        <color rgb="FFFF0000"/>
        <rFont val="Yu Gothic"/>
        <family val="3"/>
        <charset val="128"/>
        <scheme val="minor"/>
      </rPr>
      <t>（アウトソースシステムは、回答で「YES」を選択した場合でも、診断・評価の頻度を備考欄に記入する。）</t>
    </r>
    <phoneticPr fontId="7"/>
  </si>
  <si>
    <t>OOD.16</t>
  </si>
  <si>
    <t>3.1.8.</t>
    <phoneticPr fontId="7"/>
  </si>
  <si>
    <r>
      <t>構築対象の各種通信機器や要件において、以下の棚卸しを定期的に実施する運用としているか。
・不要なファイアウォールのフィルタリングルールがないか確認
・不要なプロキシサーバの通信設定がないか確認（ログを定期的に確認）</t>
    </r>
    <r>
      <rPr>
        <sz val="14"/>
        <color theme="2"/>
        <rFont val="Yu Gothic"/>
        <family val="3"/>
        <charset val="128"/>
        <scheme val="minor"/>
      </rPr>
      <t xml:space="preserve">
</t>
    </r>
    <r>
      <rPr>
        <sz val="14"/>
        <rFont val="Yu Gothic"/>
        <family val="3"/>
        <charset val="128"/>
        <scheme val="minor"/>
      </rPr>
      <t>・業務仕様の変更やシステムの改廃に合わせて、各セグメント間のアクセス制御設計およびネットワーク機器のACLの見直し</t>
    </r>
    <rPh sb="0" eb="2">
      <t>コウチク</t>
    </rPh>
    <rPh sb="2" eb="4">
      <t>タイショウ</t>
    </rPh>
    <rPh sb="5" eb="7">
      <t>カクシュ</t>
    </rPh>
    <rPh sb="7" eb="9">
      <t>ツウシン</t>
    </rPh>
    <rPh sb="9" eb="11">
      <t>キキ</t>
    </rPh>
    <rPh sb="12" eb="14">
      <t>ヨウケン</t>
    </rPh>
    <rPh sb="19" eb="21">
      <t>イカ</t>
    </rPh>
    <rPh sb="26" eb="29">
      <t>テイキテキ</t>
    </rPh>
    <rPh sb="30" eb="32">
      <t>ジッシ</t>
    </rPh>
    <rPh sb="34" eb="36">
      <t>ウンヨウ</t>
    </rPh>
    <rPh sb="76" eb="78">
      <t>フヨウ</t>
    </rPh>
    <rPh sb="89" eb="91">
      <t>セッテイ</t>
    </rPh>
    <rPh sb="95" eb="97">
      <t>カクニン</t>
    </rPh>
    <rPh sb="156" eb="158">
      <t>キキ</t>
    </rPh>
    <rPh sb="163" eb="165">
      <t>ミナオ</t>
    </rPh>
    <phoneticPr fontId="7"/>
  </si>
  <si>
    <t>OOD.17</t>
  </si>
  <si>
    <t>3.1.9.</t>
    <phoneticPr fontId="7"/>
  </si>
  <si>
    <t>ランサムウェア感染時の対策として、ランサムウェア対応分類A,Bのシステムについては、システム構築時にバックアップデータからのリストア手順を整備するとともに、システム構築時および改定時にリストアテストを実施する計画としているか。
また、ランサムウェア対応分類Aのシステムについては、リストアの成否やRTO,RPOに大きな影響が出るレベルのシステム改定が発生した場合にもリストアテストを実施する計画としているか。</t>
    <phoneticPr fontId="7"/>
  </si>
  <si>
    <t>2021/12/1追加
2022/4/1修正</t>
    <rPh sb="9" eb="11">
      <t>ツイカ</t>
    </rPh>
    <rPh sb="20" eb="22">
      <t>シュウセイ</t>
    </rPh>
    <phoneticPr fontId="7"/>
  </si>
  <si>
    <t>3.2. ログ管理</t>
    <rPh sb="7" eb="9">
      <t>カンリ</t>
    </rPh>
    <phoneticPr fontId="7"/>
  </si>
  <si>
    <t>インターネットからアクセスされるサーバ、通信回線装置、通信回線やアプリケーションについて、不正アクセス等の監視を行うよう設計しているか。
特に、認証機能を持つシステムについては、アクセス元IPアドレスや認証成功・失敗状況を確認することで、ブルートフォース攻撃やリスト型アカウントハッキング攻撃等の不正なログインを監視する設計としているか。</t>
    <phoneticPr fontId="7"/>
  </si>
  <si>
    <t>3.2.2.</t>
  </si>
  <si>
    <t>セキュリティインシデント発生時の調査を可能とするために、管理・運用している機器、アプリケーションを対象に、システム上の制限や扱う情報の重要度を考慮して、取得するログの種類、取得方法、取得頻度を定めているか。
また、取得するログの種類には、原則として以下を含め「いつ」「だれ・どこから」「どこに」「何をしたか(要求したか)」「その結果」が判断できるログを取得する設計としているか。
　a. サーバー、ネットワーク、アプリケーションのアクセスログ
　　(例：時刻、アクセス元情報※、接続先情報、リクエストの内容、レスポンス結果など）
　b. イベントログ
　c. ファイアウォールの通信ログ(遮断ログ)
　d. WAF、IPS、IDS、認証ログ等のセキュリティログ
　e.エンドポイント、M365、メール、ADなどの監査ログ
なお、本要件は開発環境に設置されたシステムであっても同様である。
※Webサーバのログに通信元のIPアドレスを取得する場合は以下の点に注意すること。
　・セキュアドGW経由の場合、htmlの「X-Forwarded-For」が通信元IPに該当する
　・Akamai KONA経由の場合、htmlの「True-Client-IP」が通信元IPに該当する</t>
    <phoneticPr fontId="7"/>
  </si>
  <si>
    <t>3.2.3.</t>
    <phoneticPr fontId="7"/>
  </si>
  <si>
    <t>マイナンバー（法人番号は含まない）に関する下記のログを取得しているか。
　・オンライントランザクションログ 
　・バッチトランザクションログ 
　・システム管理者等ＤＢサーバへのアクセス者による操作ログ
　・外部委託先等へデータ伝送を行ったログ
また、ログには「いつ」「誰が」「どの番号」を利用したかが調査可能な項目を取得する設計を施し、以下に例示するような安全に保管する対策を施しているか。
　保管例）
　・ログ取得対象の機器類とは論理的又は物理的に分離したストレージやサーバなどで保管
　・ログを改ざんできない形式で保管
　・ログを暗号化し保管する場合、暗号鍵はデータとは別場所で耐タンパー性を有する暗号
　　モジュールへ格納し、管理者以外アクセス不可能な保存媒体及び保存場所へ格納する。
　・ログの変更権限を持つアカウントは特権IDに限定し、特権ＩＤの利用をモニタリングする</t>
    <phoneticPr fontId="7"/>
  </si>
  <si>
    <t>OOD.21</t>
  </si>
  <si>
    <t>3.2.4.</t>
    <phoneticPr fontId="7"/>
  </si>
  <si>
    <t>マイナンバー(法人番号は含まない)を保管する場合は、情報漏えい防止の観点から、以下の観点で定期的に第三者モニタリング（※）を行う。
　　a.システム管理者等ＤＢサーバアクセス者による操作 
　　b.マイナンバーおよび復号鍵、並びに復号プログラムに対する操作 
　　c.ＤＢサーバ内もしくはログ保管専用サーバに保持しているアクセスログに対する操作
　　d.データのダウンロード操作
※当社の場合、GRC支援部のモニタリングが標準である。</t>
  </si>
  <si>
    <t>OOD.22</t>
  </si>
  <si>
    <t>3.2.5.</t>
    <phoneticPr fontId="7"/>
  </si>
  <si>
    <t>取得した監査ログおよび監視記録は、３年保存する設計としているか。
（ただし、マイナンバー（法人番号は含まない）に関する監査ログは７年保存し、直近３カ月間分はすぐに調査できる状態で保管すること）
また、必要なログ量を確認できるだけのディスク容量等を設計しているか。</t>
    <phoneticPr fontId="7"/>
  </si>
  <si>
    <t>2022/7/1修正
2023/1/4修正</t>
    <rPh sb="8" eb="10">
      <t>シュウセイ</t>
    </rPh>
    <rPh sb="19" eb="21">
      <t>シュウセイ</t>
    </rPh>
    <phoneticPr fontId="7"/>
  </si>
  <si>
    <t>OOD.23</t>
  </si>
  <si>
    <t>3.2.6.</t>
  </si>
  <si>
    <t>送信した電子メールは、３年保存する設計としているか。</t>
    <rPh sb="17" eb="19">
      <t>セッケイ</t>
    </rPh>
    <phoneticPr fontId="7"/>
  </si>
  <si>
    <t>OOD.24</t>
  </si>
  <si>
    <t>3.2.7.</t>
  </si>
  <si>
    <t>通信回線装置上での証跡（通信回線の不正利用、電子計算機または通信回線装置への不正アクセス、送受信される情報の盗聴、改ざん、破壊）を取得／保存する設計としているか。</t>
    <rPh sb="72" eb="74">
      <t>セッケイ</t>
    </rPh>
    <phoneticPr fontId="7"/>
  </si>
  <si>
    <t>OOD.25</t>
  </si>
  <si>
    <t>3.2.8.</t>
  </si>
  <si>
    <t>ホスト、サーバ単位でシステムの操作記録（アクセス者、アクセス先、時刻など）を取得／保存する設計としているか。
さらに、業務的な調査のために、操作内容（ホストはＩＭＳログの画面上り・下り情報。サーバーでは重要なＤＢのＳＱＬパラメータ情報。）を取得しているか。</t>
    <rPh sb="45" eb="47">
      <t>セッケイ</t>
    </rPh>
    <phoneticPr fontId="7"/>
  </si>
  <si>
    <t>OOD.26</t>
  </si>
  <si>
    <t>3.2.9.</t>
  </si>
  <si>
    <t>システム、サーバ、通信回線装置、通信回線の稼動／負荷状況、メモリやディスクの逼迫、障害の発生／種別　をリアルタイムに検知し、報告、取得、保存する設計としているか。</t>
    <rPh sb="72" eb="74">
      <t>セッケイ</t>
    </rPh>
    <phoneticPr fontId="7"/>
  </si>
  <si>
    <t>OOD.27</t>
  </si>
  <si>
    <t>3.2.10.</t>
  </si>
  <si>
    <t>ドメインにレジストラ（お名前.comなど）を利用する際は、レジストラのサイトへのログイン時に、事前に登録したメアドにログインを通知する機能があれば活用し、なりすましによる乗っ取りが発生していないか確認しているか。</t>
    <rPh sb="85" eb="86">
      <t>ノ</t>
    </rPh>
    <rPh sb="87" eb="88">
      <t>ト</t>
    </rPh>
    <rPh sb="90" eb="92">
      <t>ハッセイ</t>
    </rPh>
    <rPh sb="98" eb="100">
      <t>カクニン</t>
    </rPh>
    <phoneticPr fontId="7"/>
  </si>
  <si>
    <t>4. 個別要件</t>
    <rPh sb="3" eb="5">
      <t>コベツ</t>
    </rPh>
    <rPh sb="5" eb="7">
      <t>ヨウケン</t>
    </rPh>
    <phoneticPr fontId="7"/>
  </si>
  <si>
    <t>4.1.1.</t>
    <phoneticPr fontId="10"/>
  </si>
  <si>
    <r>
      <t xml:space="preserve">構築対象の端末の紛失・盗難有無の確認のため、端末管理簿と端末現物の突合せチェック（在高管理）を行う運用としているか
</t>
    </r>
    <r>
      <rPr>
        <b/>
        <sz val="14"/>
        <color rgb="FFFF0000"/>
        <rFont val="Yu Gothic"/>
        <family val="3"/>
        <charset val="128"/>
        <scheme val="minor"/>
      </rPr>
      <t>（アウトソースシステムは、回答で「YES」を選択した場合、下記のうち該当する番号を備考欄に記入する。）</t>
    </r>
    <r>
      <rPr>
        <b/>
        <sz val="14"/>
        <rFont val="Yu Gothic"/>
        <family val="3"/>
        <charset val="128"/>
        <scheme val="minor"/>
      </rPr>
      <t xml:space="preserve">
</t>
    </r>
    <r>
      <rPr>
        <sz val="14"/>
        <rFont val="Yu Gothic"/>
        <family val="3"/>
        <charset val="128"/>
        <scheme val="minor"/>
      </rPr>
      <t xml:space="preserve">
[在高管理頻度]
１．月次以上に頻繁
２．年次以上に頻繁
３．年次より少ない</t>
    </r>
    <rPh sb="0" eb="4">
      <t>コウチクタイショウ</t>
    </rPh>
    <rPh sb="5" eb="7">
      <t>タンマツ</t>
    </rPh>
    <phoneticPr fontId="7"/>
  </si>
  <si>
    <t>OOD.29</t>
  </si>
  <si>
    <t>OOD.30</t>
  </si>
  <si>
    <t>構築対象の環境のActive Directoryの認証ログを取得し、以下のような観点で分析する運用を設計しているか。
・ドメインの管理者アカウントの利用は運用記録をとり、認証ログと突合せ、記録に無いログイン履歴が無いことを確認する。
・認証成功および認証失敗のログを取得する設定する。（Active Directoryのデフォルト設定は成功ログのみ取得なので注意）。</t>
    <rPh sb="0" eb="2">
      <t>コウチク</t>
    </rPh>
    <rPh sb="2" eb="4">
      <t>タイショウ</t>
    </rPh>
    <rPh sb="5" eb="7">
      <t>カンキョウ</t>
    </rPh>
    <rPh sb="47" eb="49">
      <t>ウンヨウ</t>
    </rPh>
    <rPh sb="50" eb="52">
      <t>セッケイ</t>
    </rPh>
    <rPh sb="119" eb="121">
      <t>ニンショウ</t>
    </rPh>
    <rPh sb="121" eb="123">
      <t>セイコウ</t>
    </rPh>
    <rPh sb="180" eb="182">
      <t>チュウイ</t>
    </rPh>
    <phoneticPr fontId="7"/>
  </si>
  <si>
    <t>OOD.31</t>
  </si>
  <si>
    <t>構築対象の端末が不特定のインターネットアクセスや外部からのメール受信を行う場合、セキュリティ担当から連携される悪性な通信先サイトをWebフィルタリング等のブラックリストに追加し、閲覧を制限する運用を設計しているか。</t>
    <rPh sb="46" eb="48">
      <t>タントウ</t>
    </rPh>
    <rPh sb="50" eb="52">
      <t>レンケイ</t>
    </rPh>
    <rPh sb="55" eb="57">
      <t>アクセイ</t>
    </rPh>
    <rPh sb="58" eb="60">
      <t>ツウシン</t>
    </rPh>
    <rPh sb="60" eb="61">
      <t>サキ</t>
    </rPh>
    <rPh sb="75" eb="76">
      <t>ナド</t>
    </rPh>
    <rPh sb="85" eb="87">
      <t>ツイカ</t>
    </rPh>
    <rPh sb="89" eb="91">
      <t>エツラン</t>
    </rPh>
    <rPh sb="92" eb="94">
      <t>セイゲン</t>
    </rPh>
    <rPh sb="96" eb="98">
      <t>ウンヨウ</t>
    </rPh>
    <rPh sb="99" eb="101">
      <t>セッケイ</t>
    </rPh>
    <phoneticPr fontId="7"/>
  </si>
  <si>
    <t>OOD.32</t>
  </si>
  <si>
    <t>構築対象の端末が不特定のインターネットアクセスや外部からのメール受信を行う場合、悪性のハッシュ値，URL，IPアドレス等の情報を入手した際に、当該ファイルの保持状況やアクセス履歴の有無を確認する運用を設計しているか。</t>
    <rPh sb="40" eb="42">
      <t>アクセイ</t>
    </rPh>
    <rPh sb="61" eb="63">
      <t>ジョウホウ</t>
    </rPh>
    <rPh sb="64" eb="66">
      <t>ニュウシュ</t>
    </rPh>
    <rPh sb="68" eb="69">
      <t>サイ</t>
    </rPh>
    <rPh sb="71" eb="72">
      <t>トウ</t>
    </rPh>
    <rPh sb="72" eb="73">
      <t>ガイ</t>
    </rPh>
    <rPh sb="78" eb="80">
      <t>ホジ</t>
    </rPh>
    <rPh sb="80" eb="82">
      <t>ジョウキョウ</t>
    </rPh>
    <rPh sb="87" eb="89">
      <t>リレキ</t>
    </rPh>
    <phoneticPr fontId="7"/>
  </si>
  <si>
    <t>OOD.33</t>
  </si>
  <si>
    <t>構築対象の端末が不特定のインターネットアクセスや外部からのメール受信を行う場合、インターネット接続時に経由するファイアウォールの通信ログを取得し、想定した通信要件以外の通信ログ(遮断ログ)がないかを日次で確認する運用を設計しているか。</t>
    <rPh sb="69" eb="71">
      <t>シュトク</t>
    </rPh>
    <rPh sb="106" eb="108">
      <t>ウンヨウ</t>
    </rPh>
    <rPh sb="109" eb="111">
      <t>セッケイ</t>
    </rPh>
    <phoneticPr fontId="7"/>
  </si>
  <si>
    <t>OOD.34</t>
  </si>
  <si>
    <r>
      <t xml:space="preserve">構築対象の端末が外部媒体への書き出しを行う場合、書き出しログを取得し、不正な作成（業務目的を超えた書き出し）を管理者がモニタリングする運用を設計しているか。
</t>
    </r>
    <r>
      <rPr>
        <b/>
        <sz val="14"/>
        <color rgb="FFFF0000"/>
        <rFont val="Yu Gothic"/>
        <family val="3"/>
        <charset val="128"/>
        <scheme val="minor"/>
      </rPr>
      <t>（アウトソースシステムは、回答で「YES」を選択した場合、下記のうち該当する番号を備考欄に記入する。）</t>
    </r>
    <r>
      <rPr>
        <b/>
        <sz val="14"/>
        <color theme="1"/>
        <rFont val="Yu Gothic"/>
        <family val="3"/>
        <charset val="128"/>
        <scheme val="minor"/>
      </rPr>
      <t xml:space="preserve">
</t>
    </r>
    <r>
      <rPr>
        <sz val="14"/>
        <color theme="1"/>
        <rFont val="Yu Gothic"/>
        <family val="3"/>
        <charset val="128"/>
        <scheme val="minor"/>
      </rPr>
      <t>[モニタリング頻度]
１．日次以上に頻繁
２．週次以上に頻繁
３．月次以上に頻繁
４．年次より少ない もしくは不定期</t>
    </r>
    <rPh sb="0" eb="2">
      <t>コウチク</t>
    </rPh>
    <rPh sb="2" eb="4">
      <t>タイショウ</t>
    </rPh>
    <rPh sb="5" eb="7">
      <t>タンマツ</t>
    </rPh>
    <rPh sb="19" eb="20">
      <t>オコナ</t>
    </rPh>
    <rPh sb="21" eb="23">
      <t>バアイ</t>
    </rPh>
    <rPh sb="24" eb="25">
      <t>カ</t>
    </rPh>
    <rPh sb="26" eb="27">
      <t>ダ</t>
    </rPh>
    <rPh sb="41" eb="43">
      <t>ギョウム</t>
    </rPh>
    <rPh sb="43" eb="45">
      <t>モクテキ</t>
    </rPh>
    <rPh sb="46" eb="47">
      <t>コ</t>
    </rPh>
    <rPh sb="49" eb="50">
      <t>カ</t>
    </rPh>
    <rPh sb="51" eb="52">
      <t>ダ</t>
    </rPh>
    <rPh sb="67" eb="69">
      <t>ウンヨウ</t>
    </rPh>
    <rPh sb="70" eb="72">
      <t>セッケイ</t>
    </rPh>
    <phoneticPr fontId="7"/>
  </si>
  <si>
    <t>OOD.35</t>
  </si>
  <si>
    <t>OOD.36</t>
  </si>
  <si>
    <t>不特定からのメールを受信する場合、メールゲートウェイやメールサーバでのウィルス検知状況をモニタリングし、ウィルスが検知された場合の対応手順を定めているか。</t>
    <rPh sb="65" eb="67">
      <t>タイオウ</t>
    </rPh>
    <rPh sb="70" eb="71">
      <t>サダ</t>
    </rPh>
    <phoneticPr fontId="7"/>
  </si>
  <si>
    <t>OOD.37</t>
  </si>
  <si>
    <r>
      <t xml:space="preserve">構築対象のプロキシサーバの通信ログおよび認証ログを取得し、以下の観点で分析する運用を設計しているか。以下の観点で監視および定期的に分析しているか。
＜通信ログ＞
・規則的に再接続を試みるアクセスの有無を確認し、接続元と接続先のIPアドレスの調査から、コネクトバック通信を行っている端末がないか。(推奨)
・CONNECTメソッドを使用して、許可されていないポート番号で接続しようとしている通信ログ（遮断ログ）がないか。(必須)
＜認証ログ＞
・特定のユーザIDに対するブルートフォースによる認証の試行が無いか(必須)
・パスワードを固定してユーザIDを変化させる認証の試行が無いか(必須)
・同一の時間帯に同一ＩＤによるログインが複数端末から発生していないか(必須)
・深夜等の業務時間外に特定端末から定期的に認証ログが発生していないか(必須)
</t>
    </r>
    <r>
      <rPr>
        <sz val="14"/>
        <color rgb="FFFF0000"/>
        <rFont val="Yu Gothic"/>
        <family val="3"/>
        <charset val="128"/>
        <scheme val="minor"/>
      </rPr>
      <t xml:space="preserve">
</t>
    </r>
    <r>
      <rPr>
        <b/>
        <sz val="14"/>
        <color rgb="FFFF0000"/>
        <rFont val="Yu Gothic"/>
        <family val="3"/>
        <charset val="128"/>
        <scheme val="minor"/>
      </rPr>
      <t>（アウトソースシステムの場合、回答で「YES」を選択した場合は、下記のうち該当する番号を全て備考欄に記入する。）</t>
    </r>
    <r>
      <rPr>
        <sz val="14"/>
        <color rgb="FFFF0000"/>
        <rFont val="Yu Gothic"/>
        <family val="3"/>
        <charset val="128"/>
        <scheme val="minor"/>
      </rPr>
      <t xml:space="preserve">
</t>
    </r>
    <r>
      <rPr>
        <sz val="14"/>
        <color theme="1"/>
        <rFont val="Yu Gothic"/>
        <family val="3"/>
        <charset val="128"/>
        <scheme val="minor"/>
      </rPr>
      <t xml:space="preserve">1.ログの取得
2.ログの監視
3.ログの定期的な分析
</t>
    </r>
    <rPh sb="0" eb="2">
      <t>コウチク</t>
    </rPh>
    <rPh sb="2" eb="4">
      <t>タイショウ</t>
    </rPh>
    <rPh sb="39" eb="41">
      <t>ウンヨウ</t>
    </rPh>
    <rPh sb="42" eb="44">
      <t>セッケイ</t>
    </rPh>
    <rPh sb="387" eb="389">
      <t>バアイ</t>
    </rPh>
    <phoneticPr fontId="7"/>
  </si>
  <si>
    <t>運用プロセスチェックシート（AWS版）</t>
    <rPh sb="0" eb="2">
      <t>ウンヨウ</t>
    </rPh>
    <rPh sb="17" eb="18">
      <t>バン</t>
    </rPh>
    <phoneticPr fontId="7"/>
  </si>
  <si>
    <t>OAS.1</t>
    <phoneticPr fontId="7"/>
  </si>
  <si>
    <t>・AWS環境であっても、保管したデータについて、保管期限を過ぎたものは削除する。
・例えば、Amazon S3では、オブジェクトのライフサイクル管理機能にて削除が可能であるため、必要に応じて利用する。</t>
    <rPh sb="42" eb="43">
      <t xml:space="preserve">タトエバ </t>
    </rPh>
    <rPh sb="81" eb="83">
      <t xml:space="preserve">カノウ </t>
    </rPh>
    <rPh sb="89" eb="91">
      <t>ヒツヨウ</t>
    </rPh>
    <rPh sb="92" eb="93">
      <t>オウ</t>
    </rPh>
    <rPh sb="95" eb="97">
      <t>リヨウ</t>
    </rPh>
    <phoneticPr fontId="7"/>
  </si>
  <si>
    <t>OAS.2</t>
    <phoneticPr fontId="7"/>
  </si>
  <si>
    <t xml:space="preserve">・契約終了後のデータ削除の確実な実施、記録、記録の保管についての運用を設計する。
・データを暗号化している場合は、契約終了時に暗号鍵をKMSから削除することで復号不可な状態とする。
・ただし、各種当社規定や法令により一定期間の保管・保存が必要なデータについては、クラウドサービス導入検討時または規定や法令の変更に応じて契約終了後のデータの保管・保存対象、削除時期、保管・保存主体を定める。
</t>
    <phoneticPr fontId="7"/>
  </si>
  <si>
    <t>クラウド事業者が第三者にデータ消去を委託する場合、左記の対応を実施していることを確認する。</t>
    <rPh sb="25" eb="27">
      <t>サキ</t>
    </rPh>
    <phoneticPr fontId="7"/>
  </si>
  <si>
    <t>OAS.4</t>
    <phoneticPr fontId="7"/>
  </si>
  <si>
    <t>・AWSアカウント環境においては、OSやアプリケーションの利用者IDだけではなく、IAMユーザーとIAMロールを管理対象にする。
・IAMユーザーの発行履歴はCloudTrailを利用して取得する。但し、CloudTrailはログの保持期間が90日であるため、別途長期保管する。</t>
    <phoneticPr fontId="7"/>
  </si>
  <si>
    <t>OAS.5</t>
  </si>
  <si>
    <t>・左記に加え、AWSアカウント環境においては、すべてのIAMユーザーまたはIAMロール、IAMユーザーの利用していないアクセスキーを定期的に棚卸を実施する。
・その実施手段として、ユーザーの各種認証情報 (パスワード、アクセスキー、MFA デバイスなど) のステータスが示された認証情報レポート機能が提供されている。
・または、Lambdaなどを利用して各種認証情報を確認する手法もあるため、必要に応じて検討する。</t>
    <rPh sb="1" eb="3">
      <t>サキ</t>
    </rPh>
    <phoneticPr fontId="7"/>
  </si>
  <si>
    <t>OAS.6</t>
  </si>
  <si>
    <t>オーナー部門にIAMユーザーを発行しない。</t>
  </si>
  <si>
    <t>OAS.7</t>
  </si>
  <si>
    <t>AWSアカウントの開設（ルートユーザーの発行）や、左記の要件に該当するIAMユーザーおよびIAMグループ、IAMロールについて、ID管理部門が管理する。</t>
    <rPh sb="25" eb="27">
      <t>サキ</t>
    </rPh>
    <phoneticPr fontId="7"/>
  </si>
  <si>
    <t>OAS.8</t>
  </si>
  <si>
    <t>OAS.9</t>
    <phoneticPr fontId="7"/>
  </si>
  <si>
    <t>・左記に加え、AWSアカウントのルートユーザーは定例的な作業に用いない（但し、ルートユーザーのみに許可される操作を除く）。
・また、ルートユーザーのアクセスキーを発行しない。</t>
    <rPh sb="1" eb="3">
      <t>サキ</t>
    </rPh>
    <phoneticPr fontId="7"/>
  </si>
  <si>
    <t>OAS.10</t>
  </si>
  <si>
    <t>・AWS環境であっても、左記の対応を実施する。
・アウトソースシステムやDevops基盤など、SAM監視対象外の場合は、個別に構成管理の仕組みを実装する。
・要件の実現方法として、Amazon EC2インスタンスのインベントリ情報を取得可能なAWS Systems Manager、AWSリソースの設定履歴を確認可能なAWS Configが提供されるため、必要に応じて利用する。</t>
    <phoneticPr fontId="7"/>
  </si>
  <si>
    <t>OAS.11</t>
  </si>
  <si>
    <t>・AWS環境であっても、左記の対応を実施する。
・要件の実現方法として、脆弱性情報が集約されたAWS Security Bulletinsが提供されるため、必要に応じて利用する。
・Amazon InspectorによりEC2インスタンスのOSの脆弱性検査機能が提供されている。同サービスにてホストハードニングガイドラインとなるCIS ベンチマークのルールパッケージを活用可能であるため、必要に応じて利用する。</t>
  </si>
  <si>
    <t>OAS.12</t>
  </si>
  <si>
    <t>OAS.13</t>
  </si>
  <si>
    <t>・AWS環境であっても、責任共有モデルにおいて利用者の責任範囲におけるパッチの適用は当社が実施する前提で、システム停止日などの運用を設計する。
・AWSの責任範囲ではAWSによりパッチの適用が行われるため、AWSから発信されるメールやマネジメントコンソール等を利用してメンテナンス情報を確認する。</t>
    <phoneticPr fontId="7"/>
  </si>
  <si>
    <t>OAS.14</t>
  </si>
  <si>
    <t>AWS環境であっても、左記の対応を実施する。
要件の実現方法として、EC2のインスタンスにパッチを適用する機能がAWS Systems Manager Patch Managerにて提供されているため、必要に応じて利用する。</t>
    <rPh sb="11" eb="13">
      <t>サキ</t>
    </rPh>
    <phoneticPr fontId="7"/>
  </si>
  <si>
    <t>OAS.15</t>
  </si>
  <si>
    <t>左記に加え、AWSアカウント環境において脆弱性診断を行う場合は、「侵入テストの AWS カスタマーサポートポリシー」に従い、必要に応じてAWSへ事前に申請する。</t>
    <rPh sb="0" eb="2">
      <t>サキ</t>
    </rPh>
    <phoneticPr fontId="6"/>
  </si>
  <si>
    <t>OAS.16</t>
  </si>
  <si>
    <t>左記の通りだが、AWSアカウント内のネットワーク設計は、ネットワーク担当ではなく各システム部門が担当する。</t>
    <rPh sb="0" eb="2">
      <t>サキ</t>
    </rPh>
    <rPh sb="3" eb="4">
      <t>トオ</t>
    </rPh>
    <phoneticPr fontId="7"/>
  </si>
  <si>
    <t>OAS.17</t>
  </si>
  <si>
    <t>OAS.18</t>
  </si>
  <si>
    <t>3.1.10.</t>
    <phoneticPr fontId="7"/>
  </si>
  <si>
    <t>クラウドサービス側のアクセス権限設定に関する仕様変更が予定される場合、クラウド事業者から当社へ事前にその旨の通知を受け、当社は変更後のサービス内容が引き続きセキュリティ要件を満たすことを確認する運用としているか。</t>
    <phoneticPr fontId="7"/>
  </si>
  <si>
    <t>OAS.19</t>
    <phoneticPr fontId="7"/>
  </si>
  <si>
    <t>AWS BudgetsまたはBilling and Cost Management コンソールの「請求アラート」機能等を利用し、経済的DoS攻撃(EDoS）を含む不正アクセスを検知する。</t>
    <phoneticPr fontId="7"/>
  </si>
  <si>
    <t>OAS.20</t>
    <phoneticPr fontId="7"/>
  </si>
  <si>
    <t>IAM Access Analyzerを利用し、想定外のリソースが他AWSアカウントへ共有されていないことを定期的(月次以上のサイクル)に確認する。</t>
    <rPh sb="20" eb="22">
      <t>リヨウ</t>
    </rPh>
    <rPh sb="24" eb="26">
      <t>ソウテイ</t>
    </rPh>
    <rPh sb="26" eb="27">
      <t>ガイ</t>
    </rPh>
    <rPh sb="33" eb="34">
      <t>ホカ</t>
    </rPh>
    <rPh sb="43" eb="45">
      <t>キョウユウ</t>
    </rPh>
    <rPh sb="54" eb="57">
      <t>テイキテキ</t>
    </rPh>
    <rPh sb="58" eb="60">
      <t>ゲツジ</t>
    </rPh>
    <rPh sb="60" eb="62">
      <t>イジョウ</t>
    </rPh>
    <rPh sb="69" eb="71">
      <t>カクニン</t>
    </rPh>
    <phoneticPr fontId="7"/>
  </si>
  <si>
    <t>OAS.21</t>
  </si>
  <si>
    <t xml:space="preserve">・左記に加え、AWSから通知される、不正使用の報告（Abuse Report）に対して、即時対応できる体制を準備する。
・また、悪意のある操作や不正な動作を継続的にモニタリングする脅威検出サービスであるAmazon Guard​Dutyを有効化し、結果の重大度が「高」の場合は、即時に原因の確認と事象の解消ができる体制を準備する。
・上記サービスによる検知アラートはAWSの管理者へメール通知するよう設定する。
加えて、AWSが東京海上契約のアカウントの場合は、セキュリティ部門(CSIRTチームメールBOX（ＵＫＴＫ０５４８）)も通知先に加え、その旨を上記メールアドレスに事前に一報すること。
</t>
    <phoneticPr fontId="7"/>
  </si>
  <si>
    <t>OAS.22</t>
  </si>
  <si>
    <t>・セキュアドGW、DevOps基盤配下のシステムについては、左記の通り対応する。
・その他、アウトソースシステムなどでインターネットから直接アクセスを受けるシステムについては、左記の要件に加え、利用するDDos対策サービスやWAFサービスのログを取得する。その他のログは必要に応じて取得する。</t>
    <rPh sb="30" eb="32">
      <t>サキ</t>
    </rPh>
    <rPh sb="88" eb="90">
      <t>サキ</t>
    </rPh>
    <phoneticPr fontId="7"/>
  </si>
  <si>
    <t>OAS.23</t>
  </si>
  <si>
    <t>OAS.24</t>
  </si>
  <si>
    <t>3.2.6.</t>
    <phoneticPr fontId="7"/>
  </si>
  <si>
    <t>OAS.25</t>
  </si>
  <si>
    <t>・AWS環境であっても、左記の対応を実施する。
・CloudTrailを利用して、AWSマネジメントコンソールに対するログインアクティビティを取得する。
・GuardDutyを利用して、AWSマネジメントコンソールに対する不正アクティビティを監視する。</t>
    <rPh sb="4" eb="5">
      <t xml:space="preserve">タイスル </t>
    </rPh>
    <rPh sb="12" eb="14">
      <t>サキ</t>
    </rPh>
    <rPh sb="17" eb="19">
      <t xml:space="preserve">シュトク </t>
    </rPh>
    <rPh sb="34" eb="36">
      <t xml:space="preserve">リヨウ </t>
    </rPh>
    <rPh sb="54" eb="55">
      <t xml:space="preserve">タイスル </t>
    </rPh>
    <rPh sb="57" eb="59">
      <t xml:space="preserve">フセイ </t>
    </rPh>
    <rPh sb="67" eb="69">
      <t xml:space="preserve">カンシ </t>
    </rPh>
    <rPh sb="103" eb="104">
      <t>レツ</t>
    </rPh>
    <rPh sb="105" eb="107">
      <t>ヨウケン</t>
    </rPh>
    <rPh sb="108" eb="110">
      <t>ジャッカン</t>
    </rPh>
    <rPh sb="118" eb="120">
      <t>ホゾン</t>
    </rPh>
    <rPh sb="120" eb="122">
      <t>キカン</t>
    </rPh>
    <phoneticPr fontId="19"/>
  </si>
  <si>
    <t>OAS.26</t>
  </si>
  <si>
    <t>・AWS環境であっても、左記の対応を実施する。
・AWS SESを利用する場合、メール本文のログはサービス側で取得されないため、アプリ側で取得する対応も許容する。
(例えば、SESをXXしたLambdaのログを取得する等）</t>
    <rPh sb="12" eb="14">
      <t>サキ</t>
    </rPh>
    <rPh sb="33" eb="35">
      <t xml:space="preserve">リヨウスルバアイ </t>
    </rPh>
    <rPh sb="43" eb="45">
      <t xml:space="preserve">ホンブンハ </t>
    </rPh>
    <rPh sb="53" eb="54">
      <t>ガワ</t>
    </rPh>
    <rPh sb="55" eb="57">
      <t>シュトク</t>
    </rPh>
    <rPh sb="69" eb="71">
      <t xml:space="preserve">シュトクスル </t>
    </rPh>
    <rPh sb="73" eb="75">
      <t xml:space="preserve">タイオウモ </t>
    </rPh>
    <rPh sb="76" eb="78">
      <t xml:space="preserve">キョヨウスル </t>
    </rPh>
    <rPh sb="83" eb="84">
      <t>タト</t>
    </rPh>
    <rPh sb="105" eb="107">
      <t>シュトク</t>
    </rPh>
    <rPh sb="109" eb="110">
      <t>ナド</t>
    </rPh>
    <phoneticPr fontId="13"/>
  </si>
  <si>
    <t>OAS.27</t>
  </si>
  <si>
    <t>要件の実現方法として、VPC内部およびVPCにおける通信ログを取得するため、VPC Flow Logを利用する。</t>
  </si>
  <si>
    <t>OAS.28</t>
  </si>
  <si>
    <t>・AWS環境であっても、OSレイヤ以上のログは利用者側で取得する。
・AWS環境特有のログとして、AWSアカウント内の AWS APIコールを記録するAWS CloudTrail、ネットワークインターフェイスとの間で行き来する IP トラフィックを記録するVPC FlowLogsを取得する。AWS CloudTrailの取得設定の際は、管理イベント取得を必須とし、データイベント取得は必要に応じて取得する。</t>
    <phoneticPr fontId="7"/>
  </si>
  <si>
    <t>OAS.29</t>
  </si>
  <si>
    <t>3.2.11.</t>
  </si>
  <si>
    <t>・要件の実現方法として、AWS環境のリソースに関するモニタリングが可能なAmazon CloudWatchが提供されている。
・Amazon RDSなど独自の監視製品の導入が難しいマネージドサービスの利用時は、Amazon CloudWatchを利用する。</t>
    <phoneticPr fontId="7"/>
  </si>
  <si>
    <t>OAS.30</t>
  </si>
  <si>
    <t>3.2.12.</t>
  </si>
  <si>
    <t>ドメインにレジストラ（お名前.comなど）を利用する際は、レジストラのサイトへのログイン時に、事前に登録したメアドにログインを通知する機能があれば活用し、なりすましによる乗っ取りが発生していないか確認しているか。</t>
    <phoneticPr fontId="7"/>
  </si>
  <si>
    <t>4.1.2.</t>
    <phoneticPr fontId="7"/>
  </si>
  <si>
    <t>OAS.34</t>
  </si>
  <si>
    <t>OAS.35</t>
  </si>
  <si>
    <t>運用プロセスチェックシート（IaaS版）</t>
    <rPh sb="0" eb="2">
      <t>ウンヨウ</t>
    </rPh>
    <rPh sb="18" eb="19">
      <t>バン</t>
    </rPh>
    <phoneticPr fontId="7"/>
  </si>
  <si>
    <t>OIS.1</t>
    <phoneticPr fontId="7"/>
  </si>
  <si>
    <t>OIS.2</t>
    <phoneticPr fontId="7"/>
  </si>
  <si>
    <t xml:space="preserve">・契約終了後のデータ削除の確実な実施、記録、記録の保管についての運用を設計する。
・ただし、各種当社規定や法令により一定期間の保管・保存が必要なデータについては、クラウドサービス導入検討時または規定や法令の変更に応じて契約終了後のデータの保管・保存対象、削除時期、保管・保存主体を定める。
・契約終了後のデータの保管・保存主体がクラウドサービス事業者であれば、契約終了後のデータの保管・保存および削除時期を契約内容に含める。
・削除後にクラウドサービス事業者により提出された削除証明書にてその事実を確認する。
・削除証明書が発行されない場合は、当社にて暗号化を実施し、契約終了時に暗号鍵を削除することでデータを復号不可な状態とする。
</t>
    <phoneticPr fontId="7"/>
  </si>
  <si>
    <t>OIS.4</t>
    <phoneticPr fontId="7"/>
  </si>
  <si>
    <t>クラウド環境においては、OSやアプリケーションの利用者IDだけではなく、クラウド環境管理用ユーザー等も管理対象にする。</t>
  </si>
  <si>
    <t>OIS.5</t>
  </si>
  <si>
    <t>左記に加え、クラウド環境用管理ユーザーの各種認証情報（パスワード、アクセスキー、MFAデバイスなど）についても定期的に棚卸を実施する。</t>
    <rPh sb="0" eb="2">
      <t>サキ</t>
    </rPh>
    <phoneticPr fontId="7"/>
  </si>
  <si>
    <t>OIS.6</t>
  </si>
  <si>
    <t>オーナー部門にクラウド環境管理用ユーザーを発行しない。</t>
  </si>
  <si>
    <t>OIS.7</t>
  </si>
  <si>
    <t>左記に加え、クラウド環境全体を管理する特権ユーザー等、特権を持つユーザーの認証情報についても、ID管理部門が管理する。</t>
    <rPh sb="0" eb="2">
      <t>サキ</t>
    </rPh>
    <phoneticPr fontId="7"/>
  </si>
  <si>
    <t>OIS.8</t>
  </si>
  <si>
    <t>OIS.9</t>
    <phoneticPr fontId="7"/>
  </si>
  <si>
    <t>左記に加え、クラウド環境全体を管理する特権ユーザーは定例的な作業に用いない。
（但し、当該ユーザーのみに許可される操作を除く）</t>
    <rPh sb="0" eb="2">
      <t>サキ</t>
    </rPh>
    <phoneticPr fontId="7"/>
  </si>
  <si>
    <t>OIS.10</t>
  </si>
  <si>
    <t>OIS.11</t>
  </si>
  <si>
    <t>OIS.12</t>
  </si>
  <si>
    <t>OIS.13</t>
  </si>
  <si>
    <t>3.1.5.</t>
  </si>
  <si>
    <t>・クラウド環境であっても、利用者の責任範囲におけるパッチの適用は当社が実施する前提で、システム停止日などの運用を設計する。
・クラウド事業者の責任範囲でパッチの適用が行われる場合は、メールや管理コンソール等を利用してメンテナンス情報を確認する。</t>
    <phoneticPr fontId="7"/>
  </si>
  <si>
    <t>OIS.14</t>
  </si>
  <si>
    <t>3.1.6.</t>
  </si>
  <si>
    <t>OIS.15</t>
  </si>
  <si>
    <t>3.1.7.</t>
  </si>
  <si>
    <t>クラウド環境において脆弱性診断を行う場合は、必要に応じてクラウド事業者へ事前に申請する。</t>
    <phoneticPr fontId="7"/>
  </si>
  <si>
    <t>OIS.16</t>
  </si>
  <si>
    <t>3.1.8.</t>
  </si>
  <si>
    <t>左記の通りだが、クラウド環境内のネットワーク設計は、ネットワーク担当ではなく各システム部門が担当する</t>
    <phoneticPr fontId="7"/>
  </si>
  <si>
    <t>OIS.17</t>
  </si>
  <si>
    <t>3.1.9.</t>
  </si>
  <si>
    <t>OIS.18</t>
  </si>
  <si>
    <t>OIS.19</t>
    <phoneticPr fontId="7"/>
  </si>
  <si>
    <t>経済的DoS攻撃(EDoS）を含む不正アクセスを検知するため、予想請求額を設定し、想定外のクラウド利用の請求額を監視する。
アラートはセキュリティ部門およびクラウド環境の管理者へメール通知する。</t>
    <phoneticPr fontId="7"/>
  </si>
  <si>
    <t>・クラウド環境に対する不正アクセスや不正な権限変更、設定変更を検知し、通知する仕組みが提供されているか確認し、あった場合はこれを活用する。
・上記対策ができない場合、権限変更や設定変更のログを取得し、必要時に任意の条件で検索できるなど、容易に確認できることを確認する。</t>
    <phoneticPr fontId="7"/>
  </si>
  <si>
    <t>OIS.21</t>
  </si>
  <si>
    <t>3.2.3.</t>
  </si>
  <si>
    <t>・セキュアドGW、DevOps基盤配下のシステムについては、左記の通り対応する。
・その他、アウトソースシステムなどでインターネットから直接アクセスを受けるシステムについては、左記の要件に加え、利用するDDos対策サービスやWAFサービスのログを取得する。</t>
    <rPh sb="30" eb="32">
      <t>サキ</t>
    </rPh>
    <rPh sb="33" eb="34">
      <t>トオ</t>
    </rPh>
    <rPh sb="35" eb="37">
      <t>タイオウ</t>
    </rPh>
    <rPh sb="88" eb="90">
      <t>サキ</t>
    </rPh>
    <phoneticPr fontId="7"/>
  </si>
  <si>
    <t>OIS.22</t>
  </si>
  <si>
    <t>OIS.23</t>
  </si>
  <si>
    <t>OIS.24</t>
  </si>
  <si>
    <t>OIS.25</t>
  </si>
  <si>
    <t>OIS.26</t>
  </si>
  <si>
    <t>クラウド環境におけるテナント内のネットワークを流れるIPトラフィックのログ、およびテナント間通信のログを全て取得する。</t>
  </si>
  <si>
    <t>OIS.27</t>
  </si>
  <si>
    <t>・クラウド環境であっても、OSレイヤ以上のログは利用者側で取得する。
・クラウド環境特有のログにも考慮する。例えば、サービス設定及びリソース管理のログ、ネットワークトラフィックのログを取得する。</t>
    <phoneticPr fontId="7"/>
  </si>
  <si>
    <t>OIS.28</t>
  </si>
  <si>
    <t>OIS.29</t>
  </si>
  <si>
    <t>OIS.33</t>
  </si>
  <si>
    <t>OIS.34</t>
  </si>
  <si>
    <t>運用プロセスチェックシート（SaaS版）</t>
    <rPh sb="0" eb="2">
      <t>ウンヨウ</t>
    </rPh>
    <rPh sb="18" eb="19">
      <t>バン</t>
    </rPh>
    <phoneticPr fontId="7"/>
  </si>
  <si>
    <t>OSS.1</t>
    <phoneticPr fontId="7"/>
  </si>
  <si>
    <t>・データの保管期限を当社が設定できる場合は、左記の要件に沿って設定する。
・データの保管期限を当社が設定できない場合は、クラウド事業者が左記の対応を実施していることを確認する。</t>
    <rPh sb="22" eb="24">
      <t>サキ</t>
    </rPh>
    <rPh sb="25" eb="27">
      <t>ヨウケン</t>
    </rPh>
    <rPh sb="68" eb="70">
      <t>サキ</t>
    </rPh>
    <phoneticPr fontId="7"/>
  </si>
  <si>
    <t>OSS.2</t>
    <phoneticPr fontId="7"/>
  </si>
  <si>
    <t>・契約終了後のデータ削除の確実な実施、記録、記録の保管についての運用が設計されているか。
・ただし、各種当社規定や法令により一定期間の保管・保存が必要なデータについては、クラウドサービス導入検討時または規定や法令の変更に応じて契約終了後のデータの保管・保存対象、削除時期、保管・保存主体を定める。
・契約終了後のデータの保管・保存主体がクラウドサービス事業者であれば、契約終了後のデータの保管・保存および削除時期を契約内容に含める。
・上記の設計ができない場合は、保存データを暗号化した上で暗号鍵を当社が管理し、契約終了時に暗号鍵を削除することでデータを復号不可な状態とする。</t>
    <phoneticPr fontId="7"/>
  </si>
  <si>
    <t>OSS.3</t>
  </si>
  <si>
    <t>OSS.4</t>
    <phoneticPr fontId="7"/>
  </si>
  <si>
    <t xml:space="preserve">・左記に加え、クラウド事業者が運用管理者のIDの発行管理に関わる同等のルール・手順を文書で定めていることを確認する。
・クラウド事業者が、クラウド環境管理用ユーザーの発行履歴を取得・保存していることを確認する。
</t>
    <rPh sb="1" eb="3">
      <t>サキ</t>
    </rPh>
    <rPh sb="32" eb="34">
      <t>ドウトウ</t>
    </rPh>
    <phoneticPr fontId="7"/>
  </si>
  <si>
    <t>OSS.5</t>
  </si>
  <si>
    <t>左記に加え、クラウド環境管理用ユーザーについても定期的に棚卸を実施する。</t>
    <rPh sb="0" eb="2">
      <t>サキ</t>
    </rPh>
    <phoneticPr fontId="7"/>
  </si>
  <si>
    <t>OSS.6</t>
  </si>
  <si>
    <t>OSS.7</t>
  </si>
  <si>
    <t>クラウド環境であっても、左記の要件に該当する特権ユーザーは、ID管理部門が管理する。</t>
    <rPh sb="12" eb="14">
      <t>サキ</t>
    </rPh>
    <phoneticPr fontId="7"/>
  </si>
  <si>
    <t>OSS.8</t>
  </si>
  <si>
    <t>OSS.9</t>
    <phoneticPr fontId="7"/>
  </si>
  <si>
    <t>左記に加え、クラウド環境管理用ユーザーは定例的な作業に用いない。
（但し、当該ユーザーのみに許可される操作を除く）</t>
    <rPh sb="0" eb="2">
      <t>サキ</t>
    </rPh>
    <phoneticPr fontId="7"/>
  </si>
  <si>
    <t>OSS.10</t>
  </si>
  <si>
    <t>OSS.11</t>
  </si>
  <si>
    <t>OSS.12</t>
  </si>
  <si>
    <t>当社がサービスの運用、管理に用いる端末を個別に準備する場合は、左記の対応を実施する。</t>
    <rPh sb="0" eb="2">
      <t>トウシャ</t>
    </rPh>
    <rPh sb="8" eb="10">
      <t>ウンヨウ</t>
    </rPh>
    <rPh sb="11" eb="13">
      <t>カンリ</t>
    </rPh>
    <rPh sb="14" eb="15">
      <t>モチ</t>
    </rPh>
    <rPh sb="17" eb="19">
      <t>タンマツ</t>
    </rPh>
    <rPh sb="20" eb="22">
      <t>コベツ</t>
    </rPh>
    <rPh sb="23" eb="25">
      <t>ジュンビ</t>
    </rPh>
    <rPh sb="27" eb="29">
      <t>バアイ</t>
    </rPh>
    <rPh sb="31" eb="33">
      <t>サキ</t>
    </rPh>
    <rPh sb="34" eb="36">
      <t>タイオウ</t>
    </rPh>
    <rPh sb="37" eb="39">
      <t>ジッシ</t>
    </rPh>
    <phoneticPr fontId="18"/>
  </si>
  <si>
    <t>OSS.13</t>
  </si>
  <si>
    <t>OSS.14</t>
  </si>
  <si>
    <t>OSS.15</t>
  </si>
  <si>
    <t>OSS.16</t>
  </si>
  <si>
    <t>OSS.17</t>
  </si>
  <si>
    <t>OSS.18</t>
  </si>
  <si>
    <t>OSS.19</t>
    <phoneticPr fontId="7"/>
  </si>
  <si>
    <t>利用可能なリソース量をあらかじめ設定し、リソースが設定量に達した際に、当社の管理者に通知する。
上記対策ができない場合、当社はサービス利用状況や請求金額に異常が発生していないかを定期的に確認する。</t>
    <phoneticPr fontId="7"/>
  </si>
  <si>
    <t>・クラウド事業者の責任範囲において、不正アクセスや不正な権限変更、設定変更を検知し、クラウド事業者の管理者に通知する仕組みを有しているか確認する。
・クラウド環境管理用コンソールへの不正侵入および当社の責任範囲に関する設定変更(例：保存データを全世界に公開するよう設定変更される)に対して、設定変更された旨を任意の宛先に通知する仕組みを有しているか確認する。
仕組みがある場合は、当社のシステム管理者に通知する。
・上記対策ができない場合、権限変更や設定変更のログを取得し、必要時に任意の条件で検索できるなど、容易に確認できることを確認する。</t>
    <phoneticPr fontId="7"/>
  </si>
  <si>
    <t>OSS.21</t>
  </si>
  <si>
    <t>OSS.22</t>
  </si>
  <si>
    <t>OSS.23</t>
  </si>
  <si>
    <t>OSS.24</t>
  </si>
  <si>
    <t>・保存期限を当社が設定できる場合は、左記の要件に沿って設定する。
・保存期限を当社が設定できない場合は、クラウド事業者が左記の対応を実施していることを確認する。</t>
    <rPh sb="18" eb="20">
      <t>サキ</t>
    </rPh>
    <rPh sb="21" eb="23">
      <t>ヨウケン</t>
    </rPh>
    <rPh sb="60" eb="62">
      <t>サキ</t>
    </rPh>
    <phoneticPr fontId="7"/>
  </si>
  <si>
    <t>OSS.25</t>
  </si>
  <si>
    <t>OSS.26</t>
  </si>
  <si>
    <t>・クラウド事業者が左記の対応を実施していることを確認する。
・また、利用者によるテナントを跨った通信やデータのやりとりについて、クラウド事業者がログを取得していることを確認する。
あるいは、当社側で当該ログを取得・保存できる選択肢がある場合は、取得・保存する。</t>
    <phoneticPr fontId="7"/>
  </si>
  <si>
    <t>OSS.27</t>
  </si>
  <si>
    <t>・クラウド事業者が左記の対応を実施していることを確認する。
・加えて、利用者または第三者によるクラウド環境管理用コンソールを通じて行われた操作（設定変更等）について、クラウド事業者がログを取得していることを確認する。
あるいは、当社側で当該ログを取得・保存できる選択肢がある場合は、取得・保存する。
・また、クラウド事業者の運用管理者による操作について、クラウド事業者がログを取得し、不正が行われていないか監視していることを確認する。</t>
    <phoneticPr fontId="7"/>
  </si>
  <si>
    <t>OSS.28</t>
  </si>
  <si>
    <t>OSS.29</t>
  </si>
  <si>
    <t>OSS.33</t>
  </si>
  <si>
    <t>OSS.34</t>
  </si>
  <si>
    <t>モバイルアプリ チェックシート</t>
    <phoneticPr fontId="7"/>
  </si>
  <si>
    <t>本シートは、モバイルアプリ開発時の設計についてお伺いするものです。</t>
    <rPh sb="0" eb="1">
      <t>ホン</t>
    </rPh>
    <rPh sb="13" eb="15">
      <t>カイハツ</t>
    </rPh>
    <rPh sb="15" eb="16">
      <t>ジ</t>
    </rPh>
    <rPh sb="17" eb="19">
      <t>セッケイ</t>
    </rPh>
    <rPh sb="24" eb="25">
      <t>ウカガ</t>
    </rPh>
    <phoneticPr fontId="7"/>
  </si>
  <si>
    <t>F、G列の対象OSを確認の上、H列の要件について、回答欄と備考欄へご回答ください。</t>
    <rPh sb="3" eb="4">
      <t>レツ</t>
    </rPh>
    <rPh sb="5" eb="7">
      <t>タイショウ</t>
    </rPh>
    <rPh sb="10" eb="12">
      <t>カクニン</t>
    </rPh>
    <rPh sb="13" eb="14">
      <t>ウエ</t>
    </rPh>
    <rPh sb="16" eb="17">
      <t>レツ</t>
    </rPh>
    <rPh sb="18" eb="20">
      <t>ヨウケン</t>
    </rPh>
    <phoneticPr fontId="7"/>
  </si>
  <si>
    <t>前提条件</t>
    <rPh sb="0" eb="2">
      <t>ゼンテイ</t>
    </rPh>
    <rPh sb="2" eb="4">
      <t>ジョウケン</t>
    </rPh>
    <phoneticPr fontId="7"/>
  </si>
  <si>
    <t>対象OS</t>
    <rPh sb="0" eb="2">
      <t>タイショウ</t>
    </rPh>
    <phoneticPr fontId="7"/>
  </si>
  <si>
    <t>ガイドライン</t>
    <phoneticPr fontId="7"/>
  </si>
  <si>
    <t>Android</t>
    <phoneticPr fontId="7"/>
  </si>
  <si>
    <t>iOS</t>
    <phoneticPr fontId="7"/>
  </si>
  <si>
    <t>1.モバイルアプリ</t>
    <phoneticPr fontId="7"/>
  </si>
  <si>
    <t>1.1.要件分析/定義　注）スマートフォンアプリケーション診断の実施期間、費用については、あらかじめ開発予定を立てるときに計画しておくことが望ましい。</t>
    <rPh sb="4" eb="6">
      <t>ヨウケン</t>
    </rPh>
    <rPh sb="6" eb="8">
      <t>ブンセキ</t>
    </rPh>
    <rPh sb="9" eb="11">
      <t>テイギ</t>
    </rPh>
    <phoneticPr fontId="6"/>
  </si>
  <si>
    <t>MAP.1</t>
    <phoneticPr fontId="7"/>
  </si>
  <si>
    <t>アプリケーションを通じて情報を取得する</t>
    <rPh sb="9" eb="10">
      <t>ツウ</t>
    </rPh>
    <rPh sb="12" eb="14">
      <t>ジョウホウ</t>
    </rPh>
    <rPh sb="15" eb="17">
      <t>シュトク</t>
    </rPh>
    <phoneticPr fontId="6"/>
  </si>
  <si>
    <t>プライバシーポリシーを作成し、利用者に告知しているか</t>
    <rPh sb="11" eb="13">
      <t>サクセイ</t>
    </rPh>
    <rPh sb="15" eb="18">
      <t>リヨウシャ</t>
    </rPh>
    <rPh sb="19" eb="21">
      <t>コクチ</t>
    </rPh>
    <phoneticPr fontId="6"/>
  </si>
  <si>
    <t>MAP.2</t>
    <phoneticPr fontId="7"/>
  </si>
  <si>
    <t>取得前または起動時に利用者の同意を得ているか</t>
    <rPh sb="0" eb="2">
      <t>シュトク</t>
    </rPh>
    <rPh sb="2" eb="3">
      <t>マエ</t>
    </rPh>
    <rPh sb="6" eb="8">
      <t>キドウ</t>
    </rPh>
    <rPh sb="8" eb="9">
      <t>ジ</t>
    </rPh>
    <rPh sb="10" eb="13">
      <t>リヨウシャ</t>
    </rPh>
    <rPh sb="14" eb="16">
      <t>ドウイ</t>
    </rPh>
    <rPh sb="17" eb="18">
      <t>エ</t>
    </rPh>
    <phoneticPr fontId="6"/>
  </si>
  <si>
    <t>MAP.3</t>
  </si>
  <si>
    <t>SSL/TLS通信を利用しているか</t>
    <rPh sb="7" eb="9">
      <t>ツウシン</t>
    </rPh>
    <rPh sb="10" eb="12">
      <t>リヨウ</t>
    </rPh>
    <phoneticPr fontId="6"/>
  </si>
  <si>
    <t>MAP.4</t>
  </si>
  <si>
    <t>鍵長が128ビット以上のAES、鍵長が128ビット以上のCamellia等を利用して暗号化しているか</t>
    <rPh sb="0" eb="1">
      <t>カギ</t>
    </rPh>
    <rPh sb="1" eb="2">
      <t>チョウ</t>
    </rPh>
    <rPh sb="9" eb="11">
      <t>イジョウ</t>
    </rPh>
    <rPh sb="16" eb="17">
      <t>カギ</t>
    </rPh>
    <rPh sb="17" eb="18">
      <t>チョウ</t>
    </rPh>
    <rPh sb="25" eb="27">
      <t>イジョウ</t>
    </rPh>
    <rPh sb="36" eb="37">
      <t>トウ</t>
    </rPh>
    <rPh sb="38" eb="40">
      <t>リヨウ</t>
    </rPh>
    <rPh sb="42" eb="45">
      <t>アンゴウカ</t>
    </rPh>
    <phoneticPr fontId="6"/>
  </si>
  <si>
    <t>MAP.5</t>
  </si>
  <si>
    <t>ユーザ認証がある</t>
  </si>
  <si>
    <t>認証情報には端末固有ID以外の情報を利用しているか</t>
    <rPh sb="0" eb="2">
      <t>ニンショウ</t>
    </rPh>
    <rPh sb="2" eb="4">
      <t>ジョウホウ</t>
    </rPh>
    <rPh sb="6" eb="8">
      <t>タンマツ</t>
    </rPh>
    <rPh sb="8" eb="10">
      <t>コユウ</t>
    </rPh>
    <rPh sb="12" eb="14">
      <t>イガイ</t>
    </rPh>
    <rPh sb="15" eb="17">
      <t>ジョウホウ</t>
    </rPh>
    <rPh sb="18" eb="20">
      <t>リヨウ</t>
    </rPh>
    <phoneticPr fontId="6"/>
  </si>
  <si>
    <t>MAP.6</t>
  </si>
  <si>
    <t>アプリケーションにおいて資産情報を取り扱う</t>
    <rPh sb="12" eb="14">
      <t>シサン</t>
    </rPh>
    <rPh sb="14" eb="16">
      <t>ジョウホウ</t>
    </rPh>
    <rPh sb="17" eb="18">
      <t>ト</t>
    </rPh>
    <rPh sb="19" eb="20">
      <t>アツカ</t>
    </rPh>
    <phoneticPr fontId="6"/>
  </si>
  <si>
    <t>利用者のアクティベーション可能端末台数を1台に限定しているか</t>
    <rPh sb="0" eb="3">
      <t>リヨウシャ</t>
    </rPh>
    <rPh sb="13" eb="15">
      <t>カノウ</t>
    </rPh>
    <rPh sb="15" eb="17">
      <t>タンマツ</t>
    </rPh>
    <rPh sb="17" eb="19">
      <t>ダイスウ</t>
    </rPh>
    <rPh sb="21" eb="22">
      <t>ダイ</t>
    </rPh>
    <rPh sb="23" eb="25">
      <t>ゲンテイ</t>
    </rPh>
    <phoneticPr fontId="6"/>
  </si>
  <si>
    <t>MAP.7</t>
  </si>
  <si>
    <t>1.1.7.</t>
    <phoneticPr fontId="7"/>
  </si>
  <si>
    <t>有料コンテンツを取り扱う</t>
    <rPh sb="0" eb="2">
      <t>ユウリョウ</t>
    </rPh>
    <rPh sb="8" eb="9">
      <t>ト</t>
    </rPh>
    <rPh sb="10" eb="11">
      <t>アツカ</t>
    </rPh>
    <phoneticPr fontId="6"/>
  </si>
  <si>
    <t>コンテンツをDRM技術等を用いて保護しているか</t>
    <rPh sb="9" eb="12">
      <t>ギジュツトウ</t>
    </rPh>
    <rPh sb="13" eb="14">
      <t>モチ</t>
    </rPh>
    <rPh sb="16" eb="18">
      <t>ホゴ</t>
    </rPh>
    <phoneticPr fontId="6"/>
  </si>
  <si>
    <t>5.10</t>
  </si>
  <si>
    <t>MAP.8</t>
  </si>
  <si>
    <t>1.1.8.</t>
    <phoneticPr fontId="7"/>
  </si>
  <si>
    <t>サードパーティ製ライブラリを利用する</t>
    <rPh sb="7" eb="8">
      <t>セイ</t>
    </rPh>
    <rPh sb="14" eb="16">
      <t>リヨウ</t>
    </rPh>
    <phoneticPr fontId="6"/>
  </si>
  <si>
    <t>MAP.9</t>
  </si>
  <si>
    <t>1.1.9.</t>
    <phoneticPr fontId="7"/>
  </si>
  <si>
    <t>提供することが望ましい機能</t>
    <rPh sb="0" eb="2">
      <t>テイキョウ</t>
    </rPh>
    <rPh sb="7" eb="8">
      <t>ノゾ</t>
    </rPh>
    <rPh sb="11" eb="13">
      <t>キノウ</t>
    </rPh>
    <phoneticPr fontId="6"/>
  </si>
  <si>
    <t>アプリケーションに関する情報を利用者に通知する機能を提供しているか</t>
    <rPh sb="9" eb="10">
      <t>カン</t>
    </rPh>
    <rPh sb="12" eb="14">
      <t>ジョウホウ</t>
    </rPh>
    <rPh sb="15" eb="18">
      <t>リヨウシャ</t>
    </rPh>
    <rPh sb="19" eb="21">
      <t>ツウチ</t>
    </rPh>
    <rPh sb="23" eb="25">
      <t>キノウ</t>
    </rPh>
    <rPh sb="26" eb="28">
      <t>テイキョウ</t>
    </rPh>
    <phoneticPr fontId="6"/>
  </si>
  <si>
    <t>MAP.10</t>
  </si>
  <si>
    <t>1.1.10.</t>
    <phoneticPr fontId="7"/>
  </si>
  <si>
    <t>強制アップデート機能を提供しているか</t>
    <rPh sb="0" eb="2">
      <t>キョウセイ</t>
    </rPh>
    <rPh sb="8" eb="10">
      <t>キノウ</t>
    </rPh>
    <rPh sb="11" eb="13">
      <t>テイキョウ</t>
    </rPh>
    <phoneticPr fontId="6"/>
  </si>
  <si>
    <t>MAP.11</t>
  </si>
  <si>
    <t>1.1.11.</t>
    <phoneticPr fontId="7"/>
  </si>
  <si>
    <t>Webサーバと連携する</t>
    <rPh sb="7" eb="9">
      <t>レンケイ</t>
    </rPh>
    <phoneticPr fontId="6"/>
  </si>
  <si>
    <t>従来のWebアプリケーション開発、サーバ管理と同様の対策を行っているか</t>
    <rPh sb="0" eb="2">
      <t>ジュウライ</t>
    </rPh>
    <rPh sb="14" eb="16">
      <t>カイハツ</t>
    </rPh>
    <rPh sb="20" eb="22">
      <t>カンリ</t>
    </rPh>
    <rPh sb="23" eb="25">
      <t>ドウヨウ</t>
    </rPh>
    <rPh sb="26" eb="28">
      <t>タイサク</t>
    </rPh>
    <rPh sb="29" eb="30">
      <t>オコナ</t>
    </rPh>
    <phoneticPr fontId="6"/>
  </si>
  <si>
    <t>9.1</t>
  </si>
  <si>
    <t>MAP.12</t>
  </si>
  <si>
    <t>1.1.12.</t>
    <phoneticPr fontId="7"/>
  </si>
  <si>
    <t>社員のみが利用する業務アプリである</t>
    <rPh sb="0" eb="2">
      <t>シャイン</t>
    </rPh>
    <rPh sb="5" eb="7">
      <t>リヨウ</t>
    </rPh>
    <rPh sb="9" eb="11">
      <t>ギョウム</t>
    </rPh>
    <phoneticPr fontId="6"/>
  </si>
  <si>
    <t>以下の対策を全て実施しているか。
ただし、対象のアプリで取り扱う情報が利用者本人の個人情報のみに限られる場合は当要件は任意とする
・端末ローカルのアプリケーション領域に保存されているデータは暗号化する
・端末ローカルのアプリケーション領域に保存されているデータはシステム管理者によってリモートで削除できるようにする
・端末ローカルのアプリケーション領域外へのデータダウンロードを制限する
・端末ローカルのアプリケーション領域外へのコピー＆ペースト機能を制限する</t>
    <rPh sb="3" eb="5">
      <t>タイサク</t>
    </rPh>
    <rPh sb="8" eb="10">
      <t>ジッシ</t>
    </rPh>
    <phoneticPr fontId="7"/>
  </si>
  <si>
    <t>1.2.概要設計（外部設計）</t>
    <rPh sb="4" eb="6">
      <t>ガイヨウ</t>
    </rPh>
    <rPh sb="6" eb="8">
      <t>セッケイ</t>
    </rPh>
    <rPh sb="9" eb="11">
      <t>ガイブ</t>
    </rPh>
    <rPh sb="11" eb="13">
      <t>セッケイ</t>
    </rPh>
    <phoneticPr fontId="6"/>
  </si>
  <si>
    <t>MAP.13</t>
    <phoneticPr fontId="7"/>
  </si>
  <si>
    <t>パスワードや暗証番号などの秘密情報は、画面上に表示しない。入力や表示する場合は、その一部を『*』などの文字に置き換えているか</t>
    <rPh sb="6" eb="8">
      <t>アンショウ</t>
    </rPh>
    <rPh sb="8" eb="10">
      <t>バンゴウ</t>
    </rPh>
    <rPh sb="19" eb="22">
      <t>ガメンジョウ</t>
    </rPh>
    <rPh sb="29" eb="31">
      <t>ニュウリョク</t>
    </rPh>
    <rPh sb="32" eb="34">
      <t>ヒョウジ</t>
    </rPh>
    <phoneticPr fontId="6"/>
  </si>
  <si>
    <t>1.10</t>
  </si>
  <si>
    <t>MAP.14</t>
    <phoneticPr fontId="7"/>
  </si>
  <si>
    <t>バックグラウンド時のスナップショットにおいて重要情報を表示、保存しないように設定しているか</t>
    <rPh sb="8" eb="9">
      <t>ジ</t>
    </rPh>
    <rPh sb="22" eb="24">
      <t>ジュウヨウ</t>
    </rPh>
    <rPh sb="24" eb="26">
      <t>ジョウホウ</t>
    </rPh>
    <rPh sb="27" eb="29">
      <t>ヒョウジ</t>
    </rPh>
    <rPh sb="30" eb="32">
      <t>ホゾン</t>
    </rPh>
    <rPh sb="38" eb="40">
      <t>セッテイ</t>
    </rPh>
    <phoneticPr fontId="6"/>
  </si>
  <si>
    <t>1.12</t>
  </si>
  <si>
    <t>MAP.15</t>
  </si>
  <si>
    <t>通知機能において、重要情報を表示しないように制御しているか</t>
    <phoneticPr fontId="6"/>
  </si>
  <si>
    <t>1.13</t>
  </si>
  <si>
    <t>MAP.16</t>
  </si>
  <si>
    <t>サーバからアプリケーションを制御する</t>
    <rPh sb="14" eb="16">
      <t>セイギョ</t>
    </rPh>
    <phoneticPr fontId="6"/>
  </si>
  <si>
    <t>プッシュ通知による制御を行っているか</t>
    <rPh sb="4" eb="6">
      <t>ツウチ</t>
    </rPh>
    <rPh sb="9" eb="11">
      <t>セイギョ</t>
    </rPh>
    <rPh sb="12" eb="13">
      <t>オコナ</t>
    </rPh>
    <phoneticPr fontId="6"/>
  </si>
  <si>
    <t>MAP.17</t>
  </si>
  <si>
    <t>金銭に関わる処理等、重要な処理が存在する</t>
    <rPh sb="0" eb="2">
      <t>キンセン</t>
    </rPh>
    <rPh sb="3" eb="4">
      <t>カカ</t>
    </rPh>
    <rPh sb="6" eb="8">
      <t>ショリ</t>
    </rPh>
    <rPh sb="8" eb="9">
      <t>トウ</t>
    </rPh>
    <rPh sb="10" eb="12">
      <t>ジュウヨウ</t>
    </rPh>
    <rPh sb="13" eb="15">
      <t>ショリ</t>
    </rPh>
    <rPh sb="16" eb="18">
      <t>ソンザイ</t>
    </rPh>
    <phoneticPr fontId="6"/>
  </si>
  <si>
    <t>重要処理時には利用時認証を必須としているか</t>
    <rPh sb="0" eb="2">
      <t>ジュウヨウ</t>
    </rPh>
    <rPh sb="2" eb="4">
      <t>ショリ</t>
    </rPh>
    <rPh sb="4" eb="5">
      <t>ジ</t>
    </rPh>
    <rPh sb="7" eb="9">
      <t>リヨウ</t>
    </rPh>
    <rPh sb="9" eb="10">
      <t>ジ</t>
    </rPh>
    <rPh sb="10" eb="12">
      <t>ニンショウ</t>
    </rPh>
    <rPh sb="13" eb="15">
      <t>ヒッス</t>
    </rPh>
    <phoneticPr fontId="6"/>
  </si>
  <si>
    <t>MAP.18</t>
  </si>
  <si>
    <t>重要処理に対して利用者が自発的意思により制限を加えることを可能としているか</t>
    <rPh sb="0" eb="2">
      <t>ジュウヨウ</t>
    </rPh>
    <rPh sb="2" eb="4">
      <t>ショリ</t>
    </rPh>
    <rPh sb="5" eb="6">
      <t>タイ</t>
    </rPh>
    <rPh sb="8" eb="11">
      <t>リヨウシャ</t>
    </rPh>
    <rPh sb="12" eb="15">
      <t>ジハツテキ</t>
    </rPh>
    <rPh sb="15" eb="17">
      <t>イシ</t>
    </rPh>
    <rPh sb="20" eb="22">
      <t>セイゲン</t>
    </rPh>
    <rPh sb="23" eb="24">
      <t>クワ</t>
    </rPh>
    <rPh sb="29" eb="31">
      <t>カノウ</t>
    </rPh>
    <phoneticPr fontId="6"/>
  </si>
  <si>
    <t>MAP.19</t>
  </si>
  <si>
    <t>認証情報のリカバリを行う処理が存在する</t>
    <rPh sb="0" eb="2">
      <t>ニンショウ</t>
    </rPh>
    <rPh sb="2" eb="4">
      <t>ジョウホウ</t>
    </rPh>
    <rPh sb="10" eb="11">
      <t>オコナ</t>
    </rPh>
    <rPh sb="12" eb="14">
      <t>ショリ</t>
    </rPh>
    <rPh sb="15" eb="17">
      <t>ソンザイ</t>
    </rPh>
    <phoneticPr fontId="6"/>
  </si>
  <si>
    <t>認証情報のリカバリ方式を基礎認証と同等以上の強度としているか</t>
    <rPh sb="0" eb="2">
      <t>ニンショウ</t>
    </rPh>
    <rPh sb="2" eb="4">
      <t>ジョウホウ</t>
    </rPh>
    <rPh sb="9" eb="11">
      <t>ホウシキ</t>
    </rPh>
    <rPh sb="12" eb="14">
      <t>キソ</t>
    </rPh>
    <rPh sb="14" eb="16">
      <t>ニンショウ</t>
    </rPh>
    <rPh sb="17" eb="19">
      <t>ドウトウ</t>
    </rPh>
    <rPh sb="19" eb="21">
      <t>イジョウ</t>
    </rPh>
    <rPh sb="22" eb="24">
      <t>キョウド</t>
    </rPh>
    <phoneticPr fontId="6"/>
  </si>
  <si>
    <t>1.3.詳細設計（内部設計）</t>
    <rPh sb="4" eb="6">
      <t>ショウサイ</t>
    </rPh>
    <rPh sb="6" eb="8">
      <t>セッケイ</t>
    </rPh>
    <rPh sb="9" eb="11">
      <t>ナイブ</t>
    </rPh>
    <rPh sb="11" eb="13">
      <t>セッケイ</t>
    </rPh>
    <phoneticPr fontId="6"/>
  </si>
  <si>
    <t>MAP.20</t>
    <phoneticPr fontId="7"/>
  </si>
  <si>
    <t>既存のID管理基盤を利用する</t>
    <rPh sb="0" eb="2">
      <t>キゾン</t>
    </rPh>
    <rPh sb="5" eb="7">
      <t>カンリ</t>
    </rPh>
    <rPh sb="7" eb="9">
      <t>キバン</t>
    </rPh>
    <rPh sb="10" eb="12">
      <t>リヨウ</t>
    </rPh>
    <phoneticPr fontId="6"/>
  </si>
  <si>
    <t>ID管理基盤の認証においてもアプリケーションの認証と同等以上の強度を求めているか</t>
    <rPh sb="2" eb="4">
      <t>カンリ</t>
    </rPh>
    <rPh sb="4" eb="6">
      <t>キバン</t>
    </rPh>
    <rPh sb="7" eb="9">
      <t>ニンショウ</t>
    </rPh>
    <rPh sb="23" eb="25">
      <t>ニンショウ</t>
    </rPh>
    <rPh sb="26" eb="28">
      <t>ドウトウ</t>
    </rPh>
    <rPh sb="28" eb="30">
      <t>イジョウ</t>
    </rPh>
    <rPh sb="31" eb="33">
      <t>キョウド</t>
    </rPh>
    <rPh sb="34" eb="35">
      <t>モト</t>
    </rPh>
    <phoneticPr fontId="6"/>
  </si>
  <si>
    <t>MAP.21</t>
    <phoneticPr fontId="7"/>
  </si>
  <si>
    <t>SDカード等の外部保存領域に重要情報を保存していないか</t>
    <rPh sb="5" eb="6">
      <t>トウ</t>
    </rPh>
    <rPh sb="7" eb="9">
      <t>ガイブ</t>
    </rPh>
    <rPh sb="9" eb="11">
      <t>ホゾン</t>
    </rPh>
    <rPh sb="11" eb="13">
      <t>リョウイキ</t>
    </rPh>
    <rPh sb="14" eb="16">
      <t>ジュウヨウ</t>
    </rPh>
    <rPh sb="16" eb="18">
      <t>ジョウホウ</t>
    </rPh>
    <rPh sb="19" eb="21">
      <t>ホゾン</t>
    </rPh>
    <phoneticPr fontId="6"/>
  </si>
  <si>
    <t>MAP.22</t>
  </si>
  <si>
    <t>ローカルで使用する認証情報はハッシュ化、その他の重要情報は暗号化して保存しているか</t>
    <rPh sb="5" eb="7">
      <t>シヨウ</t>
    </rPh>
    <rPh sb="9" eb="11">
      <t>ニンショウ</t>
    </rPh>
    <rPh sb="11" eb="13">
      <t>ジョウホウ</t>
    </rPh>
    <rPh sb="18" eb="19">
      <t>カ</t>
    </rPh>
    <rPh sb="22" eb="23">
      <t>ホカ</t>
    </rPh>
    <rPh sb="24" eb="26">
      <t>ジュウヨウ</t>
    </rPh>
    <rPh sb="26" eb="28">
      <t>ジョウホウ</t>
    </rPh>
    <rPh sb="29" eb="32">
      <t>アンゴウカ</t>
    </rPh>
    <rPh sb="34" eb="36">
      <t>ホゾン</t>
    </rPh>
    <phoneticPr fontId="6"/>
  </si>
  <si>
    <t>MAP.23</t>
  </si>
  <si>
    <t>アプリケーション内に保存した重要情報をOS機能によってクラウドにバックアップされないよう制限しているか</t>
    <phoneticPr fontId="6"/>
  </si>
  <si>
    <t>MAP.24</t>
  </si>
  <si>
    <t>1.3.5.</t>
  </si>
  <si>
    <t>重要情報をキャッシュしないように制御しているか</t>
    <rPh sb="0" eb="2">
      <t>ジュウヨウ</t>
    </rPh>
    <rPh sb="2" eb="4">
      <t>ジョウホウ</t>
    </rPh>
    <rPh sb="16" eb="18">
      <t>セイギョ</t>
    </rPh>
    <phoneticPr fontId="6"/>
  </si>
  <si>
    <t>MAP.25</t>
  </si>
  <si>
    <t>1.3.6.</t>
  </si>
  <si>
    <t>一時的なデータを作成する</t>
    <rPh sb="0" eb="3">
      <t>イチジテキ</t>
    </rPh>
    <rPh sb="8" eb="10">
      <t>サクセイ</t>
    </rPh>
    <phoneticPr fontId="6"/>
  </si>
  <si>
    <t>一時的に作成したファイルを定期的に削除しているか</t>
    <rPh sb="0" eb="3">
      <t>イチジテキ</t>
    </rPh>
    <rPh sb="4" eb="6">
      <t>サクセイ</t>
    </rPh>
    <rPh sb="13" eb="16">
      <t>テイキテキ</t>
    </rPh>
    <rPh sb="17" eb="19">
      <t>サクジョ</t>
    </rPh>
    <phoneticPr fontId="6"/>
  </si>
  <si>
    <t>1.5</t>
  </si>
  <si>
    <t>MAP.26</t>
  </si>
  <si>
    <t>1.3.7.</t>
  </si>
  <si>
    <t>画面遷移時にデータを受け渡す</t>
    <rPh sb="0" eb="2">
      <t>ガメン</t>
    </rPh>
    <rPh sb="2" eb="4">
      <t>センイ</t>
    </rPh>
    <rPh sb="4" eb="5">
      <t>ジ</t>
    </rPh>
    <rPh sb="10" eb="11">
      <t>ウ</t>
    </rPh>
    <rPh sb="12" eb="13">
      <t>ワタ</t>
    </rPh>
    <phoneticPr fontId="6"/>
  </si>
  <si>
    <t>エクストラ要素を利用し、処理をさせるアプリケーションを明示的に指定しているか</t>
    <rPh sb="5" eb="7">
      <t>ヨウソ</t>
    </rPh>
    <rPh sb="8" eb="10">
      <t>リヨウ</t>
    </rPh>
    <rPh sb="12" eb="14">
      <t>ショリ</t>
    </rPh>
    <rPh sb="27" eb="30">
      <t>メイジテキ</t>
    </rPh>
    <rPh sb="31" eb="33">
      <t>シテイ</t>
    </rPh>
    <phoneticPr fontId="6"/>
  </si>
  <si>
    <t>MAP.27</t>
  </si>
  <si>
    <t>1.3.8.</t>
  </si>
  <si>
    <t>Sticky Broadcastを利用していないか</t>
    <rPh sb="17" eb="19">
      <t>リヨウ</t>
    </rPh>
    <phoneticPr fontId="6"/>
  </si>
  <si>
    <t>MAP.28</t>
  </si>
  <si>
    <t>1.3.9.</t>
  </si>
  <si>
    <t>アプリケーション内で暗号化処理を行う</t>
    <rPh sb="8" eb="9">
      <t>ナイ</t>
    </rPh>
    <rPh sb="10" eb="13">
      <t>アンゴウカ</t>
    </rPh>
    <rPh sb="13" eb="15">
      <t>ショリ</t>
    </rPh>
    <rPh sb="16" eb="17">
      <t>オコナ</t>
    </rPh>
    <phoneticPr fontId="6"/>
  </si>
  <si>
    <t>暗号鍵はユーザ毎にランダムな値を利用しているか</t>
    <rPh sb="0" eb="2">
      <t>アンゴウ</t>
    </rPh>
    <rPh sb="2" eb="3">
      <t>カギ</t>
    </rPh>
    <rPh sb="7" eb="8">
      <t>ゴト</t>
    </rPh>
    <rPh sb="14" eb="15">
      <t>アタイ</t>
    </rPh>
    <rPh sb="16" eb="18">
      <t>リヨウ</t>
    </rPh>
    <phoneticPr fontId="6"/>
  </si>
  <si>
    <t>2.4</t>
  </si>
  <si>
    <t>MAP.29</t>
  </si>
  <si>
    <t>1.3.10.</t>
  </si>
  <si>
    <t>暗号鍵はKeyStore(Android)/KeyChain（iOS）に保存しているか</t>
    <rPh sb="0" eb="2">
      <t>アンゴウ</t>
    </rPh>
    <rPh sb="2" eb="3">
      <t>カギ</t>
    </rPh>
    <rPh sb="36" eb="38">
      <t>ホゾン</t>
    </rPh>
    <phoneticPr fontId="6"/>
  </si>
  <si>
    <t>MAP.30</t>
  </si>
  <si>
    <t>1.3.11.</t>
  </si>
  <si>
    <t>アプリケーションの機能公開設定</t>
    <rPh sb="9" eb="11">
      <t>キノウ</t>
    </rPh>
    <rPh sb="11" eb="13">
      <t>コウカイ</t>
    </rPh>
    <rPh sb="13" eb="15">
      <t>セッテイ</t>
    </rPh>
    <phoneticPr fontId="6"/>
  </si>
  <si>
    <t>公開する機能を最低限に設定し、アクセス制限を行っているか</t>
    <rPh sb="0" eb="2">
      <t>コウカイ</t>
    </rPh>
    <rPh sb="4" eb="6">
      <t>キノウ</t>
    </rPh>
    <rPh sb="7" eb="10">
      <t>サイテイゲン</t>
    </rPh>
    <rPh sb="11" eb="13">
      <t>セッテイ</t>
    </rPh>
    <rPh sb="19" eb="21">
      <t>セイゲン</t>
    </rPh>
    <rPh sb="22" eb="23">
      <t>オコナ</t>
    </rPh>
    <phoneticPr fontId="6"/>
  </si>
  <si>
    <t>MAP.31</t>
  </si>
  <si>
    <t>1.3.12.</t>
  </si>
  <si>
    <t>公開しない機能のexported属性に"false"を明示的に付与しているか</t>
    <rPh sb="0" eb="2">
      <t>コウカイ</t>
    </rPh>
    <rPh sb="5" eb="7">
      <t>キノウ</t>
    </rPh>
    <rPh sb="16" eb="18">
      <t>ゾクセイ</t>
    </rPh>
    <rPh sb="27" eb="30">
      <t>メイジテキ</t>
    </rPh>
    <rPh sb="31" eb="33">
      <t>フヨ</t>
    </rPh>
    <phoneticPr fontId="6"/>
  </si>
  <si>
    <t>MAP.32</t>
  </si>
  <si>
    <t>1.3.13.</t>
  </si>
  <si>
    <t>非公開としたActivityおよびServiceに&lt;intent-filter&gt;を設定していないか</t>
    <rPh sb="0" eb="3">
      <t>ヒコウカイ</t>
    </rPh>
    <rPh sb="41" eb="43">
      <t>セッテイ</t>
    </rPh>
    <phoneticPr fontId="6"/>
  </si>
  <si>
    <t>MAP.33</t>
  </si>
  <si>
    <t>1.3.14.</t>
  </si>
  <si>
    <t>パーミッションを付与する</t>
    <rPh sb="8" eb="10">
      <t>フヨ</t>
    </rPh>
    <phoneticPr fontId="6"/>
  </si>
  <si>
    <t>付与するパーミッションを必要最低限に設定しているか</t>
    <rPh sb="0" eb="2">
      <t>フヨ</t>
    </rPh>
    <rPh sb="12" eb="14">
      <t>ヒツヨウ</t>
    </rPh>
    <rPh sb="14" eb="17">
      <t>サイテイゲン</t>
    </rPh>
    <rPh sb="18" eb="20">
      <t>セッテイ</t>
    </rPh>
    <phoneticPr fontId="6"/>
  </si>
  <si>
    <t>MAP.34</t>
  </si>
  <si>
    <t>1.3.15.</t>
  </si>
  <si>
    <t>WebViewでJavaScriptを利用する</t>
    <rPh sb="19" eb="21">
      <t>リヨウ</t>
    </rPh>
    <phoneticPr fontId="6"/>
  </si>
  <si>
    <t>表示するサイトを制限するとともに、JavaScript経由によるネイティブコードの実行を許可するサーバを制限しているか</t>
    <rPh sb="0" eb="2">
      <t>ヒョウジ</t>
    </rPh>
    <rPh sb="8" eb="10">
      <t>セイゲン</t>
    </rPh>
    <rPh sb="27" eb="29">
      <t>ケイユ</t>
    </rPh>
    <rPh sb="41" eb="43">
      <t>ジッコウ</t>
    </rPh>
    <rPh sb="44" eb="46">
      <t>キョカ</t>
    </rPh>
    <rPh sb="52" eb="54">
      <t>セイゲン</t>
    </rPh>
    <phoneticPr fontId="6"/>
  </si>
  <si>
    <t>MAP.35</t>
  </si>
  <si>
    <t>1.3.16.</t>
  </si>
  <si>
    <t>アプリケーションでポートを開放して通信を送受信する</t>
    <rPh sb="13" eb="15">
      <t>カイホウ</t>
    </rPh>
    <rPh sb="17" eb="19">
      <t>ツウシン</t>
    </rPh>
    <rPh sb="20" eb="23">
      <t>ソウジュシン</t>
    </rPh>
    <phoneticPr fontId="6"/>
  </si>
  <si>
    <t>通信を受け付ける際にアクセス制限を設けているか</t>
    <rPh sb="0" eb="2">
      <t>ツウシン</t>
    </rPh>
    <rPh sb="3" eb="4">
      <t>ウ</t>
    </rPh>
    <rPh sb="5" eb="6">
      <t>ツ</t>
    </rPh>
    <rPh sb="8" eb="9">
      <t>サイ</t>
    </rPh>
    <rPh sb="14" eb="16">
      <t>セイゲン</t>
    </rPh>
    <rPh sb="17" eb="18">
      <t>モウ</t>
    </rPh>
    <phoneticPr fontId="6"/>
  </si>
  <si>
    <t>MAP.36</t>
  </si>
  <si>
    <t>オートフィル機能によって重要情報を取得されないよう制限しているか</t>
    <rPh sb="6" eb="8">
      <t>キノウ</t>
    </rPh>
    <rPh sb="12" eb="14">
      <t>ジュウヨウ</t>
    </rPh>
    <rPh sb="14" eb="16">
      <t>ジョウホウ</t>
    </rPh>
    <rPh sb="17" eb="19">
      <t>シュトク</t>
    </rPh>
    <rPh sb="25" eb="27">
      <t>セイゲン</t>
    </rPh>
    <phoneticPr fontId="6"/>
  </si>
  <si>
    <t>MAP.37</t>
  </si>
  <si>
    <t>1.3.18.</t>
  </si>
  <si>
    <t>秘密情報を取り扱う</t>
    <rPh sb="0" eb="2">
      <t>ヒミツ</t>
    </rPh>
    <rPh sb="2" eb="4">
      <t>ジョウホウ</t>
    </rPh>
    <rPh sb="5" eb="6">
      <t>ト</t>
    </rPh>
    <rPh sb="7" eb="8">
      <t>アツカ</t>
    </rPh>
    <phoneticPr fontId="6"/>
  </si>
  <si>
    <t>秘密鍵やパスワードをソースコードやリソース情報に含めていないか</t>
    <rPh sb="0" eb="2">
      <t>ヒミツ</t>
    </rPh>
    <rPh sb="2" eb="3">
      <t>カギ</t>
    </rPh>
    <rPh sb="21" eb="23">
      <t>ジョウホウ</t>
    </rPh>
    <rPh sb="24" eb="25">
      <t>フク</t>
    </rPh>
    <phoneticPr fontId="6"/>
  </si>
  <si>
    <t>4.2</t>
  </si>
  <si>
    <t>1.4.実装</t>
    <rPh sb="4" eb="6">
      <t>ジッソウ</t>
    </rPh>
    <phoneticPr fontId="6"/>
  </si>
  <si>
    <t>MAP.38</t>
    <phoneticPr fontId="7"/>
  </si>
  <si>
    <t>1.4.1.</t>
    <phoneticPr fontId="6"/>
  </si>
  <si>
    <t>認証の試行回数に制限し、その回数連続してログインに失敗した場合には、アカウントを一時ロックアウトしているか</t>
    <phoneticPr fontId="6"/>
  </si>
  <si>
    <t>MAP.39</t>
    <phoneticPr fontId="7"/>
  </si>
  <si>
    <t>個人情報を閲覧可能な場合は、アプリの画面が非アクティブになる都度、認証を要求しているか（パスコードや生体認証による代替は可能）</t>
    <phoneticPr fontId="7"/>
  </si>
  <si>
    <t>MAP.40</t>
  </si>
  <si>
    <t>アプリケーションを有料で配布する</t>
    <rPh sb="9" eb="11">
      <t>ユウリョウ</t>
    </rPh>
    <rPh sb="12" eb="14">
      <t>ハイフ</t>
    </rPh>
    <phoneticPr fontId="6"/>
  </si>
  <si>
    <t>正規のアプリケーションであるか判別する仕組みを導入しているか</t>
    <rPh sb="0" eb="2">
      <t>セイキ</t>
    </rPh>
    <rPh sb="15" eb="17">
      <t>ハンベツ</t>
    </rPh>
    <rPh sb="19" eb="21">
      <t>シク</t>
    </rPh>
    <rPh sb="23" eb="25">
      <t>ドウニュウ</t>
    </rPh>
    <phoneticPr fontId="6"/>
  </si>
  <si>
    <t>MAP.41</t>
    <phoneticPr fontId="7"/>
  </si>
  <si>
    <t>1.5.1.</t>
    <phoneticPr fontId="6"/>
  </si>
  <si>
    <t>重要情報を保存したファイルに他のアプリケーションがアクセスできないようにアクセス権を設定しているか</t>
    <rPh sb="0" eb="2">
      <t>ジュウヨウ</t>
    </rPh>
    <rPh sb="2" eb="4">
      <t>ジョウホウ</t>
    </rPh>
    <rPh sb="5" eb="7">
      <t>ホゾン</t>
    </rPh>
    <rPh sb="14" eb="15">
      <t>ホカ</t>
    </rPh>
    <rPh sb="40" eb="41">
      <t>ケン</t>
    </rPh>
    <rPh sb="42" eb="44">
      <t>セッテイ</t>
    </rPh>
    <phoneticPr fontId="6"/>
  </si>
  <si>
    <t>MAP.42</t>
    <phoneticPr fontId="7"/>
  </si>
  <si>
    <t>SSL/TLSを利用する</t>
    <rPh sb="8" eb="10">
      <t>リヨウ</t>
    </rPh>
    <phoneticPr fontId="6"/>
  </si>
  <si>
    <t>SSLサーバ証明書の検証を無効化していないか</t>
    <rPh sb="6" eb="9">
      <t>ショウメイショ</t>
    </rPh>
    <rPh sb="10" eb="12">
      <t>ケンショウ</t>
    </rPh>
    <rPh sb="13" eb="16">
      <t>ムコウカ</t>
    </rPh>
    <phoneticPr fontId="6"/>
  </si>
  <si>
    <t>MAP.43</t>
  </si>
  <si>
    <t>ユーザから入力された値やファイルを処理する</t>
    <rPh sb="5" eb="7">
      <t>ニュウリョク</t>
    </rPh>
    <rPh sb="10" eb="11">
      <t>アタイ</t>
    </rPh>
    <rPh sb="17" eb="19">
      <t>ショリ</t>
    </rPh>
    <phoneticPr fontId="6"/>
  </si>
  <si>
    <t>アプリケーションに受け渡される値やファイルの妥当性検証、エスケープ処理を行っているか</t>
    <rPh sb="9" eb="10">
      <t>ウ</t>
    </rPh>
    <rPh sb="11" eb="12">
      <t>ワタ</t>
    </rPh>
    <rPh sb="15" eb="16">
      <t>アタイ</t>
    </rPh>
    <rPh sb="22" eb="25">
      <t>ダトウセイ</t>
    </rPh>
    <rPh sb="25" eb="27">
      <t>ケンショウ</t>
    </rPh>
    <rPh sb="33" eb="35">
      <t>ショリ</t>
    </rPh>
    <rPh sb="36" eb="37">
      <t>オコナ</t>
    </rPh>
    <phoneticPr fontId="6"/>
  </si>
  <si>
    <t>MAP.44</t>
  </si>
  <si>
    <t>デバッグ情報などの削除</t>
    <rPh sb="4" eb="6">
      <t>ジョウホウ</t>
    </rPh>
    <rPh sb="9" eb="11">
      <t>サクジョ</t>
    </rPh>
    <phoneticPr fontId="6"/>
  </si>
  <si>
    <t>標準ログに情報を出力していないか</t>
    <rPh sb="0" eb="2">
      <t>ヒョウジュン</t>
    </rPh>
    <rPh sb="5" eb="7">
      <t>ジョウホウ</t>
    </rPh>
    <rPh sb="8" eb="10">
      <t>シュツリョク</t>
    </rPh>
    <phoneticPr fontId="6"/>
  </si>
  <si>
    <t>1.8</t>
  </si>
  <si>
    <t>MAP.45</t>
  </si>
  <si>
    <t>debuggable属性を"false"に設定しているか</t>
    <rPh sb="10" eb="12">
      <t>ゾクセイ</t>
    </rPh>
    <rPh sb="21" eb="23">
      <t>セッテイ</t>
    </rPh>
    <phoneticPr fontId="6"/>
  </si>
  <si>
    <t>7.1</t>
  </si>
  <si>
    <t>MAP.46</t>
  </si>
  <si>
    <t>リリース時に使用されていない機能を削除しているか</t>
    <rPh sb="4" eb="5">
      <t>ジ</t>
    </rPh>
    <rPh sb="6" eb="8">
      <t>シヨウ</t>
    </rPh>
    <rPh sb="14" eb="16">
      <t>キノウ</t>
    </rPh>
    <rPh sb="17" eb="19">
      <t>サクジョ</t>
    </rPh>
    <phoneticPr fontId="6"/>
  </si>
  <si>
    <t>MAP.47</t>
  </si>
  <si>
    <t>1.5.7.</t>
  </si>
  <si>
    <t>デバッグ情報や開発者情報をソースコードやリソース情報から削除しているか</t>
    <rPh sb="4" eb="6">
      <t>ジョウホウ</t>
    </rPh>
    <rPh sb="7" eb="10">
      <t>カイハツシャ</t>
    </rPh>
    <rPh sb="10" eb="12">
      <t>ジョウホウ</t>
    </rPh>
    <rPh sb="24" eb="26">
      <t>ジョウホウ</t>
    </rPh>
    <rPh sb="28" eb="30">
      <t>サクジョ</t>
    </rPh>
    <phoneticPr fontId="6"/>
  </si>
  <si>
    <t>MAP.48</t>
  </si>
  <si>
    <t>1.5.8.</t>
  </si>
  <si>
    <t>開発者情報を含まない絶対パスでビルドしているか</t>
    <rPh sb="0" eb="3">
      <t>カイハツシャ</t>
    </rPh>
    <rPh sb="3" eb="5">
      <t>ジョウホウ</t>
    </rPh>
    <rPh sb="6" eb="7">
      <t>フク</t>
    </rPh>
    <rPh sb="10" eb="12">
      <t>ゼッタイ</t>
    </rPh>
    <phoneticPr fontId="6"/>
  </si>
  <si>
    <t>MAP.49</t>
  </si>
  <si>
    <t>1.5.9.</t>
  </si>
  <si>
    <t>サードパーティ製ライブラリを利用する</t>
  </si>
  <si>
    <t>脆弱性情報を収集し、必要に応じて適宜更新しているか</t>
    <rPh sb="0" eb="3">
      <t>ゼイジャクセイ</t>
    </rPh>
    <rPh sb="3" eb="5">
      <t>ジョウホウ</t>
    </rPh>
    <rPh sb="6" eb="8">
      <t>シュウシュウ</t>
    </rPh>
    <rPh sb="10" eb="12">
      <t>ヒツヨウ</t>
    </rPh>
    <rPh sb="13" eb="14">
      <t>オウ</t>
    </rPh>
    <rPh sb="16" eb="18">
      <t>テキギ</t>
    </rPh>
    <rPh sb="18" eb="20">
      <t>コウシン</t>
    </rPh>
    <phoneticPr fontId="6"/>
  </si>
  <si>
    <t>MAP.50</t>
  </si>
  <si>
    <t>1.5.10.</t>
  </si>
  <si>
    <t>リリース前</t>
    <rPh sb="4" eb="5">
      <t>マエ</t>
    </rPh>
    <phoneticPr fontId="6"/>
  </si>
  <si>
    <t>難読化処理を行っているか</t>
    <rPh sb="0" eb="2">
      <t>ナンドク</t>
    </rPh>
    <rPh sb="2" eb="3">
      <t>カ</t>
    </rPh>
    <rPh sb="3" eb="5">
      <t>ショリ</t>
    </rPh>
    <rPh sb="6" eb="7">
      <t>オコナ</t>
    </rPh>
    <phoneticPr fontId="6"/>
  </si>
  <si>
    <t>MAP.51</t>
  </si>
  <si>
    <t>1.5.11.</t>
  </si>
  <si>
    <t>署名に利用する証明書の情報には公開情報を使用しているか</t>
    <phoneticPr fontId="6"/>
  </si>
  <si>
    <t>外部API チェックシート</t>
    <rPh sb="0" eb="2">
      <t>ガイブ</t>
    </rPh>
    <phoneticPr fontId="7"/>
  </si>
  <si>
    <t>本シートは、外部API開発時の「提供者」としてのセキュリティ要件についてお伺いするものです。</t>
    <rPh sb="6" eb="8">
      <t>ガイブ</t>
    </rPh>
    <phoneticPr fontId="7"/>
  </si>
  <si>
    <t>(接続者向けの要件は、別途チェックシートがあります）</t>
    <rPh sb="1" eb="3">
      <t>セツゾク</t>
    </rPh>
    <rPh sb="3" eb="4">
      <t>シャ</t>
    </rPh>
    <rPh sb="4" eb="5">
      <t>ム</t>
    </rPh>
    <rPh sb="7" eb="9">
      <t>ヨウケン</t>
    </rPh>
    <rPh sb="11" eb="13">
      <t>ベット</t>
    </rPh>
    <phoneticPr fontId="7"/>
  </si>
  <si>
    <t>確認内容</t>
    <rPh sb="0" eb="2">
      <t>カクニン</t>
    </rPh>
    <rPh sb="2" eb="4">
      <t>ナイヨウ</t>
    </rPh>
    <phoneticPr fontId="7"/>
  </si>
  <si>
    <t>セキュリティグループ(コメント参照)</t>
    <phoneticPr fontId="7"/>
  </si>
  <si>
    <t>A群</t>
    <rPh sb="1" eb="2">
      <t>グン</t>
    </rPh>
    <phoneticPr fontId="7"/>
  </si>
  <si>
    <t>B群</t>
    <rPh sb="1" eb="2">
      <t>グン</t>
    </rPh>
    <phoneticPr fontId="8"/>
  </si>
  <si>
    <t>C群</t>
    <rPh sb="1" eb="2">
      <t>グン</t>
    </rPh>
    <phoneticPr fontId="7"/>
  </si>
  <si>
    <t>D群</t>
    <rPh sb="1" eb="2">
      <t>グン</t>
    </rPh>
    <phoneticPr fontId="7"/>
  </si>
  <si>
    <t>E群</t>
    <rPh sb="1" eb="2">
      <t>グン</t>
    </rPh>
    <phoneticPr fontId="7"/>
  </si>
  <si>
    <t>F群</t>
    <rPh sb="1" eb="2">
      <t>グン</t>
    </rPh>
    <phoneticPr fontId="7"/>
  </si>
  <si>
    <t>G群</t>
    <rPh sb="1" eb="2">
      <t>グン</t>
    </rPh>
    <phoneticPr fontId="7"/>
  </si>
  <si>
    <t>H群</t>
    <rPh sb="1" eb="2">
      <t>グン</t>
    </rPh>
    <phoneticPr fontId="8"/>
  </si>
  <si>
    <t>1.外部API</t>
    <rPh sb="2" eb="4">
      <t>ガイブ</t>
    </rPh>
    <phoneticPr fontId="8"/>
  </si>
  <si>
    <t>1.1.全般</t>
    <rPh sb="4" eb="6">
      <t>ゼンパン</t>
    </rPh>
    <phoneticPr fontId="8"/>
  </si>
  <si>
    <t>OAI.1</t>
    <phoneticPr fontId="7"/>
  </si>
  <si>
    <t>APIの接続者、接続システム、取り扱う情報をもとにOAuth 2.0及びOpenID Connectに関連するグラントタイプ仕様を適切に選択しているか。</t>
    <phoneticPr fontId="8"/>
  </si>
  <si>
    <t>1.2.メッセージ秘匿/認証</t>
    <rPh sb="9" eb="11">
      <t>ヒトク</t>
    </rPh>
    <rPh sb="12" eb="14">
      <t>ニンショウ</t>
    </rPh>
    <phoneticPr fontId="8"/>
  </si>
  <si>
    <t>OAI.2</t>
    <phoneticPr fontId="7"/>
  </si>
  <si>
    <t>APIを取り扱う全ての通信処理において、暗号化された通信経路（HTTPS通信）のみとしているか。</t>
    <phoneticPr fontId="8"/>
  </si>
  <si>
    <t>OAI.3</t>
  </si>
  <si>
    <t>認可サーバは、APIクライアント（接続者）からの認可リクエストについて、認可リクエストパラメータのJWSオブジェクトを解析する機能を具備しているか。</t>
    <phoneticPr fontId="7"/>
  </si>
  <si>
    <t>N/A</t>
  </si>
  <si>
    <t>OAI.4</t>
  </si>
  <si>
    <t>Webアプリの場合、認可サーバはAPIクライアント（接続者）が登録可能なリダイレクトURIのスキームをhttpsのみとしているか。</t>
    <phoneticPr fontId="7"/>
  </si>
  <si>
    <t>OAI.5</t>
  </si>
  <si>
    <t>認可サーバ及びリソースサーバは、APIクライアント（接続者）からのリクエスト対し、以下メッセージ改ざん対策のリクエスト解析機能を具備しているか。
・ JWS：RSASSA-PKCS1-v1_5 using SHA-256以上</t>
    <phoneticPr fontId="8"/>
  </si>
  <si>
    <t>OAI.6</t>
  </si>
  <si>
    <t>認可サーバ及びリソースサーバは　、APIクライアント（接続者）からのリクエストに対し、以下再生攻撃対策のリクエスト解析機能を具備しているか。
・ JWTの以下のクレームを含めてJWS化
iss 発行者識別子
jti JWTID
iat JWT発行時刻
exp JWT有効期間
その上で、認可サーバ及びリソースサーバは、JWSのexp有効期間内に同じjtiを受け付けない処理を実装する。</t>
    <phoneticPr fontId="8"/>
  </si>
  <si>
    <t>OAI.7</t>
  </si>
  <si>
    <t>認可サーバがAPIクライアント（接続者）を認証する方法において、クライアントID/クライアントシークレットの組だけではなく、クライアントシークレットがネットワークに流れない、HMAC、RFC 7523 JSON Web Token (JWT) Profile for OAuth 2.0 Client Authentication and Authorization Grants等によるクライアント認証・署名手段を具備しているか。</t>
    <phoneticPr fontId="8"/>
  </si>
  <si>
    <t>1.3.サーバ認証</t>
    <rPh sb="7" eb="9">
      <t>ニンショウ</t>
    </rPh>
    <phoneticPr fontId="8"/>
  </si>
  <si>
    <t>OAI.8</t>
    <phoneticPr fontId="7"/>
  </si>
  <si>
    <t>認可サーバはRFC 6749に定義されているstate パラメータによる値の授受に対応しているか。</t>
    <phoneticPr fontId="8"/>
  </si>
  <si>
    <t>OAI.9</t>
  </si>
  <si>
    <t>認可サーバは、IDトークンにStateハッシュ（s_hash）を属性（クレーム）として含めているか。
※ハッシュアルゴリズムはIDトークンのJOSEヘッダにおけるalg指定に準ずる。例えば、algが、HS512の場合は、SHA-512を用いる。</t>
    <phoneticPr fontId="8"/>
  </si>
  <si>
    <t>OAI.10</t>
  </si>
  <si>
    <t>個人情報の処理を扱うA～E群のセキュリティグループはEV証明書を導入し、以下仕様としているか。
・ 証明書鍵長：RSA2048bit以上 or ECDSA256bit以上
・ 証明書でのハッシュ関数：SHA-256
・ 発行機関：指定の第三者発行機関のみ</t>
    <phoneticPr fontId="8"/>
  </si>
  <si>
    <t>OAI.11</t>
  </si>
  <si>
    <t>非個人情報を扱うF～H群のセキュリティグループはOV証明書以上を導入し、以下仕様としているか。
・ 証明書鍵長：RSA2048bit以上 or ECDSA256bit以上
・ 証明書でのハッシュ関数：SHA-256
・ 発行機関：指定の第三者発行機関のみ</t>
    <phoneticPr fontId="8"/>
  </si>
  <si>
    <t>OAI.12</t>
  </si>
  <si>
    <t>認可サーバは、アクセストークン発行時に、発行先のクライアントID、およびアクセストークンをAPIクライアントから受領することが可能なリソースサーバのURIを紐付け、リソースサーバからアクセストークンの検証依頼を受領した時に、アクセストークンとリソースサーバのURIの整合性を確認しているか。</t>
    <phoneticPr fontId="8"/>
  </si>
  <si>
    <t>1.4.ユーザー認証</t>
    <phoneticPr fontId="8"/>
  </si>
  <si>
    <t>OAI.13</t>
    <phoneticPr fontId="7"/>
  </si>
  <si>
    <t>認可リクエスト時に実施する認証（顧客本人であることの確認）は既存業務と比較した際、劣後しない認証強度とすること。なお、新規システムの場合は既存業務と照らし、適切な認証強度としているか。</t>
    <phoneticPr fontId="8"/>
  </si>
  <si>
    <t>OAI.14</t>
  </si>
  <si>
    <t>IDトークンを発行し以下のアルゴリズムをいずれもサポートしJWS署名を付与しているか。
アルゴリズムの選択は、認可サーバの機能として具備しているアルゴリズムから、鍵長が長いものを優先的に選択すること。
・ RSASSA-PKCS1-v1_5 using SHA-512 
・ RSASSA-PSS using SHA-256 and MGF1 with SHA-2
・ ECDSA using P-256 and SHA-256</t>
    <phoneticPr fontId="8"/>
  </si>
  <si>
    <t>OAI.15</t>
  </si>
  <si>
    <t>遵守事項①に加えて、JWE形式においてIDトークン暗号化を施しているか。</t>
    <phoneticPr fontId="8"/>
  </si>
  <si>
    <t>OAI.16</t>
  </si>
  <si>
    <t>IDトークンを発行し以下のアルゴリズムでJWS署名を付与しているか。
RSASSA-PKCS1-v1_5 using SHA-256以上</t>
    <phoneticPr fontId="8"/>
  </si>
  <si>
    <t>OAI.17</t>
  </si>
  <si>
    <t>1.4.5.</t>
  </si>
  <si>
    <t>認可サーバは、APIクライアント（接続者）の種別ごとに、自動認証の許可・拒否切替の設定が可能としているか。
運用において信頼できないAPIクライアント（接続者）と判断した場合、当該APIクライアント（接続者）からの認可リクエストについてはリソースオーナ（顧客）の自動認証を拒否する設定が可能であること。</t>
    <phoneticPr fontId="8"/>
  </si>
  <si>
    <t>1.5.クライアント認証</t>
    <phoneticPr fontId="8"/>
  </si>
  <si>
    <t>OAI.18</t>
    <phoneticPr fontId="7"/>
  </si>
  <si>
    <t>認可サーバはAPIクライアント（接続者）からの認可リクエストに対してリソースオーナ（顧客）に同意確認を行う場合、どのような認可を行うか、認可期間の期限はいつまでか、リソースオーナ（顧客）に分かりやすい説明を行っているか。
認可サーバはリソースオーナ（顧客）が過去に許可したことのないスコープ（アクセス範囲）をAPIクライアント（接続者）が要求した場合には、その旨を強調して説明すること。</t>
    <phoneticPr fontId="8"/>
  </si>
  <si>
    <t>OAI.19</t>
  </si>
  <si>
    <t>JWSクライアントアサーションの場合、以下の仕様を前提としているか。
・ JWSクライアントアサーションRSASSA-PKCS1-v1_5 using SHA-256以上</t>
    <phoneticPr fontId="8"/>
  </si>
  <si>
    <t>OAI.20</t>
  </si>
  <si>
    <t>JWSクライアントアサーションの場合、以下の仕様を前提としているか。
・ JWSクライアントアサーションHMAC using SHA-256 以上</t>
    <phoneticPr fontId="8"/>
  </si>
  <si>
    <t>OAI.21</t>
  </si>
  <si>
    <t>クライアント証明書（MutualTLS）の場合、以下の仕様を前提としているか。
・ 証明書鍵長：RSA2048bit以上 or ECDSA256bit以上
・ 証明書でのハッシュ関数：SHA-256
・ 発行機関：指定の第三者発行機関のみ
・ ＥV証明書</t>
    <phoneticPr fontId="8"/>
  </si>
  <si>
    <t>OAI.22</t>
  </si>
  <si>
    <t>クライアント証明書（MutualTLS）の場合、失効管理等の目的で以下の対応を行っているか。
・ 失効管理：CRL、OCSPキャッシュ1Day
・ certificate pinning:ドメインと発行機関の指定登録</t>
    <phoneticPr fontId="8"/>
  </si>
  <si>
    <t>OAI.23</t>
  </si>
  <si>
    <t>秘密情報等を用いた認証の場合、以下の仕様を前提としているか。
・ ＯAuthクライアントシークレット　256bit以上</t>
    <phoneticPr fontId="8"/>
  </si>
  <si>
    <t>OAI.24</t>
  </si>
  <si>
    <t>秘密情報等を用いた認証の場合、以下の仕様を前提としているか。
・ ベーシック認証と同等レベルの対策</t>
    <phoneticPr fontId="8"/>
  </si>
  <si>
    <t>OAI.25</t>
  </si>
  <si>
    <t>モバイルアプリの場合、APIクライアント（接続者）が認可サーバにリフレッシュトークンを用いてアクセストークンを要求してきた際、認可サーバはAPIクライアント（接続者）が動作する環境固有の識別子（デバイスIDなど）を、クライアント認証のための情報として併せて提示を要求しているか。
その識別子がリフレッシュトークン発行時に取得したものと一致するかどうかを検証すること。
検証に成功した場合のみアクセストークンを発行し、検証失敗時は処理を中断すること。</t>
    <phoneticPr fontId="7"/>
  </si>
  <si>
    <t>OAI.26</t>
  </si>
  <si>
    <t>認可サーバは、クライントに対してリフレッシュトークンを発行する際に、APIクライアント（接続者）のクライアントIDと、そのリフレッシュトークンとの紐付けを行っているか。
再度APIクライアント（接続者）からリフレッシュトークンを受け取った際、認可サーバはその紐付けを検証すること。
成功した場合のみアクセストークンを送信すること。</t>
    <phoneticPr fontId="8"/>
  </si>
  <si>
    <t>1.6.クレデンシャル保護・管理</t>
    <phoneticPr fontId="8"/>
  </si>
  <si>
    <t>OAI.27</t>
    <phoneticPr fontId="7"/>
  </si>
  <si>
    <t>1.6.1.</t>
    <phoneticPr fontId="7"/>
  </si>
  <si>
    <t>認可サーバはX-FRAME-OPTIONSヘッダを利用して認可フロー中でiframeの利用を禁止しているか。</t>
    <phoneticPr fontId="8"/>
  </si>
  <si>
    <t>OAI.28</t>
  </si>
  <si>
    <t>1.6.2.</t>
  </si>
  <si>
    <t>APIクライアント（接続者）に対し発行するクライアントシークレット（client_secret）を用いる場合、十分にランダムな値（256ビット以上の暗号論的に強固な乱数または擬似乱数シーケンス）としているか。
またはクライアントシークレットに対して認可サーバによる署名（十分な鍵長及び暗号方式を前提※）等を付与しているか。</t>
    <phoneticPr fontId="8"/>
  </si>
  <si>
    <t>OAI.29</t>
  </si>
  <si>
    <t>1.6.3.</t>
  </si>
  <si>
    <t>APIクライアント（接続者）がクライアントID（client_id）とクライアントシークレット（client_secret）等を用いて認証※を試み、ある一定の回数試行に失敗した場合には、そのAPIクライアント（接続者）からの接続を拒否しているか。
※トークンリクエスト、及びトークンリフレッシュ、リソースリクエストのタイミングが該当する。</t>
    <phoneticPr fontId="8"/>
  </si>
  <si>
    <t>OAI.30</t>
  </si>
  <si>
    <t>1.6.4.</t>
  </si>
  <si>
    <t>認可サーバは登録済みのクライアントシークレット等のクライアント認証手段を選択的に無効化する機能を具備しているか。</t>
    <phoneticPr fontId="8"/>
  </si>
  <si>
    <t>OAI.31</t>
  </si>
  <si>
    <t>1.6.5.</t>
  </si>
  <si>
    <t>モバイルアプリの場合、認可サーバはモバイルアプリケーションからの認可リクエストがWebView内にて処理されているかどうかを判定する機能を具備しているか。</t>
    <phoneticPr fontId="7"/>
  </si>
  <si>
    <t>1.7.認可コード保護・管理</t>
    <phoneticPr fontId="8"/>
  </si>
  <si>
    <t>OAI.32</t>
    <phoneticPr fontId="7"/>
  </si>
  <si>
    <t>1.7.1.</t>
    <phoneticPr fontId="7"/>
  </si>
  <si>
    <t>認可サーバは認可コードを十分にランダムな値（128ビット以上の暗号論的に強固な乱数または擬似乱数シーケンス）とすること。
または認可コードに対して認可サーバによる署名（十分な鍵長及び暗号方式を前提※）を付与しているか。</t>
    <phoneticPr fontId="8"/>
  </si>
  <si>
    <t>OAI.33</t>
  </si>
  <si>
    <t>1.7.2.</t>
  </si>
  <si>
    <t>認可サーバはAPIクライアント（接続者）からの認可コード受信時に、APIクライアント（接続者）と認可コードとの紐付けを検証しているか。</t>
    <phoneticPr fontId="8"/>
  </si>
  <si>
    <t>OAI.34</t>
  </si>
  <si>
    <t>1.7.3.</t>
  </si>
  <si>
    <t>認可サーバはIDトークン内に認可コードのハッシュを格納しているか。
以下の仕様を前提とする。
・ c_hash in IDトークン　　alg：SHA-256</t>
    <phoneticPr fontId="8"/>
  </si>
  <si>
    <t>OAI.35</t>
  </si>
  <si>
    <t>1.7.4.</t>
  </si>
  <si>
    <t>認可サーバは以下の処理、機能を具備しているか。
・ 認可コードの有効期限を1分（推奨値）に設定すること。
・ 認可コードの利用回数を1回とすること。
・ 認可コードが複数回使われたことを検知した場合, 過去にその認可コードを用いて発行されたアクセストークンを無効化すること。</t>
    <phoneticPr fontId="8"/>
  </si>
  <si>
    <t>OAI.36</t>
  </si>
  <si>
    <t>1.7.5.</t>
  </si>
  <si>
    <t>認可サーバはAPIクライアント（接続者）にリダイレクトURI全体を事前登録させ、同APIクライアント（接続者）からredirect_uriパラメータを受信した場合、その値と事前登録した値とが完全一致するかどうか検証しているか。</t>
    <phoneticPr fontId="8"/>
  </si>
  <si>
    <t>OAI.37</t>
  </si>
  <si>
    <t>1.7.6.</t>
  </si>
  <si>
    <t>認可サーバはリダイレクトURIとして、APIクライアント（接続者）がループバックインターフェースURLの登録を行うことを拒否しているか。</t>
    <phoneticPr fontId="8"/>
  </si>
  <si>
    <t>OAI.38</t>
  </si>
  <si>
    <t>1.7.7.</t>
  </si>
  <si>
    <t>モバイルアプリの場合、APIクライアント（接続者）がモバイルアプリケーションの場合、RFC 7636の”プルーフキー”機能をOAuth 2.0認可サーバに実装し、同機能を利用しないAPIクライアント（接続者）からの接続を拒否しているか。
RFC 7636に規定されている ”code_challenge_method” の値として ”S256” のみ許可すること。</t>
    <phoneticPr fontId="7"/>
  </si>
  <si>
    <t>OAI.39</t>
  </si>
  <si>
    <t>1.7.8.</t>
  </si>
  <si>
    <t>認可サーバはAPIクライアント（接続者）から認可サーバへの「認可リクエスト時に指定されたリダイレクトURI（redirect_uri)」と、「トークンエンドポイントに再び送られてくるリダイレクトURI（redirect_uri）」との整合性を確認しているか。
認可サーバは不整合と判定した場合、処理を中断すること。</t>
    <phoneticPr fontId="8"/>
  </si>
  <si>
    <t>1.8.トークン保護・管理</t>
    <phoneticPr fontId="8"/>
  </si>
  <si>
    <t>OAI.40</t>
    <phoneticPr fontId="7"/>
  </si>
  <si>
    <t>1.8.1.</t>
    <phoneticPr fontId="7"/>
  </si>
  <si>
    <t>認可サーバはAPIクライアント（接続者）側のプロキシサーバやキャッシュサーバによるアクセストークン等の保存を禁止するために、認可サーバからAPIクライアント（接続者）へのトークン送信時のHTTPレスポンスにCache‑Control ヘッダを利用しているか。</t>
    <phoneticPr fontId="8"/>
  </si>
  <si>
    <t>OAI.41</t>
  </si>
  <si>
    <t>1.8.2.</t>
  </si>
  <si>
    <t>IDトークン内にトークンハッシュをクレームとして追加しているか。
以下の仕様を前提とする。
・ A_hash in IDトークン　　alg：SHA-256</t>
    <phoneticPr fontId="8"/>
  </si>
  <si>
    <t>OAI.42</t>
  </si>
  <si>
    <t>1.8.3.</t>
  </si>
  <si>
    <t>認可サーバはアクセストークンを十分にランダムな値（256ビット以上の暗号論的に強固な乱数または擬似乱数シーケンス）としているか。
またはアクセストークンに対して認可サーバによる署名（十分な鍵長及び暗号方式を前提※）を付与しているか。</t>
    <phoneticPr fontId="8"/>
  </si>
  <si>
    <t>OAI.43</t>
  </si>
  <si>
    <t>1.8.4.</t>
  </si>
  <si>
    <t>認可サーバはリフレッシュトークン発行時に、それを要求したAPIクライアント（接続者）のIDをリフレッシュトークンと紐付けを行っているか。
認可サーバがAPIクライアント（接続者）からリフレッシュトークンの提示をうけた際には、認可サーバはその紐付けを確認すること。
クライアントIDが一致しない場合には処理を中断すること。</t>
    <phoneticPr fontId="8"/>
  </si>
  <si>
    <t>OAI.44</t>
  </si>
  <si>
    <t>1.8.5.</t>
  </si>
  <si>
    <t>リフレッシュトークンの漏洩対策として、リフレッシュトークンを無効化する機能を具備しているか。</t>
    <phoneticPr fontId="8"/>
  </si>
  <si>
    <t>OAI.45</t>
  </si>
  <si>
    <t>1.8.6.</t>
  </si>
  <si>
    <t>リフレッシュトークンを十分にランダムな値（256ビット以上の暗号論的に強固な乱数または擬似乱数シーケンス）としているか。
またはリフレッシュトークンに対して認可サーバによる署名（十分な鍵長及び暗号方式を前提※）を付与しているか。</t>
    <phoneticPr fontId="8"/>
  </si>
  <si>
    <t>OAI.46</t>
  </si>
  <si>
    <t>1.8.7.</t>
  </si>
  <si>
    <t>認可サーバはAPIクライアント（接続者）からのリフレッシュトークンによるアクセストークン更新要求の度に、リフレッシュトークン自体も再生成し、APIクライアント（接続者）に送信しているか。</t>
    <phoneticPr fontId="8"/>
  </si>
  <si>
    <t>OAI.47</t>
  </si>
  <si>
    <t>1.8.8.</t>
  </si>
  <si>
    <t>認可サーバはリソースオーナ（顧客）単位で選択的にアクセストークン（及びリフレッシュトークン）を無効化する機能を具備しているか。</t>
    <phoneticPr fontId="8"/>
  </si>
  <si>
    <t>OAI.48</t>
  </si>
  <si>
    <t>1.8.9.</t>
  </si>
  <si>
    <t>認可サーバは、リソースオーナ（顧客）単位で選択的にトークンを無効化する機能を具備しているか。
認可サーバは、リソースオーナ（顧客）単位で全トークンを一括で無効化する機能を具備しているか。
認可サーバは、リソースオーナ（顧客）単位でトークンの発行・更新処理を停止する機能を具備しているか。</t>
    <phoneticPr fontId="8"/>
  </si>
  <si>
    <t>1.9.アクセス権限管理</t>
    <phoneticPr fontId="8"/>
  </si>
  <si>
    <t>OAI.49</t>
    <phoneticPr fontId="7"/>
  </si>
  <si>
    <t>1.9.1.</t>
    <phoneticPr fontId="7"/>
  </si>
  <si>
    <t>認可サーバは、APIクライアント（接続者）に付与可能なアクセス範囲・権限を、APIクライアント（接続者）が必要とする最小限度に留め、そのアクセストークンに紐付けられたスコープ群を、トークンレスポンスのscopeパラメータに必ず含めているか。</t>
    <phoneticPr fontId="8"/>
  </si>
  <si>
    <t>OAI.50</t>
  </si>
  <si>
    <t>1.9.2.</t>
  </si>
  <si>
    <t>リソースオーナ（顧客）ごとに、発行可能な認可コードに上限を設けているか。</t>
    <phoneticPr fontId="8"/>
  </si>
  <si>
    <t>OAI.51</t>
  </si>
  <si>
    <t>1.9.3.</t>
  </si>
  <si>
    <t>APIクライアント（接続者）から無効な認可コードを受信した場合にはエラーレスポンスを返し、一定回数以上繰り返しそのようなリクエストを行うAPIクライアント（接続者）に対しては、流量制限やコネクション拒否などの対応を行っているか。</t>
    <phoneticPr fontId="8"/>
  </si>
  <si>
    <t>OAI.52</t>
  </si>
  <si>
    <t>1.9.4.</t>
  </si>
  <si>
    <t>原則として、APIクライアント（接続者）からの認可リクエストに対してはリソースオーナ（顧客）の同意確認処理を行っているか。</t>
    <phoneticPr fontId="8"/>
  </si>
  <si>
    <t>OAI.53</t>
    <phoneticPr fontId="7"/>
  </si>
  <si>
    <t>1.9.5.</t>
    <phoneticPr fontId="7"/>
  </si>
  <si>
    <t>OAI.54</t>
  </si>
  <si>
    <t>1.9.6.</t>
  </si>
  <si>
    <t>アクセストークンへのクライアント署名を付与（JWS形式）しているか。</t>
    <phoneticPr fontId="8"/>
  </si>
  <si>
    <t>OAI.55</t>
  </si>
  <si>
    <t>1.9.7.</t>
  </si>
  <si>
    <t>リフレッシュトークンを用いた永続的な更新を許可せずに、ある一定の期間経過後はユーザの再認証を行った後、アクセストークン、リフレッシュトークンを再取得しているか。</t>
    <phoneticPr fontId="8"/>
  </si>
  <si>
    <t>OAI.56</t>
  </si>
  <si>
    <t>1.9.8.</t>
  </si>
  <si>
    <t>APIアクセス権限・範囲（scope）、リソースオーナ（顧客）種別毎、APIクライアント（接続者）毎等複数条件をもとに、アクセストークンの有効期限内の利用回数制限を設定しているか。</t>
    <phoneticPr fontId="8"/>
  </si>
  <si>
    <t>OAI.57</t>
  </si>
  <si>
    <t>1.9.9.</t>
  </si>
  <si>
    <t>アクセストークンを用いたAPIアクセスの傾向（APIクライアント（接続者）のIPアドレス、アクセストークンに紐付くリソースオーナ（顧客）、リソースへのリクエスト内容など）を把握し、その結果によってはアクセストークンに関連するリクエストを一次的に停止／拒否する等の対策を講しているか。</t>
    <phoneticPr fontId="8"/>
  </si>
  <si>
    <t>OAI.58</t>
  </si>
  <si>
    <t>1.9.10.</t>
  </si>
  <si>
    <t>APIリクエスト単位で、リクエストで受領するJSON/XMLメッセージサイズが指定サイズより超過していないかチェックする機能を具備しているか。
上記に加えて、パラメータ単位で最大ストリング長を制限することを組み合わせることを推奨する。</t>
    <phoneticPr fontId="8"/>
  </si>
  <si>
    <t>OAI.59</t>
  </si>
  <si>
    <t>1.9.11.</t>
  </si>
  <si>
    <t>APIリクエスト単位で、リクエストで受領するJSON/XMLメッセージのJSONのコンテナの深さ(Depth)の上限数や、XMLのネストの上限数を、指定数を超えていないか、ストラクチャをチェックする機能を具備しているか。</t>
    <phoneticPr fontId="8"/>
  </si>
  <si>
    <t>OAI.60</t>
  </si>
  <si>
    <t>1.9.12.</t>
  </si>
  <si>
    <t>アクセストークンに対するアクセス制御を、OAuth 2.0のScopeパラメータを用いて、アクセス制御モデルを設計しているか。</t>
    <phoneticPr fontId="8"/>
  </si>
  <si>
    <t>改定日</t>
    <rPh sb="0" eb="2">
      <t>カイテイ</t>
    </rPh>
    <rPh sb="2" eb="3">
      <t>ビ</t>
    </rPh>
    <phoneticPr fontId="7"/>
  </si>
  <si>
    <t>改修内容</t>
    <rPh sb="0" eb="2">
      <t>カイシュウ</t>
    </rPh>
    <rPh sb="2" eb="4">
      <t>ナイヨウ</t>
    </rPh>
    <phoneticPr fontId="7"/>
  </si>
  <si>
    <t>担当者</t>
    <rPh sb="0" eb="3">
      <t>タントウシャ</t>
    </rPh>
    <phoneticPr fontId="7"/>
  </si>
  <si>
    <t>情宣有無</t>
    <rPh sb="0" eb="2">
      <t>ジョウセン</t>
    </rPh>
    <rPh sb="2" eb="4">
      <t>ウム</t>
    </rPh>
    <phoneticPr fontId="7"/>
  </si>
  <si>
    <t>インデックスシートの記載を一部変更
・（１）の問い追加
・（６）の文言の軽微な修正</t>
    <rPh sb="10" eb="12">
      <t>キサイ</t>
    </rPh>
    <rPh sb="13" eb="15">
      <t>イチブ</t>
    </rPh>
    <rPh sb="15" eb="17">
      <t>ヘンコウ</t>
    </rPh>
    <rPh sb="23" eb="24">
      <t>ト</t>
    </rPh>
    <rPh sb="25" eb="27">
      <t>ツイカ</t>
    </rPh>
    <rPh sb="33" eb="35">
      <t>モンゴン</t>
    </rPh>
    <rPh sb="36" eb="38">
      <t>ケイビ</t>
    </rPh>
    <rPh sb="39" eb="41">
      <t>シュウセイ</t>
    </rPh>
    <phoneticPr fontId="7"/>
  </si>
  <si>
    <t>中西</t>
    <rPh sb="0" eb="2">
      <t>ナカニシ</t>
    </rPh>
    <phoneticPr fontId="7"/>
  </si>
  <si>
    <t>軽微な修正のみのため、無し</t>
    <rPh sb="0" eb="2">
      <t>ケイビ</t>
    </rPh>
    <rPh sb="3" eb="5">
      <t>シュウセイ</t>
    </rPh>
    <rPh sb="11" eb="12">
      <t>ナ</t>
    </rPh>
    <phoneticPr fontId="7"/>
  </si>
  <si>
    <t>インデックスシートで２．（３）・（４）の記載を一部変更
誤：（１）で「外部委託先評価時」を選択時は回答不要です。
正：（２）で「外部委託先評価時」を選択時は回答不要です。</t>
    <rPh sb="28" eb="29">
      <t>ゴ</t>
    </rPh>
    <rPh sb="57" eb="58">
      <t>セイ</t>
    </rPh>
    <phoneticPr fontId="7"/>
  </si>
  <si>
    <t>軽微な修正のみのため、無し</t>
    <phoneticPr fontId="7"/>
  </si>
  <si>
    <t>全チェックシートについて、確認者評価欄の新規列、確認者使用欄の行ラベルを追記</t>
    <rPh sb="0" eb="1">
      <t>ゼン</t>
    </rPh>
    <rPh sb="13" eb="15">
      <t>カクニン</t>
    </rPh>
    <rPh sb="15" eb="16">
      <t>シャ</t>
    </rPh>
    <rPh sb="16" eb="18">
      <t>ヒョウカ</t>
    </rPh>
    <rPh sb="18" eb="19">
      <t>ラン</t>
    </rPh>
    <rPh sb="20" eb="22">
      <t>シンキ</t>
    </rPh>
    <rPh sb="22" eb="23">
      <t>レツ</t>
    </rPh>
    <rPh sb="24" eb="26">
      <t>カクニン</t>
    </rPh>
    <rPh sb="26" eb="27">
      <t>シャ</t>
    </rPh>
    <rPh sb="27" eb="29">
      <t>シヨウ</t>
    </rPh>
    <rPh sb="29" eb="30">
      <t>ラン</t>
    </rPh>
    <rPh sb="31" eb="32">
      <t>ギョウ</t>
    </rPh>
    <rPh sb="36" eb="38">
      <t>ツイキ</t>
    </rPh>
    <phoneticPr fontId="7"/>
  </si>
  <si>
    <t>軽微な修正のみのため、無し</t>
  </si>
  <si>
    <t>態勢、アプリ設計、インフラ各種、運用プロセス各種シートについて、「システム運用に関するチェックシート」より移植した項目を「セキュリティ管理」、「マルウェア」、「別表1,2,3」に分類してプロットした情報を新規列に追記</t>
    <rPh sb="0" eb="2">
      <t>タイセイ</t>
    </rPh>
    <rPh sb="6" eb="8">
      <t>セッケイ</t>
    </rPh>
    <rPh sb="13" eb="15">
      <t>カクシュ</t>
    </rPh>
    <rPh sb="16" eb="18">
      <t>ウンヨウ</t>
    </rPh>
    <rPh sb="22" eb="24">
      <t>カクシュ</t>
    </rPh>
    <rPh sb="37" eb="39">
      <t>ウンヨウ</t>
    </rPh>
    <rPh sb="40" eb="41">
      <t>カン</t>
    </rPh>
    <rPh sb="53" eb="55">
      <t>イショク</t>
    </rPh>
    <rPh sb="57" eb="59">
      <t>コウモク</t>
    </rPh>
    <rPh sb="67" eb="69">
      <t>カンリ</t>
    </rPh>
    <rPh sb="89" eb="91">
      <t>ブンルイ</t>
    </rPh>
    <rPh sb="99" eb="101">
      <t>ジョウホウ</t>
    </rPh>
    <rPh sb="102" eb="104">
      <t>シンキ</t>
    </rPh>
    <rPh sb="104" eb="105">
      <t>レツ</t>
    </rPh>
    <rPh sb="106" eb="108">
      <t>ツイキ</t>
    </rPh>
    <phoneticPr fontId="7"/>
  </si>
  <si>
    <r>
      <t>全チェックシートについて、備考欄へ必要情報の記入を求める記述部を</t>
    </r>
    <r>
      <rPr>
        <b/>
        <sz val="11"/>
        <color rgb="FFFF0000"/>
        <rFont val="Yu Gothic"/>
        <family val="3"/>
        <charset val="128"/>
        <scheme val="minor"/>
      </rPr>
      <t>赤太字</t>
    </r>
    <r>
      <rPr>
        <sz val="11"/>
        <color theme="1"/>
        <rFont val="Yu Gothic"/>
        <family val="2"/>
        <scheme val="minor"/>
      </rPr>
      <t>に変更</t>
    </r>
    <rPh sb="0" eb="1">
      <t>ゼン</t>
    </rPh>
    <rPh sb="13" eb="15">
      <t>ビコウ</t>
    </rPh>
    <rPh sb="15" eb="16">
      <t>ラン</t>
    </rPh>
    <rPh sb="17" eb="19">
      <t>ヒツヨウ</t>
    </rPh>
    <rPh sb="19" eb="21">
      <t>ジョウホウ</t>
    </rPh>
    <rPh sb="22" eb="24">
      <t>キニュウ</t>
    </rPh>
    <rPh sb="25" eb="26">
      <t>モト</t>
    </rPh>
    <rPh sb="28" eb="30">
      <t>キジュツ</t>
    </rPh>
    <rPh sb="30" eb="31">
      <t>ブ</t>
    </rPh>
    <rPh sb="32" eb="33">
      <t>アカ</t>
    </rPh>
    <rPh sb="33" eb="35">
      <t>フトジ</t>
    </rPh>
    <rPh sb="36" eb="38">
      <t>ヘンコウ</t>
    </rPh>
    <phoneticPr fontId="7"/>
  </si>
  <si>
    <t>インデックスシート（５）プロジェクトの開発形態で「アウトソース～」を選択した場合、（２）現在の開発工程の選択項目に関わらず、その他の選択項目の組み合わせにより回答すべきチェック項目を全ての開発工程で要回答とする条件に変更
本変更に伴い、（３）・（４）より以下記載を削除し、当該の項番を回答必須に変更（開発承認レベルとセキュリティ対応ランクの組み合わせにより要回答数が変動するパターンがあるため）
削除：（２）で「外部委託先評価時」を選択時は回答不要です。（どれを選んでも要回答項目には影響しません)</t>
    <rPh sb="19" eb="21">
      <t>カイハツ</t>
    </rPh>
    <rPh sb="21" eb="23">
      <t>ケイタイ</t>
    </rPh>
    <rPh sb="34" eb="36">
      <t>センタク</t>
    </rPh>
    <rPh sb="38" eb="40">
      <t>バアイ</t>
    </rPh>
    <rPh sb="44" eb="46">
      <t>ゲンザイ</t>
    </rPh>
    <rPh sb="47" eb="49">
      <t>カイハツ</t>
    </rPh>
    <rPh sb="49" eb="51">
      <t>コウテイ</t>
    </rPh>
    <rPh sb="52" eb="54">
      <t>センタク</t>
    </rPh>
    <rPh sb="54" eb="56">
      <t>コウモク</t>
    </rPh>
    <rPh sb="57" eb="58">
      <t>カカ</t>
    </rPh>
    <rPh sb="64" eb="65">
      <t>タ</t>
    </rPh>
    <rPh sb="66" eb="68">
      <t>センタク</t>
    </rPh>
    <rPh sb="68" eb="70">
      <t>コウモク</t>
    </rPh>
    <rPh sb="71" eb="72">
      <t>ク</t>
    </rPh>
    <rPh sb="73" eb="74">
      <t>ア</t>
    </rPh>
    <rPh sb="79" eb="81">
      <t>カイトウ</t>
    </rPh>
    <rPh sb="88" eb="90">
      <t>コウモク</t>
    </rPh>
    <rPh sb="91" eb="92">
      <t>スベ</t>
    </rPh>
    <rPh sb="94" eb="96">
      <t>カイハツ</t>
    </rPh>
    <rPh sb="96" eb="98">
      <t>コウテイ</t>
    </rPh>
    <rPh sb="99" eb="100">
      <t>ヨウ</t>
    </rPh>
    <rPh sb="100" eb="102">
      <t>カイトウ</t>
    </rPh>
    <rPh sb="105" eb="107">
      <t>ジョウケン</t>
    </rPh>
    <rPh sb="108" eb="110">
      <t>ヘンコウ</t>
    </rPh>
    <rPh sb="111" eb="112">
      <t>ホン</t>
    </rPh>
    <rPh sb="112" eb="114">
      <t>ヘンコウ</t>
    </rPh>
    <rPh sb="115" eb="116">
      <t>トモナ</t>
    </rPh>
    <rPh sb="127" eb="129">
      <t>イカ</t>
    </rPh>
    <rPh sb="129" eb="131">
      <t>キサイ</t>
    </rPh>
    <rPh sb="132" eb="134">
      <t>サクジョ</t>
    </rPh>
    <rPh sb="136" eb="138">
      <t>トウガイ</t>
    </rPh>
    <rPh sb="139" eb="141">
      <t>コウバン</t>
    </rPh>
    <rPh sb="142" eb="144">
      <t>カイトウ</t>
    </rPh>
    <rPh sb="144" eb="146">
      <t>ヒッス</t>
    </rPh>
    <rPh sb="147" eb="149">
      <t>ヘンコウ</t>
    </rPh>
    <rPh sb="150" eb="152">
      <t>カイハツ</t>
    </rPh>
    <rPh sb="152" eb="154">
      <t>ショウニン</t>
    </rPh>
    <rPh sb="164" eb="166">
      <t>タイオウ</t>
    </rPh>
    <rPh sb="170" eb="171">
      <t>ク</t>
    </rPh>
    <rPh sb="172" eb="173">
      <t>ア</t>
    </rPh>
    <rPh sb="181" eb="182">
      <t>スウ</t>
    </rPh>
    <rPh sb="183" eb="185">
      <t>ヘンドウ</t>
    </rPh>
    <rPh sb="199" eb="201">
      <t>サクジョ</t>
    </rPh>
    <phoneticPr fontId="7"/>
  </si>
  <si>
    <t xml:space="preserve">有り。L-2021-ZAVL-26252993 </t>
    <phoneticPr fontId="7"/>
  </si>
  <si>
    <t>インデックスシート（６）で「ただし、以下いずれかの条件に該当する変更のみであり～」を選択した場合の変更内容記入欄を追記</t>
    <rPh sb="42" eb="44">
      <t>センタク</t>
    </rPh>
    <rPh sb="46" eb="48">
      <t>バアイ</t>
    </rPh>
    <rPh sb="49" eb="51">
      <t>ヘンコウ</t>
    </rPh>
    <rPh sb="51" eb="53">
      <t>ナイヨウ</t>
    </rPh>
    <rPh sb="53" eb="55">
      <t>キニュウ</t>
    </rPh>
    <rPh sb="55" eb="56">
      <t>ラン</t>
    </rPh>
    <rPh sb="57" eb="59">
      <t>ツイキ</t>
    </rPh>
    <phoneticPr fontId="7"/>
  </si>
  <si>
    <t>態勢、アプリ設計、インフラ各種、運用プロセス各種シートについて、「システム運用に関するチェックシート」より移植した項目で「クラウド」の分類を新規列に追記</t>
    <phoneticPr fontId="7"/>
  </si>
  <si>
    <t xml:space="preserve">アプリ設計シート1.1.4.について、メールアドレス形式のID登録はエラーとするよう追記
</t>
    <rPh sb="42" eb="44">
      <t>ツイキ</t>
    </rPh>
    <phoneticPr fontId="7"/>
  </si>
  <si>
    <t>アプリ設計シート1.2.6.について、以下の通り修正
（修正前）
・パスワード変更時には、現在のパスワードと同じパスワードや、過去に利用されたパスワードを拒否する
・パスワード入力エラー連続５回以内でアカウントロックする（自動解除不可。上位者かシステム管理者による解除が必要）
（修正後）
・パスワード変更時には、現在のパスワードと同じパスワードや、過去(直近)に利用されたパスワードを拒否する
・パスワード入力エラー連続５回以内でアカウントロックする（一定時間経過等による自動でのロック解除は不可）
・パスワードを使い回さないことをユーザに周知していること。</t>
    <rPh sb="29" eb="31">
      <t>シュウセイ</t>
    </rPh>
    <rPh sb="31" eb="32">
      <t>マエ</t>
    </rPh>
    <rPh sb="141" eb="143">
      <t>シュウセイ</t>
    </rPh>
    <rPh sb="143" eb="144">
      <t>ゴ</t>
    </rPh>
    <phoneticPr fontId="7"/>
  </si>
  <si>
    <t>アプリ設計シート1.2.8.について、以下の通り修正
（修正前）
パスワード入力時にマスクして画面上に表示し、HTML中やCookieにも含めない設計としているか。
（修正後）
ユーザIDやパスワード、クレジットカード情報は画面に表示させない設計としているか。
これを満たせない場合は、画面表示時にマスクしているか。
また、パスワードについては、HTML中（hiddenパラメータ等）やCookieにも含めない設計としているか。</t>
    <rPh sb="29" eb="31">
      <t>シュウセイ</t>
    </rPh>
    <rPh sb="31" eb="32">
      <t>マエ</t>
    </rPh>
    <rPh sb="85" eb="87">
      <t>シュウセイ</t>
    </rPh>
    <rPh sb="87" eb="88">
      <t>ゴ</t>
    </rPh>
    <phoneticPr fontId="7"/>
  </si>
  <si>
    <t>アプリ設計シート3.1.1.について、以下の通り修正
（修正前）
当社からメールを送受信する業務において、～
（修正後）
当社からメールを送信する業務において、～</t>
    <rPh sb="19" eb="21">
      <t>イカ</t>
    </rPh>
    <rPh sb="22" eb="23">
      <t>トオ</t>
    </rPh>
    <rPh sb="24" eb="26">
      <t>シュウセイ</t>
    </rPh>
    <rPh sb="29" eb="31">
      <t>シュウセイ</t>
    </rPh>
    <rPh sb="31" eb="32">
      <t>マエ</t>
    </rPh>
    <rPh sb="57" eb="59">
      <t>シュウセイ</t>
    </rPh>
    <rPh sb="59" eb="60">
      <t>ゴ</t>
    </rPh>
    <phoneticPr fontId="7"/>
  </si>
  <si>
    <t>アプリ設計シート3.1.2.に以下チェック項目を新規追加
（新規）
当社からSMSを送信する業務において、送信元番号を日本国内の番号とする設計となっているか</t>
    <rPh sb="15" eb="17">
      <t>イカ</t>
    </rPh>
    <rPh sb="21" eb="23">
      <t>コウモク</t>
    </rPh>
    <rPh sb="24" eb="26">
      <t>シンキ</t>
    </rPh>
    <rPh sb="26" eb="28">
      <t>ツイカ</t>
    </rPh>
    <rPh sb="31" eb="33">
      <t>シンキ</t>
    </rPh>
    <phoneticPr fontId="7"/>
  </si>
  <si>
    <t>インフラ(自社DC)シート1.2.4.について、以下の通り修正
（修正前）
・パスワード入力エラー連続５回以内でアカウントロックする（自動解除不可。上位者かシステム管理者による解除が必要）
（修正後）
・パスワード入力エラー連続５回以内でアカウントロックする（一定時間経過等による自動でのロック解除は不可。上位者かシステム管理者による解除が必要）</t>
    <phoneticPr fontId="7"/>
  </si>
  <si>
    <t>インフラ(自社DC)シート4.1.1.について、以下の通り修正
（修正前）
システムの開発、運用、管理に用いる全ての端末、Windowsサーバ、および外部からのファイルの流入が発生し得るWindows以外のサーバにアンチウイルスソフトを導入し、以下の対応を行っているか。
（修正後）
システムの開発、運用、管理に用いる全てのWindows PC、Windowsサーバ、および外部からのファイルの流入が発生し得るWindows”以外”のサーバにアンチウイルスソフトを導入し、以下の対応を行っているか。
「外部からのファイルの流入」とは、当社のガバナンス外で作られたファイルの流入を指し、例えば以下のようなケースが挙げられる。
・システムのエンドユーザ(当社管理外の利用者)がファイルをアップロードする（POST）
・当社システムが、管理外のシステムやサイトからファイルを入手する（GET）</t>
    <phoneticPr fontId="7"/>
  </si>
  <si>
    <t>運用プロセス(自社DC)シート3.1.5.について、セキュリティパッチの適用対象のうちIEの表記をブラウザ（IEやEdge)に修正</t>
    <rPh sb="36" eb="38">
      <t>テキヨウ</t>
    </rPh>
    <rPh sb="38" eb="40">
      <t>タイショウ</t>
    </rPh>
    <rPh sb="46" eb="48">
      <t>ヒョウキ</t>
    </rPh>
    <rPh sb="63" eb="65">
      <t>シュウセイ</t>
    </rPh>
    <phoneticPr fontId="7"/>
  </si>
  <si>
    <t>「システム脆弱性管理実施要領　チェックリスト」よりセキュリティ要件を以下シートに取り込み
アプリ設計
　2.1.2.
インフラ(自社DC)
　3.1.3.
運用プロセス(自社DC)
　3.2.1.、3.2.2.</t>
    <phoneticPr fontId="7"/>
  </si>
  <si>
    <t>「クラウドサービス導入・管理マニュアル　第1版（２０２１年４月１日　制定）」よりセキュリティ要件を以下シートに取り込み
インフラ(自社DC)
　1.3.1.、2.1.1.
インフラ(AWS)
　1.1.1.、1.3.2.、2.1.2.、4.3.1.、5.1.3.
インフラ(IaaS)
　1.1.1.、1.3.2.、2.1.2.、4.3.1.、5.1.3.
インフラ(SaaS)
　1.1.1.、1.3.2.、2.1.2.、4.3.1.、5.1.3.
運用プロセス(AWS)
　1.1.2.
運用プロセス(IaaS)
　1.1.2.
運用プロセス(SaaS)
　1.1.2.、3.2.6.、3.2.7.</t>
    <rPh sb="9" eb="11">
      <t>ドウニュウ</t>
    </rPh>
    <rPh sb="12" eb="14">
      <t>カンリ</t>
    </rPh>
    <rPh sb="46" eb="48">
      <t>ヨウケン</t>
    </rPh>
    <rPh sb="49" eb="51">
      <t>イカ</t>
    </rPh>
    <rPh sb="55" eb="56">
      <t>ト</t>
    </rPh>
    <rPh sb="57" eb="58">
      <t>コ</t>
    </rPh>
    <phoneticPr fontId="7"/>
  </si>
  <si>
    <t xml:space="preserve">
インデックスシート（２）に回答スコープの選択項目を新規追加
</t>
    <rPh sb="14" eb="16">
      <t>カイトウ</t>
    </rPh>
    <rPh sb="21" eb="23">
      <t>センタク</t>
    </rPh>
    <rPh sb="23" eb="25">
      <t>コウモク</t>
    </rPh>
    <rPh sb="26" eb="28">
      <t>シンキ</t>
    </rPh>
    <rPh sb="28" eb="30">
      <t>ツイカ</t>
    </rPh>
    <phoneticPr fontId="7"/>
  </si>
  <si>
    <t>要件自体の修正ではないため無し</t>
    <phoneticPr fontId="7"/>
  </si>
  <si>
    <t>全チェックシートについて、対象外回答時に備考欄をオレンジ色に塗りつぶす条件付き書式を設定</t>
    <rPh sb="18" eb="19">
      <t>ジ</t>
    </rPh>
    <rPh sb="30" eb="31">
      <t>ヌ</t>
    </rPh>
    <rPh sb="35" eb="38">
      <t>ジョウケンツ</t>
    </rPh>
    <rPh sb="39" eb="41">
      <t>ショシキ</t>
    </rPh>
    <rPh sb="42" eb="44">
      <t>セッテイ</t>
    </rPh>
    <phoneticPr fontId="7"/>
  </si>
  <si>
    <t>軽微な文言の追加・修正
インフラ(AWS)
　1.3.3.、4.3.5.
インフラ(IaaS)
　1.3.3.、4.3.4.
インフラ(SaaS)
　1.3.3.、4.3.4.</t>
    <rPh sb="0" eb="2">
      <t>ケイビ</t>
    </rPh>
    <rPh sb="3" eb="5">
      <t>モンゴン</t>
    </rPh>
    <rPh sb="6" eb="8">
      <t>ツイカ</t>
    </rPh>
    <rPh sb="9" eb="11">
      <t>シュウセイ</t>
    </rPh>
    <phoneticPr fontId="7"/>
  </si>
  <si>
    <t>ランサムウェア対策のためのシステムバックアップ設計基準の取り込み
インフラ(自社DC)
　4.2.2.、4.2.3.、4.2.4.、4.2.5.
インフラ(AWS)
　4.2.2.、4.2.3.、4.2.4.、4.2.5.
インフラ(IaaS)
　4.2.3.、4.2.4.、4.2.5.
インフラ(SaaS)
　4.2.3.、4.2.4.、4.2.5.
運用プロセス(自社DC)
　3.1.8.
運用プロセス(AWS)
　3.1.8.
運用プロセス(IaaS)
　3.1.8.
運用プロセス(SaaS)
　3.1.8.</t>
    <phoneticPr fontId="7"/>
  </si>
  <si>
    <t>有り。L-2021-ZAK4-27688415</t>
    <phoneticPr fontId="7"/>
  </si>
  <si>
    <t>OWASP要件との差分取り込み
アプリ設計
　1.1.5.、1.2.1.、1.2.4.、1.2.6.、1.2.10.、1.2.12.、1.2.14.
アプリコーディング
　1.1.1.、1.1.2.、1.1.4.、1.1.5.、1.1.7.、1.1.8.、1.1.10.、1.1.11.、1.1.12.、1.1.13.、1.1.14.、1.1.15.、1.2.2.、1.2.6.、1.3.5.、1.3.6.、1.5.1.、1.5.4.、1.5.6.、1.6.1.
インフラ(自社DC)
　2.1.2.、2.1.4.</t>
    <phoneticPr fontId="7"/>
  </si>
  <si>
    <t>インデックスシート「２．プロジェクトの概要（２）回答スコープについてご記入ください。」の設問について、未回答アラート「回答必須」の表示条件が適切でなかったため修正</t>
    <phoneticPr fontId="7"/>
  </si>
  <si>
    <t>全シート（インデックスを除く）に、重要度の説明をラベルにコメント追記</t>
    <rPh sb="0" eb="1">
      <t>ゼン</t>
    </rPh>
    <rPh sb="12" eb="13">
      <t>ノゾ</t>
    </rPh>
    <rPh sb="21" eb="23">
      <t>セツメイ</t>
    </rPh>
    <phoneticPr fontId="7"/>
  </si>
  <si>
    <t>・軽微な回答条件改善
インフラ(AWS)
　2.1.2.
・軽微な記入漏れ対応
インフラ(IaaS)
　5.1.7.
・軽微な表現の改善
インフラ(AWS)
　5.1.3.
・軽微な要件の見直し
アプリ設計
　1.2.2.
インフラ(自社DC)
　5.1.15.
インフラ(AWS)
　1.2.1.、1.2.4.、3.1.2.、4.3.1.
モバイルアプリ
　1.1.7.</t>
    <phoneticPr fontId="7"/>
  </si>
  <si>
    <t>AWS仮想化基盤選択時に回答不要になるバグを修正
インフラ(AWS)
5.1.5</t>
    <rPh sb="3" eb="8">
      <t>カソウカキバン</t>
    </rPh>
    <rPh sb="8" eb="10">
      <t>センタク</t>
    </rPh>
    <rPh sb="10" eb="11">
      <t>ジ</t>
    </rPh>
    <rPh sb="12" eb="14">
      <t>カイトウ</t>
    </rPh>
    <rPh sb="14" eb="16">
      <t>フヨウ</t>
    </rPh>
    <rPh sb="22" eb="24">
      <t>シュウセイ</t>
    </rPh>
    <phoneticPr fontId="7"/>
  </si>
  <si>
    <t xml:space="preserve">・インデックスシート２．（４）において選択する「現在の開発工程（チェックリストの回答タイミング）」について、「PRJ計画時」の選択肢を追加
・「PRJ計画時」選択時は、「SIレビュー時」と同様の要件を確認するよう各シートを修正
・インデックスシート２．（６）～（１２）の各設問において、PRJ計画時に検討中の可能性がある設問に「検討中」の選択肢を追加
・「検討中」選択時は、各設問で取り得る全てのパターンの要件を確認するよう各シートを修正
</t>
    <phoneticPr fontId="7"/>
  </si>
  <si>
    <t>有り。L-2021-ZBG9-28955490</t>
    <phoneticPr fontId="7"/>
  </si>
  <si>
    <t xml:space="preserve">・インデックスシートに「ランサムウェア対応分類」を回答する設問を新規追加
・ランサムウェア対応分類により求める要件が変化する項目について、インデックスシートの回答結果により回答要否を自動判定させるよう対応し、ランサムウェア対応分類の判断基準に関する記述を削除
インフラ(各シート)
　4.2.2.、4.2.3.、4.2.4.、4.2.5.
運用プロセス(各シート)
　3.1.8.
</t>
    <phoneticPr fontId="7"/>
  </si>
  <si>
    <t xml:space="preserve">・AWS設定監査の要件を大幅見直し（シンプル化・具体化）
　また、実現手法としてAWS SecurityHubの活用を推奨
インフラ(AWS)
　4.3.1.
・AWS上で設定変更作業が発生した場合のリアルタイム通知機能の実装を要件化
インフラ(AWS)
　4.3.2.
・想定外のリソースが当社外AWSアカウントへ共有されていないことを定期確認する要件を追加
インフラ(AWS)
　4.3.3.
運用プロセス(AWS)
　3.2.2.
</t>
    <phoneticPr fontId="7"/>
  </si>
  <si>
    <t>・個別の要件の見直し
アプリ設計
　1.2.1.、1.2.2.、1.2.20.、2.1.1.
インフラ(自社DC)
　2.1.4.、5.1.11.
インフラ(AWS)
　1.3.1.、5.1.11.
インフラ(IaaS)
　5.1.11.</t>
    <phoneticPr fontId="7"/>
  </si>
  <si>
    <t>・表現の改善
態勢
　4.1.14.
インフラ(自社DC)
　3.1.1.、5.1.3.
インフラ(AWS)
　5.1.4.、5.1.5.
インフラ(IaaS)
　5.1.5.
インフラ(SaaS)
　5.1.5.
運用プロセス(自社DC)
　3.1.1.</t>
    <phoneticPr fontId="7"/>
  </si>
  <si>
    <t>フォーマットの改善
・外部委託先評価の再実施要否を判断するため、インデックスシート２．（３）に、開発対象システムの構築状況に関する設問を新規追加
・インデックシートの「3．要回答項目」の一覧表について、各シートの回答状況で検討中の件数を表示するよう対応すると共に、インデックスシートの回答状況も表示するよう対応。また、レイアウトを上部に移動
・「システム運用に関するチェックリスト」の該当シートから引用している要件について、各シートの確認者使用欄で「〇」フラグを設定しているが、「外部委託評価」列を追加し、該当シート名を列挙する表記に改善</t>
    <phoneticPr fontId="7"/>
  </si>
  <si>
    <t>・インデックスシート2．（10）において、個人情報の取り扱いに関する設問で「有」を選択した場合のオプションとして、マイナンバーの取り扱い有無の選択肢追加
・「【マイナンバー共通ＤＢ】「技術的安全管理措置」に関するセキュリティ要件定義書」で定めるマイナンバー取り扱い時のセキュリティ要件の差分取り込み
アプリ設計
　2.1.2.、2.1.3.
インフラ（自社DC）
　2.1.1.、2.1.5.、3.1.4.、5.1.6.
インフラ（AWS、IaaS、SaaS）
　3.1.4.
運用プロセス（自社DC）
　2.1.4.、3.2.3.、3.2.4.、3.2.5.
運用プロセス（AWS）
　3.2.5.、3.2.6.
運用プロセス（IaaS、SaaS）
　3.2.4.、3.2.5.</t>
    <rPh sb="68" eb="70">
      <t>ユウム</t>
    </rPh>
    <rPh sb="71" eb="74">
      <t>センタクシ</t>
    </rPh>
    <rPh sb="74" eb="76">
      <t>ツイカ</t>
    </rPh>
    <rPh sb="143" eb="145">
      <t>サブン</t>
    </rPh>
    <rPh sb="145" eb="146">
      <t>ト</t>
    </rPh>
    <rPh sb="147" eb="148">
      <t>コ</t>
    </rPh>
    <rPh sb="153" eb="155">
      <t>セッケイ</t>
    </rPh>
    <rPh sb="176" eb="178">
      <t>ジシャ</t>
    </rPh>
    <rPh sb="239" eb="241">
      <t>ウンヨウ</t>
    </rPh>
    <rPh sb="246" eb="248">
      <t>ジシャ</t>
    </rPh>
    <rPh sb="281" eb="283">
      <t>ウンヨウ</t>
    </rPh>
    <rPh sb="308" eb="310">
      <t>ウンヨウ</t>
    </rPh>
    <phoneticPr fontId="7"/>
  </si>
  <si>
    <t>富山</t>
    <rPh sb="0" eb="2">
      <t>トミヤマ</t>
    </rPh>
    <phoneticPr fontId="7"/>
  </si>
  <si>
    <t xml:space="preserve">セキュリティ対応ランクがAのシステムのサーバについて求める脆弱性管理の仕組み（Rapid7の導入）に関する要件の追加
運用プロセス（各シート）
　3.1.2.、3.1.3
</t>
    <rPh sb="56" eb="58">
      <t>ツイカ</t>
    </rPh>
    <rPh sb="66" eb="67">
      <t>カク</t>
    </rPh>
    <phoneticPr fontId="7"/>
  </si>
  <si>
    <t>有り。L-2022-ZAVL-30235975</t>
    <rPh sb="0" eb="1">
      <t>ア</t>
    </rPh>
    <phoneticPr fontId="7"/>
  </si>
  <si>
    <t xml:space="preserve">・インデックスシート2．（12）において選択する「FaaS基盤」を「FaaS基盤1.0」へ改め、新たに「FaaS基盤2.0」の選択肢追加
・インフラ(AWS)シートと運用プロセス(AWS)シートの各種要件について、選択した共通基盤上に構築することで対応されるセキュリティ要件は回答不要（グレーアウト）となるように修正
</t>
    <rPh sb="48" eb="49">
      <t>アラ</t>
    </rPh>
    <rPh sb="63" eb="66">
      <t>センタクシ</t>
    </rPh>
    <rPh sb="66" eb="68">
      <t>ツイカ</t>
    </rPh>
    <rPh sb="156" eb="158">
      <t>シュウセイ</t>
    </rPh>
    <phoneticPr fontId="7"/>
  </si>
  <si>
    <t>AWSのバックアップ保護に関する要件について、AWS責任共有モデルに基づく実現手法まで踏み込み要件を具体化
インフラ（AWS） 
　4.2.4.</t>
    <rPh sb="26" eb="28">
      <t>セキニン</t>
    </rPh>
    <rPh sb="28" eb="30">
      <t>キョウユウ</t>
    </rPh>
    <rPh sb="34" eb="35">
      <t>モト</t>
    </rPh>
    <rPh sb="37" eb="39">
      <t>ジツゲン</t>
    </rPh>
    <rPh sb="39" eb="41">
      <t>シュホウ</t>
    </rPh>
    <rPh sb="43" eb="44">
      <t>フ</t>
    </rPh>
    <rPh sb="45" eb="46">
      <t>コ</t>
    </rPh>
    <rPh sb="47" eb="49">
      <t>ヨウケン</t>
    </rPh>
    <rPh sb="50" eb="52">
      <t>グタイ</t>
    </rPh>
    <rPh sb="52" eb="53">
      <t>カ</t>
    </rPh>
    <phoneticPr fontId="7"/>
  </si>
  <si>
    <t>・文章表見の修正
運用プロセス（自社DC） 
　4.1.8.
・アプリコーディングシートの回答欄が「No」だった場合に、確認者評価と確認者コメントの欄をアラートするように設定
・各シートの回答欄の選択肢より、「改修範囲が要件の検討条件に該当しない」を削除
・英訳化の際に不具合が発生する箇所について、各シートの該当ロジックを修正</t>
    <rPh sb="1" eb="3">
      <t>ブンショウ</t>
    </rPh>
    <rPh sb="3" eb="5">
      <t>ヒョウケン</t>
    </rPh>
    <rPh sb="6" eb="8">
      <t>シュウセイ</t>
    </rPh>
    <rPh sb="56" eb="58">
      <t>バアイ</t>
    </rPh>
    <rPh sb="85" eb="87">
      <t>セッテイ</t>
    </rPh>
    <rPh sb="129" eb="131">
      <t>エイヤク</t>
    </rPh>
    <rPh sb="131" eb="132">
      <t>カ</t>
    </rPh>
    <rPh sb="133" eb="134">
      <t>サイ</t>
    </rPh>
    <rPh sb="135" eb="138">
      <t>フグアイ</t>
    </rPh>
    <rPh sb="139" eb="141">
      <t>ハッセイ</t>
    </rPh>
    <rPh sb="143" eb="145">
      <t>カショ</t>
    </rPh>
    <rPh sb="150" eb="151">
      <t>カク</t>
    </rPh>
    <rPh sb="155" eb="157">
      <t>ガイトウ</t>
    </rPh>
    <rPh sb="162" eb="164">
      <t>シュウセイ</t>
    </rPh>
    <phoneticPr fontId="7"/>
  </si>
  <si>
    <t>対応ランク判定シートを、当チェックリストに統合。
ロジックや要件は変更なし</t>
    <rPh sb="0" eb="2">
      <t>タイオウ</t>
    </rPh>
    <rPh sb="5" eb="7">
      <t>ハンテイ</t>
    </rPh>
    <rPh sb="12" eb="13">
      <t>トウ</t>
    </rPh>
    <rPh sb="21" eb="23">
      <t>トウゴウ</t>
    </rPh>
    <rPh sb="30" eb="32">
      <t>ヨウケン</t>
    </rPh>
    <rPh sb="33" eb="35">
      <t>ヘンコウ</t>
    </rPh>
    <phoneticPr fontId="7"/>
  </si>
  <si>
    <t>有り。</t>
    <rPh sb="0" eb="1">
      <t>ア</t>
    </rPh>
    <phoneticPr fontId="7"/>
  </si>
  <si>
    <t xml:space="preserve">TMHDチェックリストの「クラウドシステムリスク評価チェックリスト」、「従来型システムリスク評価チェックリスト」の2022/4/1改訂要件を取込み
態勢
　4.1.20.、4.1.42.
インフラ（自社DC）
　1.2.6.、6.1.5.~6.1.9.、6.1.28
運用プロセス（自社DC）
　3.2.2.
運用プロセス（IaaS）
　3.2.8.
</t>
    <rPh sb="65" eb="67">
      <t>カイテイ</t>
    </rPh>
    <rPh sb="67" eb="69">
      <t>ヨウケン</t>
    </rPh>
    <rPh sb="70" eb="72">
      <t>トリコ</t>
    </rPh>
    <rPh sb="74" eb="76">
      <t>タイセイ</t>
    </rPh>
    <rPh sb="99" eb="101">
      <t>ジシャ</t>
    </rPh>
    <rPh sb="134" eb="136">
      <t>ウンヨウ</t>
    </rPh>
    <rPh sb="141" eb="143">
      <t>ジシャ</t>
    </rPh>
    <rPh sb="155" eb="157">
      <t>ウンヨウ</t>
    </rPh>
    <phoneticPr fontId="7"/>
  </si>
  <si>
    <t>有り。L-2022-ZAVL-31617556</t>
    <rPh sb="0" eb="1">
      <t>ア</t>
    </rPh>
    <phoneticPr fontId="7"/>
  </si>
  <si>
    <t>AWS統制基盤のPhase2.5および3対応による、設定監査やSCPの内容を要件追加
インフラ（AWS）
　1.2.7.
　4.3.8.
　5.1.10.</t>
    <rPh sb="40" eb="42">
      <t>ツイカ</t>
    </rPh>
    <phoneticPr fontId="7"/>
  </si>
  <si>
    <t xml:space="preserve">個別要件の見直し
アプリ設計
　1.2.6.、1.2.18
インフラ（自社DC）
　1.2.4.、2.1.4.、4.1.1、5.1.3.、5.1.5.
インフラ（AWS）
　1.2.4.、1.3.4.、2.1.5.、5.1.5.、6.1.7.~6.1.9.、6.1.12.~6.1.18.、
　6.1.20.~6.1.22.
インフラ（IaaS）
　6.1.7.~6.1.9.、6.1.12.~6.1.18.、6.1.20.~6.1.22.
インフラ（SaaS）
　6.1.7.~6.1.9.、6.1.12.~6.1.18.、6.1.20.~6.1.22.
運用プロセス（自社DC）
　3.1.3.、3.1.5.、3.2.1.、3.2.5.
運用プロセス（AWS）
　3.2.3.、3.2.7.、4.1.2~4.1.4
運用プロセス（IaaS）
　4.1.2~4.1.4
運用プロセス（SaaS）
　4.1.2~4.1.4
</t>
    <rPh sb="0" eb="2">
      <t>コベツ</t>
    </rPh>
    <rPh sb="2" eb="4">
      <t>ヨウケン</t>
    </rPh>
    <rPh sb="5" eb="7">
      <t>ミナオ</t>
    </rPh>
    <rPh sb="12" eb="14">
      <t>セッケイ</t>
    </rPh>
    <rPh sb="35" eb="37">
      <t>ジシャ</t>
    </rPh>
    <rPh sb="279" eb="281">
      <t>ウンヨウ</t>
    </rPh>
    <rPh sb="286" eb="288">
      <t>ジシャ</t>
    </rPh>
    <rPh sb="321" eb="323">
      <t>ウンヨウ</t>
    </rPh>
    <rPh sb="360" eb="362">
      <t>ウンヨウ</t>
    </rPh>
    <rPh sb="386" eb="388">
      <t>ウンヨウ</t>
    </rPh>
    <phoneticPr fontId="7"/>
  </si>
  <si>
    <t xml:space="preserve">・文章表見の修正
アプリコーディング
　1.1.15.
・インデックスシート2．（4）において、「SAUCレビュー時」を選択された場合でもアプリコーディングシートを回答要とするようにロジック部分を変更
これにより、コーディング前でも要件が回答要となるが、「コーディング前の場合は回答は不要であるが、要件の内容は確認するように」の旨の注意書きもセルコメントに追記
・インデックスシート2.（12）において、外部クラウドサービスを利用する場合の注意点をセルコメントに追記
・インデックスシート2.（12）において、AWS仮想化基盤を選択時に仮想化基盤側で満たされる要件をグレーアウト（回答不要）するよう設定
・各シートの回答欄が「No」だった場合に、確認者評価と確認者コメントの欄をアラートするように設定
・英訳化の際に意味が反転している箇所について、要件文を修正
</t>
    <rPh sb="1" eb="3">
      <t>ブンショウ</t>
    </rPh>
    <rPh sb="3" eb="5">
      <t>ヒョウケン</t>
    </rPh>
    <rPh sb="6" eb="8">
      <t>シュウセイ</t>
    </rPh>
    <rPh sb="303" eb="304">
      <t>カク</t>
    </rPh>
    <rPh sb="358" eb="360">
      <t>イミ</t>
    </rPh>
    <rPh sb="361" eb="363">
      <t>ハンテン</t>
    </rPh>
    <rPh sb="374" eb="376">
      <t>ヨウケン</t>
    </rPh>
    <rPh sb="376" eb="377">
      <t>ブン</t>
    </rPh>
    <phoneticPr fontId="7"/>
  </si>
  <si>
    <t>API（オープンAPI、クローズドAPI）に関する記載を修正
インデックス
　1.(2)、2,(9)、3.
判定シート
　セキュリティ対策対応ランク判定b.
外部API（旧オープンAPI）
　シートタイトル名、シート概要、1</t>
    <rPh sb="28" eb="30">
      <t>シュウセイ</t>
    </rPh>
    <rPh sb="54" eb="56">
      <t>ハンテイ</t>
    </rPh>
    <rPh sb="67" eb="69">
      <t>タイサク</t>
    </rPh>
    <rPh sb="69" eb="71">
      <t>タイオウ</t>
    </rPh>
    <rPh sb="74" eb="76">
      <t>ハンテイ</t>
    </rPh>
    <rPh sb="79" eb="81">
      <t>ガイブ</t>
    </rPh>
    <rPh sb="85" eb="86">
      <t>キュウ</t>
    </rPh>
    <rPh sb="103" eb="104">
      <t>メイ</t>
    </rPh>
    <rPh sb="108" eb="110">
      <t>ガイヨウ</t>
    </rPh>
    <phoneticPr fontId="7"/>
  </si>
  <si>
    <t>宮島</t>
    <rPh sb="0" eb="2">
      <t>ミヤジマ</t>
    </rPh>
    <phoneticPr fontId="7"/>
  </si>
  <si>
    <t>有り。L-2023-ZAVL-33648162</t>
    <phoneticPr fontId="7"/>
  </si>
  <si>
    <t>・インデックスシートの以下選択肢へ回答方法を促すコメントを追記
　2.(9)、2.(11)
・インデックスシート2.(9)の選択しの軽微な文言修正
・判定シートのセキュリティ対策対応ランク判定の設問a.の文言修正</t>
    <rPh sb="11" eb="13">
      <t>イカ</t>
    </rPh>
    <rPh sb="13" eb="16">
      <t>センタクシ</t>
    </rPh>
    <rPh sb="62" eb="64">
      <t>センタク</t>
    </rPh>
    <rPh sb="66" eb="68">
      <t>ケイビ</t>
    </rPh>
    <rPh sb="69" eb="71">
      <t>モンゴン</t>
    </rPh>
    <rPh sb="71" eb="73">
      <t>シュウセイ</t>
    </rPh>
    <rPh sb="75" eb="77">
      <t>ハンテイ</t>
    </rPh>
    <rPh sb="87" eb="89">
      <t>タイサク</t>
    </rPh>
    <rPh sb="89" eb="91">
      <t>タイオウ</t>
    </rPh>
    <rPh sb="94" eb="96">
      <t>ハンテイ</t>
    </rPh>
    <rPh sb="97" eb="99">
      <t>セツモン</t>
    </rPh>
    <rPh sb="102" eb="104">
      <t>モンゴン</t>
    </rPh>
    <rPh sb="104" eb="106">
      <t>シュウセイ</t>
    </rPh>
    <phoneticPr fontId="7"/>
  </si>
  <si>
    <t>TMHDチェックリスト「クラウドシステムリスク評価チェックリスト」、「従来型システムリスク評価チェックリスト」の2023/4/1改訂要件を取込み
態勢
　4.1.30、4.1.54～4.1.56、4.1.64.
インフラ（自社DC）
　3.3.1.、4.2.1.、5.1.3.、6.1.6.
インフラ（AWS）
　3.3.1.、4.2.1、5.1.5.
インフラ（IaaS、SaaS）
　4.2.1.、5.1.5.
運用プロセス（自社DC、AWS、IaaS、SaaS）
　3.1.7.</t>
    <rPh sb="69" eb="71">
      <t>トリコ</t>
    </rPh>
    <rPh sb="73" eb="75">
      <t>タイセイ</t>
    </rPh>
    <rPh sb="111" eb="113">
      <t>ジシャ</t>
    </rPh>
    <rPh sb="208" eb="210">
      <t>ウンヨウ</t>
    </rPh>
    <rPh sb="215" eb="217">
      <t>ジシャ</t>
    </rPh>
    <phoneticPr fontId="7"/>
  </si>
  <si>
    <t>宮島</t>
    <phoneticPr fontId="7"/>
  </si>
  <si>
    <t>個別要件の見直し
・二要素（多要素）認証をリスクベース判断して導入するように文言修正
アプリ設計
　1.1.4.
・2022年度生保ペネトレの指摘事項について文案修正
アプリコーディング
　1.5.1
・記載位置の見直しおよび回答条件をシート共通の条件に修正
インフラ（自社DC）
　5.1.16.、6.1.19
インフラ（AWS、IaaS、SaaS）
　5.1.14.、6.1.19.
・社外へのデータ提供要件の文言修正
インフラ（自社DC、AWS、IaaS、SaaS）
　6.1.9.
・AWSルート・IAMユーザ要件の記載位置整理
インフラ（AWS）
　1.1.6.、1.2.1.、1.3.1.、3.1.2.
・要件の具体化による文言の修正
インフラ（SaaS）
　1.3.1.
・クラウド固有要件として存在していた不正アクセス検知体制の要件修正
運用プロセス（IaaS）
　3.2.2.</t>
    <rPh sb="0" eb="2">
      <t>コベツ</t>
    </rPh>
    <rPh sb="2" eb="4">
      <t>ヨウケン</t>
    </rPh>
    <rPh sb="5" eb="7">
      <t>ミナオ</t>
    </rPh>
    <rPh sb="10" eb="13">
      <t>ニヨウソ</t>
    </rPh>
    <rPh sb="14" eb="17">
      <t>タヨウソ</t>
    </rPh>
    <rPh sb="18" eb="20">
      <t>ニンショウ</t>
    </rPh>
    <rPh sb="27" eb="29">
      <t>ハンダン</t>
    </rPh>
    <rPh sb="31" eb="33">
      <t>ドウニュウ</t>
    </rPh>
    <rPh sb="38" eb="40">
      <t>モンゴン</t>
    </rPh>
    <rPh sb="40" eb="42">
      <t>シュウセイ</t>
    </rPh>
    <rPh sb="46" eb="48">
      <t>セッケイ</t>
    </rPh>
    <rPh sb="102" eb="104">
      <t>キサイ</t>
    </rPh>
    <rPh sb="104" eb="106">
      <t>イチ</t>
    </rPh>
    <rPh sb="107" eb="109">
      <t>ミナオ</t>
    </rPh>
    <rPh sb="113" eb="115">
      <t>カイトウ</t>
    </rPh>
    <rPh sb="115" eb="117">
      <t>ジョウケン</t>
    </rPh>
    <rPh sb="121" eb="123">
      <t>キョウツウ</t>
    </rPh>
    <rPh sb="124" eb="126">
      <t>ジョウケン</t>
    </rPh>
    <rPh sb="127" eb="129">
      <t>シュウセイ</t>
    </rPh>
    <rPh sb="135" eb="137">
      <t>ジシャ</t>
    </rPh>
    <rPh sb="195" eb="197">
      <t>シャガイ</t>
    </rPh>
    <rPh sb="202" eb="204">
      <t>テイキョウ</t>
    </rPh>
    <rPh sb="204" eb="206">
      <t>ヨウケン</t>
    </rPh>
    <rPh sb="207" eb="209">
      <t>モンゴン</t>
    </rPh>
    <rPh sb="209" eb="211">
      <t>シュウセイ</t>
    </rPh>
    <rPh sb="217" eb="219">
      <t>ジシャ</t>
    </rPh>
    <rPh sb="259" eb="261">
      <t>ヨウケン</t>
    </rPh>
    <rPh sb="262" eb="264">
      <t>キサイ</t>
    </rPh>
    <rPh sb="264" eb="266">
      <t>イチ</t>
    </rPh>
    <rPh sb="266" eb="268">
      <t>セイリ</t>
    </rPh>
    <rPh sb="309" eb="311">
      <t>ヨウケン</t>
    </rPh>
    <rPh sb="312" eb="315">
      <t>グタイカ</t>
    </rPh>
    <rPh sb="318" eb="320">
      <t>モンゴン</t>
    </rPh>
    <rPh sb="321" eb="323">
      <t>シュウセイ</t>
    </rPh>
    <rPh sb="374" eb="376">
      <t>シュウセイ</t>
    </rPh>
    <rPh sb="377" eb="379">
      <t>ウンヨウ</t>
    </rPh>
    <phoneticPr fontId="7"/>
  </si>
  <si>
    <t>FISC安全対策基準第9、10版の改定要件を取込み
アプリ設計
　1.2.2.、3.1.5.
インフラ（自社DC、AWS、IaaS、SaaS）
　3.2.2.
運用プロセス（AWS、IaaS、SaaS）
　3.1.10.</t>
    <rPh sb="4" eb="6">
      <t>アンゼン</t>
    </rPh>
    <rPh sb="6" eb="8">
      <t>タイサク</t>
    </rPh>
    <rPh sb="8" eb="10">
      <t>キジュン</t>
    </rPh>
    <rPh sb="10" eb="11">
      <t>ダイ</t>
    </rPh>
    <rPh sb="15" eb="16">
      <t>パン</t>
    </rPh>
    <rPh sb="17" eb="19">
      <t>カイテイ</t>
    </rPh>
    <rPh sb="19" eb="21">
      <t>ヨウケン</t>
    </rPh>
    <rPh sb="22" eb="24">
      <t>トリコ</t>
    </rPh>
    <rPh sb="29" eb="31">
      <t>セッケイ</t>
    </rPh>
    <rPh sb="52" eb="54">
      <t>ジシャ</t>
    </rPh>
    <rPh sb="80" eb="82">
      <t>ウンヨウ</t>
    </rPh>
    <phoneticPr fontId="7"/>
  </si>
  <si>
    <t>メールの暗号化およびメール本文への個人情報記載を制限する要件の追加
アプリ設計
　3.1.3.、3.1.4.</t>
    <rPh sb="4" eb="7">
      <t>アンゴウカ</t>
    </rPh>
    <rPh sb="17" eb="21">
      <t>コジンジョウホウ</t>
    </rPh>
    <rPh sb="21" eb="23">
      <t>キサイ</t>
    </rPh>
    <rPh sb="24" eb="26">
      <t>セイゲン</t>
    </rPh>
    <rPh sb="28" eb="30">
      <t>ヨウケン</t>
    </rPh>
    <rPh sb="31" eb="33">
      <t>ツイカ</t>
    </rPh>
    <rPh sb="37" eb="39">
      <t>セッケイ</t>
    </rPh>
    <phoneticPr fontId="7"/>
  </si>
  <si>
    <t>利用しているOSやサービスの仕様等による文案、重要度の修正
インフラ（自社DC）
　1.2.9.、1.2.10
インフラ（AWS、IaaS、SaaS）
　1.2.8.、1.2.9.</t>
    <rPh sb="16" eb="17">
      <t>トウ</t>
    </rPh>
    <rPh sb="20" eb="22">
      <t>ブンアン</t>
    </rPh>
    <rPh sb="23" eb="26">
      <t>ジュウヨウド</t>
    </rPh>
    <rPh sb="27" eb="29">
      <t>シュウセイ</t>
    </rPh>
    <rPh sb="35" eb="37">
      <t>ジシャ</t>
    </rPh>
    <phoneticPr fontId="7"/>
  </si>
  <si>
    <t>セキュアドGW上に新規システムを構築した際の、Big-IPのSorryページ設定要件の追加
インフラ（自社DC、AWS、IaaS、SaaS）
　3.1.5.</t>
    <rPh sb="43" eb="45">
      <t>ツイカ</t>
    </rPh>
    <rPh sb="51" eb="53">
      <t>ジシャ</t>
    </rPh>
    <phoneticPr fontId="7"/>
  </si>
  <si>
    <t>EDRの導入要件の追加
インフラ（自社DC、AWS、IaaS、SaaS）
　4.1.3.</t>
    <rPh sb="4" eb="6">
      <t>ドウニュウ</t>
    </rPh>
    <rPh sb="6" eb="8">
      <t>ヨウケン</t>
    </rPh>
    <rPh sb="9" eb="11">
      <t>ツイカ</t>
    </rPh>
    <rPh sb="17" eb="19">
      <t>ジシャ</t>
    </rPh>
    <phoneticPr fontId="7"/>
  </si>
  <si>
    <t>「AWSサービス別セキュリティ要件」からのKMSの暗号鍵ローテーション要件の取込み
インフラ（AWS）
　2.1.4.</t>
    <rPh sb="8" eb="9">
      <t>ベツ</t>
    </rPh>
    <rPh sb="15" eb="17">
      <t>ヨウケン</t>
    </rPh>
    <phoneticPr fontId="7"/>
  </si>
  <si>
    <t>AWSのセキュリティ統制基盤の構築での、SecurityHub検知事象の取り込み
インフラ（AWS）
　5.1.15</t>
    <rPh sb="31" eb="33">
      <t>ケンチ</t>
    </rPh>
    <rPh sb="33" eb="35">
      <t>ジショウ</t>
    </rPh>
    <rPh sb="36" eb="37">
      <t>ト</t>
    </rPh>
    <rPh sb="38" eb="39">
      <t>コ</t>
    </rPh>
    <phoneticPr fontId="7"/>
  </si>
  <si>
    <t>BYODスマホや会社貸与スマホに載せるアプリへの要件追加
モバイルアプリ
　1.1.12.</t>
    <rPh sb="26" eb="28">
      <t>ツイカ</t>
    </rPh>
    <phoneticPr fontId="7"/>
  </si>
  <si>
    <t>インデックスシート（12）システム構築環境にてAWS共通基盤（AWS仮想化、DevOps、FaaS1.0、FaaS2.0）を複数選択した場合に、回答要とならなければいけない要件が回答要となるようにロジックを修正</t>
    <rPh sb="17" eb="19">
      <t>コウチク</t>
    </rPh>
    <rPh sb="19" eb="21">
      <t>カンキョウ</t>
    </rPh>
    <rPh sb="26" eb="28">
      <t>キョウツウ</t>
    </rPh>
    <rPh sb="28" eb="30">
      <t>キバン</t>
    </rPh>
    <rPh sb="86" eb="88">
      <t>ヨウケン</t>
    </rPh>
    <rPh sb="89" eb="91">
      <t>カイトウ</t>
    </rPh>
    <rPh sb="91" eb="92">
      <t>ヨウ</t>
    </rPh>
    <phoneticPr fontId="7"/>
  </si>
  <si>
    <t>チェックリスト全体の回答条件を修正
・インターネットからアクセスがある場合の要件について、「セキュリティランク」に応じて回答不要とするように回答条件を修正
・メールに関する要件について、インデックスシート（9）「メールの送信～」を選択した場合に回答要となるように回答条件を修正
・「セキュリティランク」がB-1以上の場合に、アプリコーディングシートが回答要となるように回答条件を修正
・インデックスシート（12）システム構築環境にてAWS共通基盤（AWS仮想化、DevOps、FaaS1.0、FaaS2.0）を選択した場合に基盤側で満たされる要件を回答不要となるように回答条件を修正</t>
    <rPh sb="7" eb="9">
      <t>ゼンタイ</t>
    </rPh>
    <rPh sb="10" eb="12">
      <t>カイトウ</t>
    </rPh>
    <rPh sb="12" eb="14">
      <t>ジョウケン</t>
    </rPh>
    <rPh sb="15" eb="17">
      <t>シュウセイ</t>
    </rPh>
    <rPh sb="35" eb="37">
      <t>バアイ</t>
    </rPh>
    <rPh sb="38" eb="40">
      <t>ヨウケン</t>
    </rPh>
    <rPh sb="57" eb="58">
      <t>オウ</t>
    </rPh>
    <rPh sb="60" eb="62">
      <t>カイトウ</t>
    </rPh>
    <rPh sb="62" eb="64">
      <t>フヨウ</t>
    </rPh>
    <rPh sb="70" eb="72">
      <t>カイトウ</t>
    </rPh>
    <rPh sb="72" eb="74">
      <t>ジョウケン</t>
    </rPh>
    <rPh sb="75" eb="77">
      <t>シュウセイ</t>
    </rPh>
    <rPh sb="83" eb="84">
      <t>カン</t>
    </rPh>
    <rPh sb="86" eb="88">
      <t>ヨウケン</t>
    </rPh>
    <rPh sb="110" eb="112">
      <t>ソウシン</t>
    </rPh>
    <rPh sb="115" eb="117">
      <t>センタク</t>
    </rPh>
    <rPh sb="119" eb="121">
      <t>バアイ</t>
    </rPh>
    <rPh sb="122" eb="124">
      <t>カイトウ</t>
    </rPh>
    <rPh sb="124" eb="125">
      <t>ヨウ</t>
    </rPh>
    <rPh sb="131" eb="133">
      <t>カイトウ</t>
    </rPh>
    <rPh sb="133" eb="135">
      <t>ジョウケン</t>
    </rPh>
    <rPh sb="136" eb="138">
      <t>シュウセイ</t>
    </rPh>
    <rPh sb="155" eb="157">
      <t>イジョウ</t>
    </rPh>
    <rPh sb="158" eb="160">
      <t>バアイ</t>
    </rPh>
    <rPh sb="175" eb="177">
      <t>カイトウ</t>
    </rPh>
    <rPh sb="177" eb="178">
      <t>ヨウ</t>
    </rPh>
    <rPh sb="255" eb="257">
      <t>センタク</t>
    </rPh>
    <rPh sb="259" eb="261">
      <t>バアイ</t>
    </rPh>
    <rPh sb="264" eb="265">
      <t>ガワ</t>
    </rPh>
    <rPh sb="271" eb="273">
      <t>ヨウケン</t>
    </rPh>
    <rPh sb="274" eb="276">
      <t>カイトウ</t>
    </rPh>
    <rPh sb="276" eb="278">
      <t>フヨウ</t>
    </rPh>
    <phoneticPr fontId="7"/>
  </si>
  <si>
    <t>フォーマットの改善
・インデックスシート（4）「SAUC完了時～」が選択され、各要件が「No」回答をした場合に確認者評価欄、コメント欄が強調表示されるようにロジックを修正
・全てのシートの確認者評価欄のフォントを「上詰め・セル内で折り返し」に修正
・チェックリスト改定時に要件追加・削除で変わらないユニークIDを付与</t>
    <rPh sb="7" eb="9">
      <t>カイゼン</t>
    </rPh>
    <rPh sb="34" eb="36">
      <t>センタク</t>
    </rPh>
    <rPh sb="39" eb="40">
      <t>カク</t>
    </rPh>
    <rPh sb="40" eb="42">
      <t>ヨウケン</t>
    </rPh>
    <rPh sb="47" eb="49">
      <t>カイトウ</t>
    </rPh>
    <rPh sb="52" eb="54">
      <t>バアイ</t>
    </rPh>
    <rPh sb="55" eb="57">
      <t>カクニン</t>
    </rPh>
    <rPh sb="68" eb="70">
      <t>キョウチョウ</t>
    </rPh>
    <rPh sb="70" eb="72">
      <t>ヒョウジ</t>
    </rPh>
    <rPh sb="83" eb="85">
      <t>シュウセイ</t>
    </rPh>
    <rPh sb="87" eb="88">
      <t>スベ</t>
    </rPh>
    <rPh sb="121" eb="123">
      <t>シュウセイ</t>
    </rPh>
    <rPh sb="132" eb="134">
      <t>カイテイ</t>
    </rPh>
    <rPh sb="134" eb="135">
      <t>ジ</t>
    </rPh>
    <rPh sb="136" eb="138">
      <t>ヨウケン</t>
    </rPh>
    <rPh sb="138" eb="140">
      <t>ツイカ</t>
    </rPh>
    <rPh sb="141" eb="143">
      <t>サクジョ</t>
    </rPh>
    <rPh sb="144" eb="145">
      <t>カ</t>
    </rPh>
    <rPh sb="156" eb="158">
      <t>フヨ</t>
    </rPh>
    <phoneticPr fontId="7"/>
  </si>
  <si>
    <t>対応ランクA以上</t>
    <rPh sb="0" eb="2">
      <t>タイオウ</t>
    </rPh>
    <rPh sb="6" eb="8">
      <t>イジョウ</t>
    </rPh>
    <phoneticPr fontId="7"/>
  </si>
  <si>
    <r>
      <t xml:space="preserve">インフラ要件
</t>
    </r>
    <r>
      <rPr>
        <b/>
        <sz val="12"/>
        <color theme="0"/>
        <rFont val="Yu Gothic"/>
        <family val="3"/>
        <charset val="128"/>
        <scheme val="minor"/>
      </rPr>
      <t>※記載が多く表示に収まっていないセルは、メモ帳等にコピーペーストするか参照先セルにてご確認ください</t>
    </r>
    <rPh sb="4" eb="6">
      <t>ヨウケン</t>
    </rPh>
    <phoneticPr fontId="7"/>
  </si>
  <si>
    <r>
      <t xml:space="preserve">インフラ要件
</t>
    </r>
    <r>
      <rPr>
        <b/>
        <sz val="12"/>
        <color theme="0"/>
        <rFont val="Yu Gothic"/>
        <family val="3"/>
        <charset val="128"/>
        <scheme val="minor"/>
      </rPr>
      <t>※記載が多く表示に収まっていないセルは、メモ帳等にコピーペーストするか参照先セルにてご確認ください</t>
    </r>
    <phoneticPr fontId="7"/>
  </si>
  <si>
    <r>
      <t xml:space="preserve">運用プロセス要件
</t>
    </r>
    <r>
      <rPr>
        <b/>
        <sz val="12"/>
        <color theme="0"/>
        <rFont val="Yu Gothic"/>
        <family val="3"/>
        <charset val="128"/>
        <scheme val="minor"/>
      </rPr>
      <t>※記載が多く表示に収まっていないセルは、メモ帳等にコピーペーストするか参照先セルにてご確認ください</t>
    </r>
    <rPh sb="0" eb="2">
      <t>ウンヨウ</t>
    </rPh>
    <rPh sb="6" eb="8">
      <t>ヨウケン</t>
    </rPh>
    <phoneticPr fontId="7"/>
  </si>
  <si>
    <r>
      <t xml:space="preserve">運用プロセス要件
</t>
    </r>
    <r>
      <rPr>
        <b/>
        <sz val="12"/>
        <color theme="0"/>
        <rFont val="Yu Gothic"/>
        <family val="3"/>
        <charset val="128"/>
        <scheme val="minor"/>
      </rPr>
      <t>※記載が多く表示に収まっていないセルは、メモ帳等にコピーペーストするか参照先セルにてご確認ください</t>
    </r>
    <phoneticPr fontId="7"/>
  </si>
  <si>
    <r>
      <t>備考
（</t>
    </r>
    <r>
      <rPr>
        <b/>
        <sz val="14"/>
        <color rgb="FFFF0000"/>
        <rFont val="Yu Gothic"/>
        <family val="3"/>
        <charset val="128"/>
        <scheme val="minor"/>
      </rPr>
      <t>回答がNoもしくは対象外の場合、是正予定や問題ないと整理した理由、対象外とした理由を記載</t>
    </r>
    <r>
      <rPr>
        <sz val="14"/>
        <color theme="0"/>
        <rFont val="Yu Gothic"/>
        <family val="3"/>
        <charset val="128"/>
        <scheme val="minor"/>
      </rPr>
      <t>）</t>
    </r>
    <rPh sb="0" eb="2">
      <t>ビコウ</t>
    </rPh>
    <rPh sb="4" eb="6">
      <t>カイトウ</t>
    </rPh>
    <rPh sb="13" eb="16">
      <t>タイショウガイ</t>
    </rPh>
    <rPh sb="17" eb="19">
      <t>バアイ</t>
    </rPh>
    <rPh sb="20" eb="22">
      <t>ゼセイ</t>
    </rPh>
    <rPh sb="22" eb="24">
      <t>ヨテイ</t>
    </rPh>
    <rPh sb="25" eb="27">
      <t>モンダイ</t>
    </rPh>
    <rPh sb="30" eb="32">
      <t>セイリ</t>
    </rPh>
    <rPh sb="34" eb="36">
      <t>リユウ</t>
    </rPh>
    <rPh sb="37" eb="40">
      <t>タイショウガイ</t>
    </rPh>
    <rPh sb="43" eb="45">
      <t>リユウ</t>
    </rPh>
    <rPh sb="46" eb="48">
      <t>キサイ</t>
    </rPh>
    <phoneticPr fontId="7"/>
  </si>
  <si>
    <t>-</t>
    <phoneticPr fontId="7"/>
  </si>
  <si>
    <t>確認者未評価項目数</t>
    <rPh sb="0" eb="3">
      <t>カクニンシャ</t>
    </rPh>
    <rPh sb="3" eb="4">
      <t>ミ</t>
    </rPh>
    <rPh sb="4" eb="6">
      <t>ヒョウカ</t>
    </rPh>
    <rPh sb="6" eb="8">
      <t>コウモク</t>
    </rPh>
    <rPh sb="8" eb="9">
      <t>スウ</t>
    </rPh>
    <phoneticPr fontId="7"/>
  </si>
  <si>
    <t>評価済みフラグ
(不要: 0, 未: 1, 済: 2)</t>
    <rPh sb="9" eb="11">
      <t>フヨウ</t>
    </rPh>
    <rPh sb="16" eb="17">
      <t>ミ</t>
    </rPh>
    <rPh sb="22" eb="23">
      <t>スミ</t>
    </rPh>
    <phoneticPr fontId="7"/>
  </si>
  <si>
    <t>評価済みフラグ
(不要: 0, 未: 1, 済: 2)</t>
    <phoneticPr fontId="7"/>
  </si>
  <si>
    <t>評価済みフラグ
(不要: 0, 未: 1, 済: 2)</t>
    <phoneticPr fontId="8"/>
  </si>
  <si>
    <t>評価済みフラグ
(不要: 0, 未: 1, 済: 2)</t>
    <phoneticPr fontId="7"/>
  </si>
  <si>
    <t>対応ランクD</t>
    <phoneticPr fontId="7"/>
  </si>
  <si>
    <t>確認者使用欄記入状況ステータス：</t>
    <rPh sb="6" eb="10">
      <t>キニュウジョウキョウ</t>
    </rPh>
    <phoneticPr fontId="7"/>
  </si>
  <si>
    <t>全件評価完了</t>
    <rPh sb="0" eb="2">
      <t>ゼンケン</t>
    </rPh>
    <rPh sb="2" eb="4">
      <t>ヒョウカ</t>
    </rPh>
    <rPh sb="4" eb="6">
      <t>カンリョウ</t>
    </rPh>
    <phoneticPr fontId="7"/>
  </si>
  <si>
    <t>評価未完了</t>
    <phoneticPr fontId="7"/>
  </si>
  <si>
    <t>アウトソース契約時の評価のみ完了</t>
    <rPh sb="6" eb="8">
      <t>ケイヤク</t>
    </rPh>
    <rPh sb="8" eb="9">
      <t>ジ</t>
    </rPh>
    <rPh sb="10" eb="12">
      <t>ヒョウカ</t>
    </rPh>
    <rPh sb="14" eb="16">
      <t>カンリョウ</t>
    </rPh>
    <phoneticPr fontId="7"/>
  </si>
  <si>
    <t>確認者評価欄
(確認完了: 1)</t>
    <rPh sb="8" eb="10">
      <t>カクニン</t>
    </rPh>
    <rPh sb="10" eb="12">
      <t>カンリョウ</t>
    </rPh>
    <phoneticPr fontId="7"/>
  </si>
  <si>
    <t>確認者評価欄
(確認完了: 1)</t>
    <phoneticPr fontId="7"/>
  </si>
  <si>
    <t>確認者評価欄
(確認完了: 1)</t>
    <phoneticPr fontId="8"/>
  </si>
  <si>
    <t>確認者評価欄
(確認完了: 1)</t>
    <phoneticPr fontId="7"/>
  </si>
  <si>
    <t>確認者評価欄
(確認完了: 1)</t>
    <phoneticPr fontId="7"/>
  </si>
  <si>
    <t>委託データを消去又は破棄する主体が委託先の場合、委託先では、契約の終了後、全ての委託データを委託先から確実に消去又は破棄できる仕組みになっているか。また、消去又は破棄するデータを、委託元（当社）に返還する必要がある場合、一般的なデータ形式で返還できる仕組みになっているか。</t>
    <phoneticPr fontId="7"/>
  </si>
  <si>
    <t>4.1.14.</t>
    <phoneticPr fontId="7"/>
  </si>
  <si>
    <t>契約の終了後、委託先が、全ての委託データを消去又は破棄したことを証する書面（原則、消去証明書。消去証明書によらない場合は、予め委託元（当社）が合意した方法。）により、委託元に消去又は破棄したことを報告する仕組みになっているか。</t>
    <phoneticPr fontId="7"/>
  </si>
  <si>
    <t>CTE.85</t>
    <phoneticPr fontId="7"/>
  </si>
  <si>
    <t>4.1.15.</t>
    <phoneticPr fontId="7"/>
  </si>
  <si>
    <t>4.1.19.</t>
  </si>
  <si>
    <t>4.1.20.</t>
  </si>
  <si>
    <t>4.1.21.</t>
  </si>
  <si>
    <t>4.1.22.</t>
  </si>
  <si>
    <t>4.1.23.</t>
  </si>
  <si>
    <t>4.1.24.</t>
  </si>
  <si>
    <t>4.1.25.</t>
  </si>
  <si>
    <t>4.1.26.</t>
  </si>
  <si>
    <t>4.1.27.</t>
  </si>
  <si>
    <t>4.1.28.</t>
  </si>
  <si>
    <t>4.1.29.</t>
  </si>
  <si>
    <t>4.1.30.</t>
  </si>
  <si>
    <t>4.1.31.</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</si>
  <si>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</si>
  <si>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</si>
  <si>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</si>
  <si>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</si>
  <si>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</si>
  <si>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</si>
  <si>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</si>
  <si>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</si>
  <si>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</si>
  <si>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</si>
  <si>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</si>
  <si>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</si>
  <si>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</si>
  <si>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</si>
  <si>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</si>
  <si>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</si>
  <si>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</si>
  <si>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</si>
  <si>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</si>
  <si>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</si>
  <si>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</si>
  <si>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</si>
  <si>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4.1.55.</t>
  </si>
  <si>
    <t>4.1.66.</t>
  </si>
  <si>
    <t>ユーザの登録情報（メールアドレス、パスワード、名義、住所、契約内容等）の変更、及び金銭に関わる取引が実行された際に、登録済みのメールアドレスや電話番号へ電子メールやSMSを利用して、ユーザに当該操作が実行されたことを通知しているか
メールアドレス等が変更された際は、変更後だけでなく変更前の連絡先へも通知を行うこと。ただし、通知を第三者が受け取る可能性があるため、通知に個人情報等を含まないよう注意すること</t>
    <phoneticPr fontId="7"/>
  </si>
  <si>
    <t>1.5.リリース前</t>
    <rPh sb="8" eb="9">
      <t>マエ</t>
    </rPh>
    <phoneticPr fontId="6"/>
  </si>
  <si>
    <t>Cookieを利用する場合は、以下を全て満たしていること。
・Cookieパラメータには個人情報や個人データを含めず、推測不可能な値を利用する。
・SSLを利用しているサイトでセッション管理にCookieを利用する場合は、Secure属性を付与する。</t>
    <phoneticPr fontId="7"/>
  </si>
  <si>
    <t>Cookieを利用する場合は、以下を全て満たしていること。
・スクリプトからアクセスさせる必要がなければHttpOnly属性を付与する。
・有効であるドメイン、パスを、必要最低限の範囲に限定する。
・セッション管理にCookieを利用する場合、その有効期限を指定せず、クライアントのハードディスク上にCookieが保存されないようにする。
・セッションフィクセイション等への対策として、CookieにDomain属性を付与しない。</t>
    <phoneticPr fontId="7"/>
  </si>
  <si>
    <t>APD.37</t>
    <phoneticPr fontId="7"/>
  </si>
  <si>
    <t>顧客情報のダウンロード機能を提供している場合は、代理店ユーザが1000件を超える顧客情報を一括ダウンロードした旨をリーダー系列者に通知する機能を実装しているか。</t>
    <phoneticPr fontId="7"/>
  </si>
  <si>
    <t>以下に記載のあるAWSサービスを利用するときは「AWSサービス別セキュリティ要件」を満たすように設計すること。
Amazon Route53
Amazon CloudFront
AWS Shield
AWS WAF
VPC(Subnet,Peering, IGW, VGW, Endpoint)
Amazon KMS
AMI/Snapshot
AWS CloudFormation
Amazon CloudWatch
AWS CloudTrail
AWS Billing and Cost Management
AWS IAM
Amazon Cognito
ECS（AWSサービス別セキュリティ要件のコンテナ(ECS,EKS,Fargate,EC2) Sheet参照）
ECR（AWSサービス別セキュリティ要件のコンテナ(ECS,EKS,Fargate,EC2) Sheet参照）
EKS（AWSサービス別セキュリティ要件のコンテナ(ECS,EKS,Fargate,EC2) Sheet参照）
Fargate（AWSサービス別セキュリティ要件のコンテナ(ECS,EKS,Fargate,EC2) Sheet参照）</t>
    <phoneticPr fontId="7"/>
  </si>
  <si>
    <t>ユーザーからの入力値としてURLを受け取り、そのURLに対してリダイレクトしたり、リンクを作成したりしないこと。ユーザーからの入力に基づくリダイレクトやリンクが必要な場合は、URLの妥当性（意図したドメインやサイトかどうか）を確認すること</t>
    <phoneticPr fontId="8"/>
  </si>
  <si>
    <t>エラーは適切にハンドリングを行ない、アプリケーションが出力したエラーの詳細情報をクライアント向けの画面に表示したりエラーメッセージに含めたりしないこと。
また、WebサーバーやWebアプリケーションサーバ等のミドルウェアが表示するデフォルトエラー画面中に、利用しているミドルウェアのバージョン情報や、システムの内部パス情報等のシステムの構成が分かるようなメッセージが含まれないようにすること。</t>
    <phoneticPr fontId="8"/>
  </si>
  <si>
    <t>本番運用に用いる端末、サーバ等へのログオン後、端末操作が最長で１０分間ない場合は、画面を自動的にログオフし、再ログオンが必要となるよう設定にしているか</t>
    <phoneticPr fontId="7"/>
  </si>
  <si>
    <t>パスワード情報は、保存時または通信時に暗号化※しているか。
さらに、パスワードは平文で保存せず、20文字以上のソルト（乱数）を用いて計算したハッシュ値を保存しているか。
ユーザの端末に配布するツールやシステムを構築する場合、端末内に保存するＩＤやパスワードについても、暗号化された状態で保管しているか。
※保存時はDISKレベルの暗号化ではなく、ミドルレイヤ(DBMS等）もしくはアプリケーションレイヤでの暗号化が必須</t>
    <phoneticPr fontId="7"/>
  </si>
  <si>
    <t>センシティブ情報を取り扱う場合は、該当項目の符号化(例えば1や0などのフラグとすること）を行うとともに、カラム名をセンシティブ情報と特定できないよう命名することで、万が一第三者がデータを参照した場合でもセンシティブ情報の内容がわからないようにしているか。
符号化が不可能であり、センシティブ情報を保持する場合は以下の全てを満たす設計としているか
・保存時にミドルレイヤ(DBMS等）もしくはアプリケーションレイヤでの暗号化を行う
・中間ファイルを作成しない設計となっている。
・入力画面以外の画面や帳票にセンシティブ情報を表示する場合はマスクする。
・センシティブ情報をファイルで提供する場合、暗号化(パスワード設定)を行う。</t>
    <phoneticPr fontId="7"/>
  </si>
  <si>
    <t>クレカ情報や、決済情報の認証データ（銀行口座番号と暗証番号の組）は社内システム(クラウド環境含む）に保持しない設計になっているか。
保持する場合は、以下要件を満たしているか。
・PCI-DSS準拠済の外部業者に委託する（ITサービス管理部・アウトソース担当の確認が必要）
・ミドルレイヤ(DBMS等）もしくはアプリケーションレイヤでの暗号化、またはトークン化して保存する
・最適な保存期間を定め、保存期間終了後は速やかに消去する。
・業務上必要となる場合を除き、クレジットカード情報を表示する際には、クレジットカード番号を全桁は表示させない等の措置を講じる。
・完全な(＝全桁の)クレジットカード番号・マイナンバー(法人番号は含まない)は、業務要件上、絶対的に必要でない限り保持しない</t>
    <phoneticPr fontId="10"/>
  </si>
  <si>
    <t>パスワード情報は、保存時または通信時にシステムで暗号化※しているか
また、パスワードの平文をそのまま保存せず、ソルト（乱数）を用いて計算したハッシュ値を保存しているか
※保存時はDISKレベルの暗号化ではなく、ミドルレイヤ(DBMS等）もしくはアプリケーションレイヤでの暗号化が必須</t>
  </si>
  <si>
    <t>外部媒体を作成・保管・廃棄する場合のルールが決められており、以下を満たしているか。
・重要情報※を保存する外部媒体を作成または受付る場合は、媒体自体に「識別可能なユニークな管理ID」を記載
・外部媒体管理簿による管理
・上記管理簿と外部媒体現物の突き合わせチェック（在高管理）の実施
※重要情報は委託元（当社）の定義を基準とする。</t>
    <phoneticPr fontId="7"/>
  </si>
  <si>
    <t>重要情報※を取り扱う情報システムのオペレーション業務を記録し、想定外の操作がないことを確認しているか。
※重要情報は委託元（当社）の定義を基準とする。</t>
    <phoneticPr fontId="7"/>
  </si>
  <si>
    <t>情報システムを自ら構築している場合、重要情報※を取扱う情報システムの自己点検あるいは監査（内部監査または外部監査）を行っているか（例えば、情報システムのアクセスや操作の記録をチェックしている）。
※重要情報は委託元（当社）の定義を基準とする。</t>
    <rPh sb="18" eb="22">
      <t>ジュウヨウジョウホウ</t>
    </rPh>
    <phoneticPr fontId="2"/>
  </si>
  <si>
    <t>重要情報※のフォーム送信には、POSTメソッドを利用し、GETメソッドによるアクセスを禁止すること。AjaxやJSONなどを利用する場合においても、重要情報を送信するリクエストにはPOSTメソッドを利用すること。
※重要情報の定義は情報セキュリティ管理マニュアルを参照すること。</t>
    <rPh sb="0" eb="4">
      <t>ジュウヨウジョウホウ</t>
    </rPh>
    <rPh sb="109" eb="113">
      <t>ジュウヨウジョウホウ</t>
    </rPh>
    <rPh sb="114" eb="116">
      <t>テイギ</t>
    </rPh>
    <rPh sb="117" eb="119">
      <t>ジョウホウ</t>
    </rPh>
    <rPh sb="125" eb="127">
      <t>カンリ</t>
    </rPh>
    <rPh sb="133" eb="135">
      <t>サンショウ</t>
    </rPh>
    <phoneticPr fontId="2"/>
  </si>
  <si>
    <t>URLにはユーザID やパスワード、重要情報※を格納しないこと。
※重要情報の定義は情報セキュリティ管理マニュアルを参照すること。</t>
  </si>
  <si>
    <t>クライアントプログラムを利用する場合は、重要情報※やシステムの内部情報を、クライアントプログラム、プロパティファイル中に保持しないこと。また、セッション情報の重要なオブジェクトをローカルファイルとして保存しないこと。
※重要情報の定義は情報セキュリティ管理マニュアルを参照すること。</t>
    <rPh sb="31" eb="33">
      <t>ナイブ</t>
    </rPh>
    <rPh sb="60" eb="62">
      <t>ホジ</t>
    </rPh>
    <phoneticPr fontId="27"/>
  </si>
  <si>
    <t>重要情報※をWebページに表示する場合は、HTTPヘッダを以下の通り設定して、サーバーが送信した情報がクライアントのブラウザでキャッシュされないようにすること。
Cache-Control：private,no-store,no-cache,must-revalidate
Pragma：no-cache
また、ユーザーが重要情報を送信するページにおいて、サーバー側でHTTP302応答を返し、Locationヘッダーに指定したURLにリダイレクトさせることによって、ブラウザにユーザーが送信した秘密情報が記憶されないようにすること。
※重要情報の定義は情報セキュリティ管理マニュアルを参照すること。</t>
    <phoneticPr fontId="8"/>
  </si>
  <si>
    <t>「対応ランクAシステム」または「対応ランクB-1システムの中でも重要情報(※1)を大量に保有もしくは通信し、かつ漏洩時の影響が甚大なシステム」は24365でSOC監視可能な「ファイアウォール、IPS、WAF(※2)」を導入(※3)するとともに、お客様へ公開する資源に対する改ざん検知機能を実装しているか。
（※1）重要情報の定義は情報セキュリティ管理マニュアルを参照すること。
（※2）WAFは以下要件を満たすものを導入すること
・インシデント検知時にSOCから担当者へ電話とメールで連絡が来る仕組みとなっている
・インシデントの内容を技術的な知見を持ったアナリストが詳細解析できる
・カスタムシグネチャを作る機能と運用体制を有している
・誤検知や誤遮断が生じた際に、URL×シグネチャベースで、検知除外のチューニングが行える
・HTTPリクエストだけでなくレスポンスも含めて監視可能
（※3）当社オンプレシステムにおいては、セキュアドGWを経由して接続すること。アウトソースシステムでは同等の仕組みの構築が必要である。外部からのHTTP/HTTPS通信を受ける場合はWAFを必須とし、その他のプロトコルの通信を受ける場合はIPS（IDSは不可）を必須とする</t>
  </si>
  <si>
    <t>構築対象の端末が外部媒体への書き出しを行う場合、外部媒体の作成・保管・廃棄に関する運用について、以下を満たすよう設計しているか。
・重要情報※を保存する外部媒体を作成または受付る場合は、媒体自体に「識別可能なユニークな管理ID」を記載
・外部媒体管理簿による管理
・上記管理簿と外部媒体現物の突き合わせチェック（在高管理）の実施
※重要情報の定義は情報セキュリティ管理マニュアルを参照すること。</t>
    <phoneticPr fontId="7"/>
  </si>
  <si>
    <t>重要情報※をサーバに送信する
※重要情報の定義は情報セキュリティ管理マニュアルを参照すること。</t>
    <rPh sb="0" eb="2">
      <t>ジュウヨウ</t>
    </rPh>
    <rPh sb="2" eb="4">
      <t>ジョウホウ</t>
    </rPh>
    <rPh sb="10" eb="12">
      <t>ソウシン</t>
    </rPh>
    <rPh sb="16" eb="18">
      <t>ジュウヨウ</t>
    </rPh>
    <rPh sb="18" eb="20">
      <t>ジョウホウ</t>
    </rPh>
    <rPh sb="21" eb="23">
      <t>テイギ</t>
    </rPh>
    <rPh sb="24" eb="26">
      <t>ジョウホウ</t>
    </rPh>
    <rPh sb="32" eb="34">
      <t>カンリ</t>
    </rPh>
    <rPh sb="40" eb="42">
      <t>サンショウ</t>
    </rPh>
    <phoneticPr fontId="6"/>
  </si>
  <si>
    <t>重要情報※をアプリケーション内に保存する
※重要情報の定義は情報セキュリティ管理マニュアルを参照すること。</t>
    <rPh sb="0" eb="2">
      <t>ジュウヨウ</t>
    </rPh>
    <rPh sb="2" eb="4">
      <t>ジョウホウ</t>
    </rPh>
    <rPh sb="14" eb="15">
      <t>ナイ</t>
    </rPh>
    <rPh sb="16" eb="18">
      <t>ホゾン</t>
    </rPh>
    <rPh sb="22" eb="24">
      <t>ジュウヨウ</t>
    </rPh>
    <rPh sb="24" eb="26">
      <t>ジョウホウ</t>
    </rPh>
    <rPh sb="27" eb="29">
      <t>テイギ</t>
    </rPh>
    <rPh sb="30" eb="32">
      <t>ジョウホウ</t>
    </rPh>
    <rPh sb="38" eb="40">
      <t>カンリ</t>
    </rPh>
    <rPh sb="46" eb="48">
      <t>サンショウ</t>
    </rPh>
    <phoneticPr fontId="6"/>
  </si>
  <si>
    <t>サードパーティ製ライブラリが重要情報※を取得するか確認しているか
※重要情報の定義は情報セキュリティ管理マニュアルを参照すること。</t>
    <phoneticPr fontId="6"/>
  </si>
  <si>
    <t>重要情報※を表示・更新する
※重要情報の定義は情報セキュリティ管理マニュアルを参照すること。</t>
    <phoneticPr fontId="7"/>
  </si>
  <si>
    <t>重要情報※をアプリケーション内に保存する
※重要情報の定義は情報セキュリティ管理マニュアルを参照すること。</t>
    <phoneticPr fontId="7"/>
  </si>
  <si>
    <t>アプリで重要情報※を送受信する
※重要情報の定義は情報セキュリティ管理マニュアルを参照すること。</t>
    <phoneticPr fontId="6"/>
  </si>
  <si>
    <t>アプリケーションで重要情報※を入力する
※重要情報の定義は情報セキュリティ管理マニュアルを参照すること。</t>
    <phoneticPr fontId="6"/>
  </si>
  <si>
    <t>5.1.6.</t>
    <phoneticPr fontId="7"/>
  </si>
  <si>
    <t>CTE.84</t>
    <phoneticPr fontId="7"/>
  </si>
  <si>
    <t>開発承認ランクB以上
かつ
対応ランクB-2以下</t>
    <phoneticPr fontId="7"/>
  </si>
  <si>
    <t>弊社からの照会や各種依頼について、委託先もしくはサービス提供元企業が受付窓口を設置し、サービス時間を明確にしているか。
また、セキュリティインシデント（疑義含む）が発生した場合に、通常の受付窓口の営業時間外でも連絡が取れる窓口を用意しているか。</t>
    <phoneticPr fontId="7"/>
  </si>
  <si>
    <t xml:space="preserve">セキュリティインシデントに関する委託先社内での報告・共有ルールが定められ、態勢が構築されているか。
</t>
    <phoneticPr fontId="7"/>
  </si>
  <si>
    <t>セキュリティインシデントに関する委託元（当社）への報告・共有ルールが以下のように定められ、態勢を構築しているか。
・セキュリティインシデントの疑義が発生した場合には、セキュリティインシデントであるかの判断を速やかに行い、確認結果を報告する。
・セキュリティインシデントが発生した場合には、当該セキュリティインシデントの内容（発生事象の内容、発生日時、影響範囲等）を調査の上、速やかに状況を報告する。</t>
    <phoneticPr fontId="7"/>
  </si>
  <si>
    <t>CTE.86</t>
    <phoneticPr fontId="7"/>
  </si>
  <si>
    <t>セキュリティポリシーは委託された業務内容や委託元（当社）の社会的な責任を踏まえたものとなっているか。</t>
    <phoneticPr fontId="7"/>
  </si>
  <si>
    <t>5.1.17</t>
    <phoneticPr fontId="7"/>
  </si>
  <si>
    <t>構築対象のサーバや端末などの資源からのインターネットへの通信は、組織内のプロキシを使用して以下の通り制御するようにしているか。
・Webフィルタリングのホワイトリストに業務上必須のサイトを登録（万が一マルウェア感染によりインターネット経路の通信を遮断した時にも、必要なサイトの通信を継続できるようにするため）
・ カテゴリフィルタやブラックリストを用いた以下のサイトの制限
　- 業務上必要のないサイト
　- 業務利用に不適切なサイト(情報の不正な持ち出しに利用され得る、Webメールやストレージサービス等)
　- 不審なサイト(ウイルス感染のリスクが高いと思われるサイトや、マルウェアのコントロールに使われていそうなサイト等)</t>
    <phoneticPr fontId="7"/>
  </si>
  <si>
    <t>5.1.16.</t>
    <phoneticPr fontId="7"/>
  </si>
  <si>
    <t>左記の通り。AWS環境固有の追加要件なし。</t>
    <phoneticPr fontId="7"/>
  </si>
  <si>
    <t xml:space="preserve">構築対象の端末が不特定のインターネットアクセスや外部からのメール受信を行う場合、以下を実施しているか。
・インターネット閲覧環境の分離(仮想ブラウザ等）
・ブラウザのプロキシ設定の有効化
・POSTサイズ制限、アクセスログの取得
</t>
    <phoneticPr fontId="7"/>
  </si>
  <si>
    <t>1.3.17.</t>
    <phoneticPr fontId="7"/>
  </si>
  <si>
    <t>IOD.2</t>
  </si>
  <si>
    <t>IOD.6</t>
  </si>
  <si>
    <t>IOD.7</t>
  </si>
  <si>
    <t>IOD.15</t>
  </si>
  <si>
    <t>IOD.18</t>
  </si>
  <si>
    <t>IOD.23</t>
  </si>
  <si>
    <t>IOD.28</t>
  </si>
  <si>
    <t>IOD.29</t>
  </si>
  <si>
    <t>IOD.30</t>
  </si>
  <si>
    <t>IOD.31</t>
  </si>
  <si>
    <t>IOD.32</t>
  </si>
  <si>
    <t>IOD.33</t>
  </si>
  <si>
    <t>IOD.35</t>
  </si>
  <si>
    <t>IOD.40</t>
  </si>
  <si>
    <t>IOD.41</t>
  </si>
  <si>
    <t>IOD.42</t>
  </si>
  <si>
    <t>IOD.59</t>
  </si>
  <si>
    <t>IOD.60</t>
  </si>
  <si>
    <t>IOD.66</t>
  </si>
  <si>
    <t>IOD.89</t>
  </si>
  <si>
    <t>IOD.90</t>
  </si>
  <si>
    <t>IOD.91</t>
  </si>
  <si>
    <t>IOD.92</t>
  </si>
  <si>
    <t>IOD.93</t>
  </si>
  <si>
    <t>IOD.94</t>
  </si>
  <si>
    <t>IOD.95</t>
  </si>
  <si>
    <t>IOD.96</t>
  </si>
  <si>
    <t>IOD.97</t>
  </si>
  <si>
    <t>IOD.98</t>
  </si>
  <si>
    <t>IOD.99</t>
  </si>
  <si>
    <t>IOD.100</t>
  </si>
  <si>
    <t>IOD.101</t>
  </si>
  <si>
    <t>IOD.102</t>
  </si>
  <si>
    <t>IAS.1</t>
  </si>
  <si>
    <t>IAS.2</t>
  </si>
  <si>
    <t>IAS.89</t>
  </si>
  <si>
    <t>IAS.90</t>
  </si>
  <si>
    <t>IAS.92</t>
  </si>
  <si>
    <t>IAS.93</t>
  </si>
  <si>
    <t>IAS.99</t>
  </si>
  <si>
    <t>IAS.101</t>
  </si>
  <si>
    <t>IAS.102</t>
  </si>
  <si>
    <t>IIS.33</t>
  </si>
  <si>
    <t>IIS.34</t>
  </si>
  <si>
    <t>IIS.36</t>
  </si>
  <si>
    <t>IIS.37</t>
  </si>
  <si>
    <t>IIS.42</t>
  </si>
  <si>
    <t>IIS.43</t>
  </si>
  <si>
    <t>IIS.47</t>
  </si>
  <si>
    <t>IIS.61</t>
  </si>
  <si>
    <t>IIS.83</t>
  </si>
  <si>
    <t>IIS.84</t>
  </si>
  <si>
    <t>IIS.85</t>
  </si>
  <si>
    <t>IIS.86</t>
  </si>
  <si>
    <t>IIS.87</t>
  </si>
  <si>
    <t>IIS.88</t>
  </si>
  <si>
    <t>IIS.89</t>
  </si>
  <si>
    <t>IIS.90</t>
  </si>
  <si>
    <t>IIS.92</t>
  </si>
  <si>
    <t>IIS.93</t>
  </si>
  <si>
    <t>IIS.99</t>
  </si>
  <si>
    <t>IIS.101</t>
  </si>
  <si>
    <t>IIS.102</t>
  </si>
  <si>
    <t>ISS.30</t>
  </si>
  <si>
    <t>ISS.31</t>
  </si>
  <si>
    <t>ISS.32</t>
  </si>
  <si>
    <t>ISS.33</t>
  </si>
  <si>
    <t>ISS.34</t>
  </si>
  <si>
    <t>ISS.35</t>
  </si>
  <si>
    <t>ISS.36</t>
  </si>
  <si>
    <t>ISS.37</t>
  </si>
  <si>
    <t>ISS.42</t>
  </si>
  <si>
    <t>ISS.43</t>
  </si>
  <si>
    <t>ISS.47</t>
  </si>
  <si>
    <t>ISS.61</t>
  </si>
  <si>
    <t>ISS.83</t>
  </si>
  <si>
    <t>ISS.84</t>
  </si>
  <si>
    <t>ISS.85</t>
  </si>
  <si>
    <t>ISS.86</t>
  </si>
  <si>
    <t>ISS.87</t>
  </si>
  <si>
    <t>ISS.88</t>
  </si>
  <si>
    <t>ISS.89</t>
  </si>
  <si>
    <t>ISS.90</t>
  </si>
  <si>
    <t>ISS.92</t>
  </si>
  <si>
    <t>ISS.93</t>
  </si>
  <si>
    <t>ISS.99</t>
  </si>
  <si>
    <t>ISS.101</t>
  </si>
  <si>
    <t>ISS.102</t>
  </si>
  <si>
    <t>OOD.28</t>
  </si>
  <si>
    <t>OOD.38</t>
  </si>
  <si>
    <t>OOD.39</t>
  </si>
  <si>
    <t>OOD.40</t>
  </si>
  <si>
    <t>OAS.33</t>
  </si>
  <si>
    <t>OAS.36</t>
  </si>
  <si>
    <t>OAS.40</t>
  </si>
  <si>
    <t>OIS.30</t>
  </si>
  <si>
    <t>OIS.35</t>
  </si>
  <si>
    <t>OIS.36</t>
  </si>
  <si>
    <t>OIS.40</t>
  </si>
  <si>
    <t>OSS.30</t>
  </si>
  <si>
    <t>OSS.35</t>
  </si>
  <si>
    <t>OSS.36</t>
  </si>
  <si>
    <t>OSS.40</t>
  </si>
  <si>
    <t>端末から直接インターネット上のC&amp;Cサーバへ接続するコネクトバック通信を遮断するため、委託先もしくはサービス提供元企業の社内とインターネットとの境界のファイアウォールにおいて、内部から外部への通信に対し、以下の設計・設定を行っているか。
・組織内プロキシからの通信のみ許可し、ユーザー端末から組織内プロキシを経由せずに直接インターネットへ向かう通信は遮断する
・利用する通信ポートを最低限のもの（TCP/443やその他業務で使用するもの等）に設定し、他は遮断する。</t>
    <phoneticPr fontId="7"/>
  </si>
  <si>
    <t>社内NWとインターネットとの境界に設置するファイアウォールにおいて、アウトバウンドの通信に対し、以下の要件を踏まえて設計・設定しているか。
・組織内プロキシからの通信のみ許可し、組織内プロキシを経由せずに直接インターネットへ向かう通信は遮断する
・利用する通信ポートを最低限のもの（TCP/443やその他業務で使用するもの等）に設定し、他は遮断する。</t>
    <rPh sb="162" eb="163">
      <t>トウ</t>
    </rPh>
    <phoneticPr fontId="7"/>
  </si>
  <si>
    <t>記入例：一般アカウントおよび管理者アカウントのアクセスログ、認証ログ、操作ログ、イベントログなどを24時間内に提供が可能</t>
    <phoneticPr fontId="7"/>
  </si>
  <si>
    <t>委託先もしくはサービス提供元企業においてセキュリティインシデントが発生した場合に、攻撃を継続させないための通信の遮断を速やかに行える体制となっているか。
なお、緊急の通信遮断は、委託元（当社）からの依頼もしくは委託先での遮断判断の両ケースにおいて対応できる必要がある。</t>
    <phoneticPr fontId="7"/>
  </si>
  <si>
    <t>※３　https://cc.tm.millea.co.jp/fw/dfw/SFDCLI/common/Login?startURL=https%3A%2F%2Ftokiomarine--c.vf.force.com%2Fa09IR000077Z1NzYAK</t>
    <phoneticPr fontId="7"/>
  </si>
  <si>
    <t>IOD.34</t>
    <phoneticPr fontId="7"/>
  </si>
  <si>
    <r>
      <t xml:space="preserve">委託先もしくはサービス提供元企業で扱うデータや書類について、委託元の指示や法令等で定められた保管期間等を経過した場合、速やかに削除または廃棄しているか。
</t>
    </r>
    <r>
      <rPr>
        <b/>
        <sz val="14"/>
        <color rgb="FFFF0000"/>
        <rFont val="Yu Gothic"/>
        <family val="3"/>
        <charset val="128"/>
        <scheme val="minor"/>
      </rPr>
      <t>（回答で「YES」を選択した場合でも、下記のうち該当する番号を備考欄に記入する。）</t>
    </r>
    <r>
      <rPr>
        <sz val="14"/>
        <rFont val="Yu Gothic"/>
        <family val="3"/>
        <charset val="128"/>
        <scheme val="minor"/>
      </rPr>
      <t xml:space="preserve">
[データ]
１．（定期的削除の場合）保管期限を超過した本番データをもれなく削除している。
２．（定期的削除の場合）中間ファイル、バックアップデータに含まれるデータももれなく削除している。
３．（委託終了の場合）専用のデータ削除ソフトウェアの利用、または物理的な破壊等の復元不可能な手段をとっている。
４．該当するデータの取り扱いなし。
[書類]
5．廃棄は外部に委託せず自社内で行っている。
6．廃棄方法は.焼却または溶解等の復元不可能な手段をとっている。
7．該当する書類の取り扱いなし。</t>
    </r>
    <phoneticPr fontId="7"/>
  </si>
  <si>
    <t>2024/4/1修正</t>
    <rPh sb="8" eb="10">
      <t>シュウセイ</t>
    </rPh>
    <phoneticPr fontId="7"/>
  </si>
  <si>
    <r>
      <t xml:space="preserve">端末、モバイル機器、外部媒体、紙について、持ち出し・移送時の手順やルールが定められ、以下のような点検を行っているか。
</t>
    </r>
    <r>
      <rPr>
        <b/>
        <sz val="14"/>
        <color rgb="FFFF0000"/>
        <rFont val="Yu Gothic"/>
        <family val="3"/>
        <charset val="128"/>
        <scheme val="minor"/>
      </rPr>
      <t>（回答で「YES」を選択した場合でも、具体的なルールおよび点検内容や頻度を備考欄に記入する。）</t>
    </r>
    <r>
      <rPr>
        <sz val="14"/>
        <color theme="1"/>
        <rFont val="Yu Gothic"/>
        <family val="3"/>
        <charset val="128"/>
        <scheme val="minor"/>
      </rPr>
      <t xml:space="preserve">
・重要情報※を持ち出す場合の管理者の承認
・重要情報※を持ち出す端末や外部媒体は管理簿にて持ち出しから返却まで管理
・ログや管理簿の確認
・突合せ現物確認
・社員の外部媒体取り扱い方法遵守状況の確認
・移送時は、宅配便等記録が残る運送手段を利用
・保存データにパスワード設定や暗号化。できない場合は、セキュリティに配慮された輸送方法の選択
※重要情報は委託元（当社）の定義を基準とする。</t>
    </r>
    <rPh sb="293" eb="295">
      <t>テイギ</t>
    </rPh>
    <rPh sb="296" eb="298">
      <t>キジュン</t>
    </rPh>
    <phoneticPr fontId="2"/>
  </si>
  <si>
    <r>
      <t xml:space="preserve">重要情報※を電子メールで社外へ送信する場合や、重要情報※を記録した外部媒体（CD-ROM、FD、USBメモリー等）を作成する場合には、パスワードの設定または暗号化による保護措置を講じているか。
※重要情報は委託元（当社）の定義を基準とする。
</t>
    </r>
    <r>
      <rPr>
        <b/>
        <sz val="14"/>
        <color rgb="FFFF0000"/>
        <rFont val="Yu Gothic"/>
        <family val="3"/>
        <charset val="128"/>
        <scheme val="minor"/>
      </rPr>
      <t xml:space="preserve">（回答で「YES」を選択した場合は、下記のうち該当する番号を備考欄に記入する。）
</t>
    </r>
    <r>
      <rPr>
        <sz val="14"/>
        <color theme="1"/>
        <rFont val="Yu Gothic"/>
        <family val="3"/>
        <charset val="128"/>
        <scheme val="minor"/>
      </rPr>
      <t>1.電子メールでの送信あり・暗号化している
2.電子メールでの送信あり・パスワード設定している
3.外部媒体での持出あり・暗号化している
4.外部媒体での持出あり・パスワード設定している</t>
    </r>
    <rPh sb="123" eb="125">
      <t>カイトウ</t>
    </rPh>
    <rPh sb="132" eb="134">
      <t>センタク</t>
    </rPh>
    <rPh sb="136" eb="138">
      <t>バアイ</t>
    </rPh>
    <rPh sb="140" eb="142">
      <t>カキ</t>
    </rPh>
    <rPh sb="145" eb="147">
      <t>ガイトウ</t>
    </rPh>
    <rPh sb="149" eb="151">
      <t>バンゴウ</t>
    </rPh>
    <phoneticPr fontId="8"/>
  </si>
  <si>
    <t>2024/4/1修正</t>
    <rPh sb="8" eb="10">
      <t>シュウセイ</t>
    </rPh>
    <phoneticPr fontId="8"/>
  </si>
  <si>
    <t>2021/12/1追加
2024/4/1修正</t>
    <rPh sb="20" eb="22">
      <t>シュウセイ</t>
    </rPh>
    <phoneticPr fontId="8"/>
  </si>
  <si>
    <t>2021/12/1修正
2023/7/3修正
2024/4/1修正</t>
    <rPh sb="20" eb="22">
      <t>シュウセイ</t>
    </rPh>
    <rPh sb="31" eb="33">
      <t>シュウセイ</t>
    </rPh>
    <phoneticPr fontId="8"/>
  </si>
  <si>
    <t>2022/4/1修正
2023/1/4修正
2023/7/3修正
2024/4/1修正</t>
    <rPh sb="8" eb="10">
      <t>シュウセイ</t>
    </rPh>
    <rPh sb="19" eb="21">
      <t>シュウセイ</t>
    </rPh>
    <rPh sb="30" eb="32">
      <t>シュウセイ</t>
    </rPh>
    <rPh sb="41" eb="43">
      <t>シュウセイ</t>
    </rPh>
    <phoneticPr fontId="7"/>
  </si>
  <si>
    <t>2023/1/4修正
2024/4/1修正</t>
    <rPh sb="8" eb="10">
      <t>シュウセイ</t>
    </rPh>
    <rPh sb="19" eb="21">
      <t>シュウセイ</t>
    </rPh>
    <phoneticPr fontId="7"/>
  </si>
  <si>
    <t>2022/4/1修正
2023/7/3修正
2024/4/1修正</t>
    <rPh sb="8" eb="10">
      <t>シュウセイ</t>
    </rPh>
    <rPh sb="19" eb="21">
      <t>シュウセイ</t>
    </rPh>
    <rPh sb="30" eb="32">
      <t>シュウセイ</t>
    </rPh>
    <phoneticPr fontId="7"/>
  </si>
  <si>
    <r>
      <t xml:space="preserve">構築対象の端末が重要データを保持し、かつ社外に持ち出すことを想定している場合、
あるいは構築対象の端末が外部媒体の書き出しを前提としている場合は、以下の運用としているか。
</t>
    </r>
    <r>
      <rPr>
        <b/>
        <sz val="14"/>
        <color rgb="FFFF0000"/>
        <rFont val="Yu Gothic"/>
        <family val="3"/>
        <charset val="128"/>
        <scheme val="minor"/>
      </rPr>
      <t>（アウトソースシステムは、回答で「YES」を選択した場合でも、具体的なルールおよび点検内容や頻度を備考欄に記入する。）</t>
    </r>
    <r>
      <rPr>
        <b/>
        <sz val="14"/>
        <rFont val="Yu Gothic"/>
        <family val="3"/>
        <charset val="128"/>
        <scheme val="minor"/>
      </rPr>
      <t xml:space="preserve">
</t>
    </r>
    <r>
      <rPr>
        <sz val="14"/>
        <rFont val="Yu Gothic"/>
        <family val="3"/>
        <charset val="128"/>
        <scheme val="minor"/>
      </rPr>
      <t xml:space="preserve">
・重要情報※を持ち出す端末や外部媒体は管理簿にて持ち出しから返却まで管理
・ログや管理簿の確認
・突合せ現物確認
・社員の外部媒体取り扱い方法遵守状況の確認
・移送時は、宅配便等記録が残る運送手段を利用
・保存データにパスワード設定や暗号化。できない場合は、セキュリティに配慮された輸送方法の選択
※重要情報の定義は情報セキュリティ管理マニュアルを参照すること。</t>
    </r>
    <rPh sb="154" eb="155">
      <t>モ</t>
    </rPh>
    <rPh sb="156" eb="157">
      <t>ダ</t>
    </rPh>
    <rPh sb="158" eb="160">
      <t>タンマツ</t>
    </rPh>
    <rPh sb="161" eb="163">
      <t>ガイブ</t>
    </rPh>
    <rPh sb="163" eb="165">
      <t>バイタイ</t>
    </rPh>
    <rPh sb="166" eb="168">
      <t>カンリ</t>
    </rPh>
    <rPh sb="168" eb="169">
      <t>ボ</t>
    </rPh>
    <rPh sb="171" eb="172">
      <t>モ</t>
    </rPh>
    <rPh sb="173" eb="174">
      <t>ダ</t>
    </rPh>
    <rPh sb="177" eb="179">
      <t>ヘンキャク</t>
    </rPh>
    <rPh sb="181" eb="183">
      <t>カンリ</t>
    </rPh>
    <rPh sb="227" eb="229">
      <t>イソウ</t>
    </rPh>
    <rPh sb="229" eb="230">
      <t>ジ</t>
    </rPh>
    <rPh sb="250" eb="252">
      <t>ホゾン</t>
    </rPh>
    <rPh sb="272" eb="274">
      <t>バアイ</t>
    </rPh>
    <rPh sb="293" eb="295">
      <t>センタク</t>
    </rPh>
    <phoneticPr fontId="8"/>
  </si>
  <si>
    <t>2022/7/1修正
2024/4/1修正</t>
    <rPh sb="8" eb="10">
      <t>シュウセイ</t>
    </rPh>
    <rPh sb="19" eb="21">
      <t>シュウセイ</t>
    </rPh>
    <phoneticPr fontId="7"/>
  </si>
  <si>
    <t>2024/4/1修正</t>
    <phoneticPr fontId="7"/>
  </si>
  <si>
    <t>2024/4/1追加</t>
    <phoneticPr fontId="7"/>
  </si>
  <si>
    <t>構築対象の端末については、本番データの印刷が行えない様にシステム的な対策を行っているか。
本番データを扱わずに印刷を行う場合、あるいは現地法制・現地慣習などを踏まえて例外的に本番データの印刷を行わざるを得ない場合は、印刷ログを自動取得・保管しているか。
なお、東京海上/あんしん生命におけるひとり一台端末については、夜間(22-5時）または土日祝日の印刷時にリーダー系列者にレポート送付する機能を実装すること。</t>
    <phoneticPr fontId="7"/>
  </si>
  <si>
    <t>2023/1/4追加
2024/4/1修正</t>
    <rPh sb="8" eb="10">
      <t>ツイカ</t>
    </rPh>
    <rPh sb="19" eb="21">
      <t>シュウセイ</t>
    </rPh>
    <phoneticPr fontId="7"/>
  </si>
  <si>
    <t>2022/1/4追加
2024/4/1修正</t>
    <rPh sb="8" eb="10">
      <t>ツイカ</t>
    </rPh>
    <rPh sb="19" eb="21">
      <t>シュウセイ</t>
    </rPh>
    <phoneticPr fontId="7"/>
  </si>
  <si>
    <r>
      <rPr>
        <b/>
        <sz val="14"/>
        <color rgb="FFFF0000"/>
        <rFont val="Yu Gothic"/>
        <family val="3"/>
        <charset val="128"/>
        <scheme val="minor"/>
      </rPr>
      <t>（注意）本セルは、記載が多く表示に収まっていないため、セル末尾の★★★ここまで★★★まで確認すること</t>
    </r>
    <r>
      <rPr>
        <sz val="14"/>
        <rFont val="Yu Gothic"/>
        <family val="3"/>
        <charset val="128"/>
        <scheme val="minor"/>
      </rPr>
      <t xml:space="preserve">
AWS内の各種設定について、以下を実装する。
　・設定内容の自動的な確認(設定監査)(※1)
　・異常な設定発見時の管理者への通知
　・異常な設定発見時の自動的な設定修正またはサービス停止(※2)
システムの新規構築や改修においては、上記の設定監査の検出事項の是正が全て完了した上でサービスインすること。（担当案件とは別に是正スケジュールが決まっている場合は、その旨を備考欄に記載すること）
設定監査では以下を確認する。
　・22番、3389番ポートへのインバウンド通信をAnyから許可していないか
　・デフォルトのセキュリティグループが全てのトラフィックを許可していないか
　・ルートユーザのMFAを有効化しているか
　・S3やDynamoDB等のストレージやデータベースサービス(※3)について、パブリックアクセスを許可していないか
　・カスタマー管理CMKによるKMS暗号化の対応が漏れていないか(※4)
要件の実現方法として、AWS SecurityHubは上記の観点をカバーしているため、活用することが効率的である。
その他、監査の仕組みを個別に作りこむか、3rdパーティ製品の利用も可とする。
・上記の設定発見時の検知アラートは、AWSの管理者へメール通知するよう設定する。
　加えて、AWSが東京海上契約のアカウントの場合は、セキュリティ部門(CSIRTチームメールBOX（ＵＫＴＫ０５４８）)も通知先に加え、その旨を上記メールアドレスに事前に一報すること
</t>
    </r>
    <r>
      <rPr>
        <b/>
        <sz val="14"/>
        <color rgb="FFFF0000"/>
        <rFont val="Yu Gothic"/>
        <family val="3"/>
        <charset val="128"/>
        <scheme val="minor"/>
      </rPr>
      <t>★★★ここまで★★★</t>
    </r>
    <phoneticPr fontId="7"/>
  </si>
  <si>
    <t>2021/12/1修正
2022/4/1修正
2024/4/1修正</t>
    <rPh sb="20" eb="22">
      <t>シュウセイ</t>
    </rPh>
    <rPh sb="31" eb="33">
      <t>シュウセイ</t>
    </rPh>
    <phoneticPr fontId="7"/>
  </si>
  <si>
    <r>
      <rPr>
        <b/>
        <sz val="14"/>
        <color rgb="FFFF0000"/>
        <rFont val="Yu Gothic"/>
        <family val="3"/>
        <charset val="128"/>
        <scheme val="minor"/>
      </rPr>
      <t>（注意）本セルは、記載が多く表示に収まっていないため、セル末尾の★★★ここまで★★★まで確認すること</t>
    </r>
    <r>
      <rPr>
        <sz val="14"/>
        <color rgb="FFFF0000"/>
        <rFont val="Yu Gothic"/>
        <family val="3"/>
        <charset val="128"/>
        <scheme val="minor"/>
      </rPr>
      <t xml:space="preserve">
</t>
    </r>
    <r>
      <rPr>
        <sz val="14"/>
        <rFont val="Yu Gothic"/>
        <family val="3"/>
        <charset val="128"/>
        <scheme val="minor"/>
      </rPr>
      <t xml:space="preserve">クラウド環境内の各種設定について、以下を実装する。
　・設定内容の自動的な確認(設定監査)
　・異常な設定発見時の管理者への通知
　・異常な設定発見時の自動的な設定修正またはサービス停止
システムの新規構築や改修においては、上記の設定監査の検出事項の是正が全て完了した上でサービスインすること。（担当案件とは別に是正スケジュールが決まっている場合は、その旨を備考欄に記載すること）
「自動的な確認」とは、センシティブ情報や特定個人情報を含むシステムはリアルタイムでの確認が必要。
そうでない場合はリアルタイムでなくともよいが、定期的な確認が必要
「自動的な設定修正またはサービス停止」とは、機械化された仕組みに限らず、個別の判断がなくとも即座に実施できるようプロセス化されたものであれば手動対応でも問題ない。
(例：変更作業のリリース判断時に設定監査の仕組み上異常を検知していないことを確認し、もし検知していた場合は即座に戻しを行うプロセスとする、等）
【設定監査の観点】
・インターネットや他テナントからのアクセス経路や制御
・サービスの公開範囲、公開方法
・暗号化対象やその暗号化状況、暗号鍵の管理ルール
・アカウント管理やアクセス制御のルール
</t>
    </r>
    <r>
      <rPr>
        <b/>
        <sz val="14"/>
        <color rgb="FFFF0000"/>
        <rFont val="Yu Gothic"/>
        <family val="3"/>
        <charset val="128"/>
        <scheme val="minor"/>
      </rPr>
      <t>★★★ここまで★★★</t>
    </r>
    <rPh sb="55" eb="57">
      <t>カンキョウ</t>
    </rPh>
    <phoneticPr fontId="7"/>
  </si>
  <si>
    <t xml:space="preserve">サービス利用者によって設定が可能なデータ等の公開範囲設定（アクセス経路やサービスの公開範囲等）について、以下を実装する。
　・設定内容の自動的な確認(設定監査)
　・異常な設定発見時の管理者への通知
　・異常な設定発見時の自動的な設定修正またはサービス停止
システムの新規構築や改修においては、上記の設定監査の検出事項の是正が全て完了した上でサービスインすること。（担当案件とは別に是正スケジュールが決まっている場合は、その旨を備考欄に記載すること）
「自動的な確認」とは、センシティブ情報や特定個人情報を含むシステムはリアルタイムでの確認が必要。
そうでない場合はリアルタイムでなくともよいが、定期的な確認が必要
「自動的な設定修正またはサービス停止」とは、機械化された仕組みに限らず、個別の判断がなくとも即座に実施できるようプロセス化されたものであれば手動対応でも問題ない。
</t>
    <phoneticPr fontId="7"/>
  </si>
  <si>
    <t>2021/12/1修正
2024/4/1修正</t>
    <rPh sb="20" eb="22">
      <t>シュウセイ</t>
    </rPh>
    <phoneticPr fontId="7"/>
  </si>
  <si>
    <t>2022/4/1修正
2024/4/1修正</t>
    <rPh sb="8" eb="10">
      <t>シュウセイ</t>
    </rPh>
    <rPh sb="19" eb="21">
      <t>シュウセイ</t>
    </rPh>
    <phoneticPr fontId="7"/>
  </si>
  <si>
    <r>
      <rPr>
        <b/>
        <sz val="14"/>
        <color rgb="FFFF0000"/>
        <rFont val="Yu Gothic"/>
        <family val="3"/>
        <charset val="128"/>
        <scheme val="minor"/>
      </rPr>
      <t>（注意）本セルは、記載が多く表示に収まっていないため、セル末尾の★★★ここまで★★★まで確認すること</t>
    </r>
    <r>
      <rPr>
        <sz val="14"/>
        <color rgb="FFFF0000"/>
        <rFont val="Yu Gothic"/>
        <family val="3"/>
        <charset val="128"/>
        <scheme val="minor"/>
      </rPr>
      <t xml:space="preserve">
</t>
    </r>
    <r>
      <rPr>
        <sz val="14"/>
        <rFont val="Yu Gothic"/>
        <family val="3"/>
        <charset val="128"/>
        <scheme val="minor"/>
      </rPr>
      <t>特定個人情報（以下マイナンバー）は絶対的に必要でない限り個別システムで保持せず、特定システム※でのみ保持するようにしているか</t>
    </r>
    <r>
      <rPr>
        <sz val="14"/>
        <color rgb="FFFF0000"/>
        <rFont val="Yu Gothic"/>
        <family val="3"/>
        <charset val="128"/>
        <scheme val="minor"/>
      </rPr>
      <t xml:space="preserve">。
</t>
    </r>
    <r>
      <rPr>
        <b/>
        <sz val="14"/>
        <color rgb="FFFF0000"/>
        <rFont val="Yu Gothic"/>
        <family val="3"/>
        <charset val="128"/>
        <scheme val="minor"/>
      </rPr>
      <t>なお、”マイナンバーを新たに使用する場合”と”マイナンバーを使用業務をアウトソースする場合”は回答欄に理由を記載すること。</t>
    </r>
    <r>
      <rPr>
        <sz val="14"/>
        <color rgb="FFFF0000"/>
        <rFont val="Yu Gothic"/>
        <family val="3"/>
        <charset val="128"/>
        <scheme val="minor"/>
      </rPr>
      <t xml:space="preserve">
</t>
    </r>
    <r>
      <rPr>
        <sz val="14"/>
        <rFont val="Yu Gothic"/>
        <family val="3"/>
        <charset val="128"/>
        <scheme val="minor"/>
      </rPr>
      <t xml:space="preserve">マイナンバー(法人番号は含まない)を保管する場合は、以下の全ての対応を行っているか。
・ミドルレイヤ(DBMS等）もしくはアプリケーションレイヤでの暗号化、またはトークン化して保存する
・マイナンバーはキー項目にしない
・中間ファイルにマイナンバーを記載しない。中間ファイルを作成さぜる得ない場合は、後続工程に引き渡し後速やかに削除するとともに、作成物を削除した旨が分かるようログ上に記録する。
・ログにマイナンバーを記載しない。マイナンバーを記載せざるを得ない場合は、マスク化もしくは20文字以上のソルト（乱数）を用いたハッシュ化を行う。
・業務上の保管期間経過後は、バックアップデータ含め速やかに消去する
・洗い替えバッチはマンスリー以内のサイクルで実行する
・マイナンバーデータへのアクセス制御を行い、業務上必要となる要員のみ参照可能とするとともに、ひとりにアクセス制御権限が集中しないよう権限分散を図る
・マイナンバー取得時に明示した利用目的以外のシステムや業務が参照できないようアクセス制御を行う。
・特定システム※へのアクセスは、共通部品経由でのみ行う
・マイナンバー申告書の入力、税務調書の媒体変換等の業務を外部委託する場合は特定のアウトソーサに限定する。
・マイナンバーを表示する画面・帳票は、必要最小限にするとともに、表示する場合は、可能な限り番号を全て表示させない等の措置を講じる
※特定システムはマイナンバー共通システム（保管ＤＢ）、人事システムepo（国民ＩＤテーブル）、ＩＰ管理（マイナンバーＤＢ）を指す
</t>
    </r>
    <r>
      <rPr>
        <b/>
        <sz val="14"/>
        <color rgb="FFFF0000"/>
        <rFont val="Yu Gothic"/>
        <family val="3"/>
        <charset val="128"/>
        <scheme val="minor"/>
      </rPr>
      <t>★★★ここまで★★★</t>
    </r>
    <phoneticPr fontId="7"/>
  </si>
  <si>
    <r>
      <rPr>
        <sz val="14"/>
        <rFont val="Yu Gothic"/>
        <family val="3"/>
        <charset val="128"/>
        <scheme val="minor"/>
      </rPr>
      <t xml:space="preserve">機密情報を扱うシステムでは、保存データをミドルレイヤ(DBMS等）もしくはアプリケーションレイヤでの暗号化を行っているか。
センシティブ情報(損害サービス対応にかかわる重要コメント含む)、マイナンバー(法人番号は含まない)については暗号化を必須とし、特にマイナンバーの復号鍵は、データとは別の筐体に保管して保護、もしくはアクセス制御等によりデータと同等の保護策を実施する。
上記以外のデータで、レスポンス悪化などの影響を踏まえて暗号化しない場合は、以下の通りにデータ保護を行っているか。
　・主要データ・ＤＢへのシステム的なアクセス制限
　・主要データ・ＤＢへのアクセス状況のモニタリング
</t>
    </r>
    <r>
      <rPr>
        <b/>
        <sz val="14"/>
        <color rgb="FFFF0000"/>
        <rFont val="Yu Gothic"/>
        <family val="3"/>
        <charset val="128"/>
        <scheme val="minor"/>
      </rPr>
      <t>（アウトソースシステムにおいては、回答で「YES」を選択した場合でも、実施している対策を備考欄に記入する。）</t>
    </r>
    <phoneticPr fontId="7"/>
  </si>
  <si>
    <t>2024/4/1修正</t>
    <phoneticPr fontId="8"/>
  </si>
  <si>
    <t>2021/12/1修正
2024/4/1修正</t>
    <rPh sb="20" eb="22">
      <t>シュウセイ</t>
    </rPh>
    <phoneticPr fontId="8"/>
  </si>
  <si>
    <t>「インターネットから直接アクセス・リクエスト電文を受けるシステム（セキュリティ対応ランクA及びB1システム）」からのアクセスを、自システムのパーソナルファイアウォール等で遮断しているシステム</t>
    <rPh sb="10" eb="12">
      <t>チョクセツ</t>
    </rPh>
    <rPh sb="22" eb="24">
      <t>デンブン</t>
    </rPh>
    <rPh sb="25" eb="26">
      <t>ウ</t>
    </rPh>
    <rPh sb="64" eb="65">
      <t>ジ</t>
    </rPh>
    <phoneticPr fontId="66"/>
  </si>
  <si>
    <t>2024/4/1追加</t>
    <rPh sb="8" eb="10">
      <t>ツイカ</t>
    </rPh>
    <phoneticPr fontId="7"/>
  </si>
  <si>
    <t>APIアクセス権限・範囲、リソースオーナ（顧客）種別毎、APIクライアント（接続者）毎等複数条件をもとに、アクセストークンの有効期限を設定しているか。
有効期限は以下を目安とし、ビジネス要件を踏まえて決定すること。
・ アクセストークン
　生成系APIは180日まで
　参照系APIは個人情報を扱わない場合は180日まで、個人情報を扱う場合は60日まで、更にSPAからのアクセスの場合は1日まで
　更新系APIは7日まで、更にSPAからのアクセスの場合は1日まで
・ リフレッシュトークン
　生成系APIは270日まで
　参照系および更新系APIは90日まで
・ IDトークン
　1時間まで</t>
    <phoneticPr fontId="8"/>
  </si>
  <si>
    <t xml:space="preserve"> 設問２　（①、②、③のいずれかに該当する場合は「該当する」を選択）</t>
    <rPh sb="1" eb="3">
      <t>セツモン</t>
    </rPh>
    <rPh sb="17" eb="19">
      <t>ガイトウ</t>
    </rPh>
    <rPh sb="21" eb="23">
      <t>バアイ</t>
    </rPh>
    <rPh sb="25" eb="27">
      <t>ガイトウ</t>
    </rPh>
    <rPh sb="31" eb="33">
      <t>センタク</t>
    </rPh>
    <phoneticPr fontId="66"/>
  </si>
  <si>
    <t>　① 経済安全保障推進法における特定重要設備に該当する（経安法事務局により指定されている※３）</t>
    <phoneticPr fontId="66"/>
  </si>
  <si>
    <t>　② 運用品質確保ランクが特A、かつ可用性ランクと機密性ランクがA</t>
    <phoneticPr fontId="7"/>
  </si>
  <si>
    <t>　③以下のいずれかに該当する、マルウェア感染リスクが高いシステム(主にクライアント系システムを想定)
　　　　(a)インターネットごしのリモート接続あり  　（b）インターネットごしのメール受信あり  　（c）インターネット閲覧を行う</t>
    <rPh sb="72" eb="74">
      <t>セツゾク</t>
    </rPh>
    <rPh sb="95" eb="97">
      <t>ジュシン</t>
    </rPh>
    <rPh sb="112" eb="114">
      <t>エツラン</t>
    </rPh>
    <rPh sb="115" eb="116">
      <t>オコナ</t>
    </rPh>
    <phoneticPr fontId="66"/>
  </si>
  <si>
    <t>2024/4/1修正</t>
    <rPh sb="8" eb="10">
      <t>シュウセイ</t>
    </rPh>
    <phoneticPr fontId="7"/>
  </si>
  <si>
    <t>2023/7/3追加
2024/4/1修正</t>
    <rPh sb="8" eb="10">
      <t>ツイカ</t>
    </rPh>
    <rPh sb="19" eb="21">
      <t>シュウセイ</t>
    </rPh>
    <phoneticPr fontId="7"/>
  </si>
  <si>
    <t>2023/7/3追加
2024/4/1修正</t>
    <rPh sb="19" eb="21">
      <t>シュウセイ</t>
    </rPh>
    <phoneticPr fontId="7"/>
  </si>
  <si>
    <r>
      <t xml:space="preserve">クラウド事業者(※)に対して、以下の場合に調査の為にシステム利用時の監査ログ、障害ログ、作業ログ、その他調査に必要な資料やシステム管理状況に関わる資料を利用企業の依頼に応じて提示するなどのサポート体制を構築しているか。
</t>
    </r>
    <r>
      <rPr>
        <b/>
        <sz val="14"/>
        <color rgb="FFFF0000"/>
        <rFont val="Yu Gothic"/>
        <family val="3"/>
        <charset val="128"/>
        <scheme val="minor"/>
      </rPr>
      <t>（ログの種類・提供可能な期間、および提供までにかかる時間・日数を備考欄に補足する。）</t>
    </r>
    <r>
      <rPr>
        <sz val="14"/>
        <rFont val="Yu Gothic"/>
        <family val="3"/>
        <charset val="128"/>
        <scheme val="minor"/>
      </rPr>
      <t xml:space="preserve">
　・サイバー攻撃も含めたセキュリティ上の事件が発生した場合
　・サイバー攻撃も含めたセキュリティ上の事件の発生の疑いがある場合
　・障害が発生した場合
※クラウドを利用してサービスを提供する場合、「①サービス利用者(当社)」「②クラウド上でのサービス提供者(外部委託先やサービス提供者)」「③プラットフォーマー(AWS等)」の3者が関係する。
本要件は、当社と委託先の関係となる①と②、委託先と再委託先の関係となる②と③、それぞれのサポート体制の整備を求めるものである(②と③が同一のケースもある)。</t>
    </r>
    <phoneticPr fontId="7"/>
  </si>
  <si>
    <t>白抜き行について回答欄と備考欄へご回答ください。</t>
    <phoneticPr fontId="7"/>
  </si>
  <si>
    <t>（１１）開発対象システムにおけるユーザ認証機能の有無、使用する認証機能を全て選んでください。</t>
    <rPh sb="4" eb="6">
      <t>カイハツ</t>
    </rPh>
    <rPh sb="6" eb="8">
      <t>タイショウ</t>
    </rPh>
    <rPh sb="19" eb="21">
      <t>ニンショウ</t>
    </rPh>
    <rPh sb="21" eb="23">
      <t>キノウ</t>
    </rPh>
    <rPh sb="24" eb="26">
      <t>ウム</t>
    </rPh>
    <rPh sb="27" eb="29">
      <t>シヨウ</t>
    </rPh>
    <rPh sb="31" eb="33">
      <t>ニンショウ</t>
    </rPh>
    <rPh sb="33" eb="35">
      <t>キノウ</t>
    </rPh>
    <rPh sb="36" eb="37">
      <t>スベ</t>
    </rPh>
    <rPh sb="38" eb="39">
      <t>エラ</t>
    </rPh>
    <phoneticPr fontId="7"/>
  </si>
  <si>
    <t>FaaS基盤2.0/2.5</t>
    <rPh sb="4" eb="6">
      <t>キバン</t>
    </rPh>
    <phoneticPr fontId="7"/>
  </si>
  <si>
    <t>対応ランクB-2,C</t>
    <phoneticPr fontId="7"/>
  </si>
  <si>
    <t>検討中（PRJ計画時のみ選択可能。SAUC以降は決定内容を再選択し、対応する要件を確認してください）</t>
    <rPh sb="0" eb="3">
      <t>ケントウチュウ</t>
    </rPh>
    <rPh sb="7" eb="9">
      <t>ケイカク</t>
    </rPh>
    <rPh sb="9" eb="10">
      <t>ジ</t>
    </rPh>
    <rPh sb="12" eb="14">
      <t>センタク</t>
    </rPh>
    <rPh sb="14" eb="16">
      <t>カノウ</t>
    </rPh>
    <rPh sb="21" eb="23">
      <t>イコウ</t>
    </rPh>
    <rPh sb="24" eb="26">
      <t>ケッテイ</t>
    </rPh>
    <rPh sb="26" eb="28">
      <t>ナイヨウ</t>
    </rPh>
    <rPh sb="29" eb="30">
      <t>サイ</t>
    </rPh>
    <rPh sb="30" eb="32">
      <t>センタク</t>
    </rPh>
    <rPh sb="34" eb="36">
      <t>タイオウ</t>
    </rPh>
    <phoneticPr fontId="7"/>
  </si>
  <si>
    <t>チェックリスト全体の回答条件変更/修正
・アプリ設計シートをセキュリティ対応ランク「B-1」以上で回答要となるように回答条件を修正
・インデックスシートの選択状況で回答不要となるはずの項目が回答要となっていたバグを正しい回答条件となるように修正
運用プロセス（AWS）
　3.2.3.
運用プロセス（IaaS,SaaS）
　3.2.2.</t>
    <rPh sb="17" eb="19">
      <t>シュウセイ</t>
    </rPh>
    <rPh sb="24" eb="26">
      <t>セッケイ</t>
    </rPh>
    <rPh sb="36" eb="38">
      <t>タイオウ</t>
    </rPh>
    <rPh sb="46" eb="48">
      <t>イジョウ</t>
    </rPh>
    <rPh sb="49" eb="51">
      <t>カイトウ</t>
    </rPh>
    <rPh sb="51" eb="52">
      <t>ヨウ</t>
    </rPh>
    <rPh sb="58" eb="60">
      <t>カイトウ</t>
    </rPh>
    <rPh sb="60" eb="62">
      <t>ジョウケン</t>
    </rPh>
    <rPh sb="63" eb="65">
      <t>シュウセイ</t>
    </rPh>
    <rPh sb="92" eb="94">
      <t>コウモク</t>
    </rPh>
    <rPh sb="95" eb="97">
      <t>カイトウ</t>
    </rPh>
    <rPh sb="97" eb="98">
      <t>ヨウ</t>
    </rPh>
    <rPh sb="107" eb="108">
      <t>タダ</t>
    </rPh>
    <rPh sb="110" eb="112">
      <t>カイトウ</t>
    </rPh>
    <rPh sb="112" eb="114">
      <t>ジョウケン</t>
    </rPh>
    <rPh sb="120" eb="122">
      <t>シュウセイ</t>
    </rPh>
    <rPh sb="123" eb="125">
      <t>ウンヨウ</t>
    </rPh>
    <phoneticPr fontId="7"/>
  </si>
  <si>
    <t>フォーマットの改善
・ダブルクリックすると数式が出るインフラ要件項目のフォロー記載を追記
　インフラ(AWS、IaaS、SaaS)のインフラ要件
　運用プロセス(AWS、IaaS、SaaS)の運用プロセス要件
・全てのシートの備考欄のタイトル行のフォントを見やすいように「赤字・セル内で折り返し」修正
・インフラ(自社DC、AWS、IaaS、SaaS)、運用プロセス(自社DC、AWS、IaaS、SaaS)のID列の項番をそれぞれ対応する要件番号になるようにユニークIDを振り直し
・モバイルアプリシートの1.5節の記載修正
・全てのシートの「回答欄」の選択状況に応じて、「備考欄」「確認者評価欄」「確認者コメント欄」を強調表示されるようにロジックを修正</t>
    <rPh sb="24" eb="25">
      <t>デ</t>
    </rPh>
    <rPh sb="30" eb="32">
      <t>ヨウケン</t>
    </rPh>
    <rPh sb="32" eb="34">
      <t>コウモク</t>
    </rPh>
    <rPh sb="39" eb="41">
      <t>キサイ</t>
    </rPh>
    <rPh sb="42" eb="44">
      <t>ツイキ</t>
    </rPh>
    <rPh sb="70" eb="72">
      <t>ヨウケン</t>
    </rPh>
    <rPh sb="74" eb="76">
      <t>ウンヨウ</t>
    </rPh>
    <rPh sb="96" eb="98">
      <t>ウンヨウ</t>
    </rPh>
    <rPh sb="102" eb="104">
      <t>ヨウケン</t>
    </rPh>
    <rPh sb="106" eb="107">
      <t>スベ</t>
    </rPh>
    <rPh sb="128" eb="129">
      <t>ミ</t>
    </rPh>
    <rPh sb="136" eb="138">
      <t>アカジ</t>
    </rPh>
    <rPh sb="148" eb="150">
      <t>シュウセイ</t>
    </rPh>
    <rPh sb="157" eb="159">
      <t>ジシャ</t>
    </rPh>
    <rPh sb="177" eb="179">
      <t>ウンヨウ</t>
    </rPh>
    <rPh sb="206" eb="207">
      <t>レツ</t>
    </rPh>
    <rPh sb="208" eb="210">
      <t>コウバン</t>
    </rPh>
    <rPh sb="215" eb="217">
      <t>タイオウ</t>
    </rPh>
    <rPh sb="219" eb="221">
      <t>ヨウケン</t>
    </rPh>
    <rPh sb="221" eb="223">
      <t>バンゴウ</t>
    </rPh>
    <rPh sb="236" eb="237">
      <t>フ</t>
    </rPh>
    <rPh sb="238" eb="239">
      <t>ナオ</t>
    </rPh>
    <rPh sb="256" eb="257">
      <t>セツ</t>
    </rPh>
    <rPh sb="258" eb="260">
      <t>キサイ</t>
    </rPh>
    <rPh sb="260" eb="262">
      <t>シュウセイ</t>
    </rPh>
    <rPh sb="264" eb="265">
      <t>スベ</t>
    </rPh>
    <rPh sb="279" eb="281">
      <t>ジョウキョウ</t>
    </rPh>
    <rPh sb="282" eb="283">
      <t>オウ</t>
    </rPh>
    <rPh sb="287" eb="290">
      <t>ビコウラン</t>
    </rPh>
    <phoneticPr fontId="7"/>
  </si>
  <si>
    <t>インデックスシートの選択条件追加/修正および回答条件修正
・インデックス（6）セキュリティ対応ランクの選択項目にて、「ただし、開発運用協働型案件」の項目を削除
・インデックス（6）セキュリティ対応ランクの選択項目にて、メインフレーム系はチェックリスト回答対象外とするために、「その他（B-2,C,D）」を「対応ランクB-2、C」「対応ランクD」に選択肢を修正
「対応ランクD」を選択した場合に全てのシートを回答不要となるように回答条件を修正
・インデックス（9）開発対象システムの選択項目にて、「外部API」のセキュリティグループを選択する項目を追加
セキュリティグループの選択状況によって、外部APIシートの回答不要となる項目の回答条件を修正
・インデックス（9）開発対象システムの選択項目にて、「端末」のコメントを削除
・インデックス（11）ユーザ認証機能の選択項目にて、利用する認証基盤を選択する項目を追加
利用する認証基盤の選択状況によって、認証基盤側で満たす項目を回答不要となるようにアプリ設計シートの回答条件を修正
・インデックス（12）構築環境の選択項目にて、「FaaS基盤2.0」を「FaaS基盤2.0/2.5」に修正</t>
    <rPh sb="10" eb="14">
      <t>センタクジョウケン</t>
    </rPh>
    <rPh sb="14" eb="16">
      <t>ツイカ</t>
    </rPh>
    <rPh sb="17" eb="19">
      <t>シュウセイ</t>
    </rPh>
    <rPh sb="22" eb="24">
      <t>カイトウ</t>
    </rPh>
    <rPh sb="24" eb="26">
      <t>ジョウケン</t>
    </rPh>
    <rPh sb="26" eb="28">
      <t>シュウセイ</t>
    </rPh>
    <rPh sb="45" eb="47">
      <t>タイオウ</t>
    </rPh>
    <rPh sb="51" eb="53">
      <t>センタク</t>
    </rPh>
    <rPh sb="53" eb="55">
      <t>コウモク</t>
    </rPh>
    <rPh sb="140" eb="141">
      <t>タ</t>
    </rPh>
    <rPh sb="153" eb="155">
      <t>タイオウ</t>
    </rPh>
    <rPh sb="165" eb="167">
      <t>タイオウ</t>
    </rPh>
    <rPh sb="173" eb="176">
      <t>センタクシ</t>
    </rPh>
    <rPh sb="177" eb="179">
      <t>シュウセイ</t>
    </rPh>
    <rPh sb="189" eb="191">
      <t>センタク</t>
    </rPh>
    <rPh sb="193" eb="195">
      <t>バアイ</t>
    </rPh>
    <rPh sb="203" eb="205">
      <t>カイトウ</t>
    </rPh>
    <rPh sb="205" eb="207">
      <t>フヨウ</t>
    </rPh>
    <rPh sb="213" eb="215">
      <t>カイトウ</t>
    </rPh>
    <rPh sb="215" eb="217">
      <t>ジョウケン</t>
    </rPh>
    <rPh sb="218" eb="220">
      <t>シュウセイ</t>
    </rPh>
    <rPh sb="350" eb="352">
      <t>タンマツ</t>
    </rPh>
    <rPh sb="359" eb="361">
      <t>サクジョ</t>
    </rPh>
    <rPh sb="475" eb="477">
      <t>コウチク</t>
    </rPh>
    <rPh sb="477" eb="479">
      <t>カンキョウ</t>
    </rPh>
    <rPh sb="480" eb="482">
      <t>センタク</t>
    </rPh>
    <rPh sb="482" eb="484">
      <t>コウモク</t>
    </rPh>
    <rPh sb="515" eb="517">
      <t>シュウセイコウモクサクジョ</t>
    </rPh>
    <phoneticPr fontId="7"/>
  </si>
  <si>
    <t>文章表見の修正
判定シート
　セキュリティ対策対応ランク判定c.
態勢
　5.1.2.
アプリコーディング
　1.2.5.、1.5.4.
インフラ（自社DC）
　3.2.1.、
インフラ（AWS、IaaS、SaaS）
　3.2.1.</t>
    <rPh sb="0" eb="2">
      <t>ブンショウ</t>
    </rPh>
    <rPh sb="2" eb="4">
      <t>ヒョウケン</t>
    </rPh>
    <rPh sb="5" eb="7">
      <t>シュウセイ</t>
    </rPh>
    <rPh sb="8" eb="10">
      <t>ハンテイ</t>
    </rPh>
    <rPh sb="21" eb="23">
      <t>タイサク</t>
    </rPh>
    <rPh sb="28" eb="30">
      <t>ハンテイ</t>
    </rPh>
    <rPh sb="33" eb="35">
      <t>タイセイ</t>
    </rPh>
    <rPh sb="74" eb="76">
      <t>ジシャ</t>
    </rPh>
    <phoneticPr fontId="7"/>
  </si>
  <si>
    <t>個別要件の見直し
・社外通信のプロキシ要件の修正
態勢
　4.1.35.
インフラ（自社DC）
　5.1.16.、5.1.17.（IOD.69）（新規項目追加）、6.1.17.
インフラ（AWS、IaaS、SaaS）
　5.1.14.、5.1.15.（IAS.69、IIS.69、ISS.69）（新規項目追加）、6.1.17.
・外部委託先でのサイバーインシデント発生時の対応要件の取り込み
態勢
　4.1.60.、4.1.61.、5.1.3.</t>
    <rPh sb="10" eb="12">
      <t>シャガイ</t>
    </rPh>
    <rPh sb="12" eb="14">
      <t>ツウシン</t>
    </rPh>
    <rPh sb="19" eb="21">
      <t>ヨウケン</t>
    </rPh>
    <rPh sb="22" eb="24">
      <t>シュウセイ</t>
    </rPh>
    <rPh sb="25" eb="27">
      <t>タイセイ</t>
    </rPh>
    <rPh sb="42" eb="44">
      <t>ジシャ</t>
    </rPh>
    <rPh sb="165" eb="167">
      <t>ガイブ</t>
    </rPh>
    <rPh sb="188" eb="190">
      <t>ヨウケン</t>
    </rPh>
    <rPh sb="191" eb="192">
      <t>ト</t>
    </rPh>
    <rPh sb="193" eb="194">
      <t>コ</t>
    </rPh>
    <rPh sb="196" eb="198">
      <t>タイセイ</t>
    </rPh>
    <phoneticPr fontId="7"/>
  </si>
  <si>
    <t>個別要件の見直し
・保存データの暗号化レイヤを明記するように要件文を修正
アプリ設計
　1.2.11.、2.1.1.～2.1.3.
インフラ（自社DC）
　1.2.6.、2.1.1.
インフラ（AWS、IaaS、SaaS）
　1.2.6.、2.1.2.
・Cookieへの重要情報格納を禁止する要件を取り込みおよび、Cookie要件を整理
アプリコーディング
　1.2.3.、1.2.4.、1.3.3.～1.3.5.（APC.25～27）（項目削除）
・外部委託先に求める緊急遮断項目の取り込み
態勢
　5.1.6.（CTE.86）（新規項目追加）
・外部APIシートのアクセストークンとリフレッシュトークンの有効利用回数上限の修正
外部API
　1.9.5.
・インフラ（IaaS）への「3.3.データセンター設備」要件の新設
インフラ（IaaS）
　3.3.1.（新規項目追加）
・要件の対象情報の範囲修正
アプリ設計
　1.2.19.
・委託先における契約終了後のデータ消去・破棄要件の取り込み
態勢
　4.1.13.、4.1.14.（CTE.85）（新規項目追加）</t>
    <rPh sb="0" eb="2">
      <t>コベツ</t>
    </rPh>
    <rPh sb="2" eb="4">
      <t>ヨウケン</t>
    </rPh>
    <rPh sb="5" eb="7">
      <t>ミナオ</t>
    </rPh>
    <rPh sb="30" eb="32">
      <t>ヨウケン</t>
    </rPh>
    <rPh sb="32" eb="33">
      <t>ブン</t>
    </rPh>
    <rPh sb="34" eb="36">
      <t>シュウセイ</t>
    </rPh>
    <rPh sb="40" eb="42">
      <t>セッケイ</t>
    </rPh>
    <rPh sb="71" eb="73">
      <t>ジシャ</t>
    </rPh>
    <rPh sb="143" eb="145">
      <t>キンシ</t>
    </rPh>
    <rPh sb="147" eb="149">
      <t>ヨウケン</t>
    </rPh>
    <rPh sb="150" eb="151">
      <t>ト</t>
    </rPh>
    <rPh sb="152" eb="153">
      <t>コ</t>
    </rPh>
    <rPh sb="164" eb="166">
      <t>ヨウケン</t>
    </rPh>
    <rPh sb="167" eb="169">
      <t>セイリ</t>
    </rPh>
    <rPh sb="220" eb="222">
      <t>コウモク</t>
    </rPh>
    <rPh sb="222" eb="224">
      <t>サクジョ</t>
    </rPh>
    <rPh sb="227" eb="229">
      <t>ガイブ</t>
    </rPh>
    <rPh sb="229" eb="232">
      <t>イタクサキ</t>
    </rPh>
    <rPh sb="233" eb="234">
      <t>モト</t>
    </rPh>
    <rPh sb="236" eb="238">
      <t>キンキュウ</t>
    </rPh>
    <rPh sb="238" eb="240">
      <t>シャダン</t>
    </rPh>
    <rPh sb="240" eb="242">
      <t>コウモク</t>
    </rPh>
    <rPh sb="243" eb="244">
      <t>ト</t>
    </rPh>
    <rPh sb="245" eb="246">
      <t>コ</t>
    </rPh>
    <rPh sb="248" eb="250">
      <t>タイセイ</t>
    </rPh>
    <rPh sb="267" eb="269">
      <t>シンキ</t>
    </rPh>
    <rPh sb="269" eb="271">
      <t>コウモク</t>
    </rPh>
    <rPh sb="271" eb="273">
      <t>ツイカ</t>
    </rPh>
    <rPh sb="314" eb="316">
      <t>シュウセイ</t>
    </rPh>
    <rPh sb="317" eb="319">
      <t>ガイブ</t>
    </rPh>
    <rPh sb="356" eb="358">
      <t>セツビ</t>
    </rPh>
    <rPh sb="359" eb="361">
      <t>ヨウケン</t>
    </rPh>
    <rPh sb="362" eb="364">
      <t>シンセツ</t>
    </rPh>
    <rPh sb="393" eb="395">
      <t>ヨウケン</t>
    </rPh>
    <rPh sb="409" eb="411">
      <t>セッケイ</t>
    </rPh>
    <rPh sb="446" eb="447">
      <t>ト</t>
    </rPh>
    <rPh sb="448" eb="449">
      <t>コ</t>
    </rPh>
    <rPh sb="451" eb="453">
      <t>タイセイ</t>
    </rPh>
    <phoneticPr fontId="7"/>
  </si>
  <si>
    <t xml:space="preserve">個別要件の見直し
・重要情報の定義を要件文に取り込み
態勢
　4.1.12.、4.1.16.、4.1.46.、4.1.48.、4.1.66.、6.1.5.
アプリコーディング
　1.2.1.、1.2.2.、1.4.1.、1.5.1.
インフラ（自社DC）
　2.1.4.、5.1.3.
インフラ（AWS、IaaS、SaaS）
　2.1.5.、5.1.5.
運用プロセス（自社DC）
　4.1.2.、4.1.8.
モバイルアプリ
　1.1.3.、1.1.4.、1.1.8.、1.2.1.～1.2.3.、1.3.2.～1.3.5.、1.3.17.、1.5.1.
・「AWSサービス別セキュリティ要件」へのコンテナセキュリティ要件の追加による要件文修正
インフラ（AWS）
　4.3.4.
・プロテクションプロファイルからの移植漏れ要件の取り込み
アプリ設計
　3.1.6.（新規項目追加）
インフラ（自社DC、AWS、IaaS、SaaS）
　6.1.8.
・クラウドの設定監査の指摘事項を無くしてからSIさせるように要件文を修正
インフラ（AWS、IaaS、SaaS）
　4.3.1.
・不要な要件を削除
アプリ設計
　1.3.3.（APD.28）（項目削除）
</t>
    <rPh sb="0" eb="2">
      <t>コベツ</t>
    </rPh>
    <rPh sb="2" eb="4">
      <t>ヨウケン</t>
    </rPh>
    <rPh sb="5" eb="7">
      <t>ミナオ</t>
    </rPh>
    <rPh sb="18" eb="20">
      <t>ヨウケン</t>
    </rPh>
    <rPh sb="20" eb="21">
      <t>ブン</t>
    </rPh>
    <rPh sb="22" eb="23">
      <t>ト</t>
    </rPh>
    <rPh sb="24" eb="25">
      <t>コ</t>
    </rPh>
    <rPh sb="27" eb="29">
      <t>タイセイ</t>
    </rPh>
    <rPh sb="122" eb="124">
      <t>ジシャ</t>
    </rPh>
    <rPh sb="178" eb="180">
      <t>ウンヨウ</t>
    </rPh>
    <rPh sb="185" eb="187">
      <t>ジシャ</t>
    </rPh>
    <rPh sb="318" eb="320">
      <t>ヨウケン</t>
    </rPh>
    <rPh sb="320" eb="321">
      <t>ブン</t>
    </rPh>
    <rPh sb="321" eb="323">
      <t>シュウセイ</t>
    </rPh>
    <rPh sb="359" eb="361">
      <t>イショク</t>
    </rPh>
    <rPh sb="361" eb="362">
      <t>モ</t>
    </rPh>
    <rPh sb="363" eb="365">
      <t>ヨウケン</t>
    </rPh>
    <rPh sb="366" eb="367">
      <t>ト</t>
    </rPh>
    <rPh sb="368" eb="369">
      <t>コ</t>
    </rPh>
    <rPh sb="374" eb="376">
      <t>セッケイ</t>
    </rPh>
    <rPh sb="456" eb="458">
      <t>ヨウケン</t>
    </rPh>
    <rPh sb="458" eb="459">
      <t>ブン</t>
    </rPh>
    <phoneticPr fontId="7"/>
  </si>
  <si>
    <t>経安法の特定重要設備に関するランサム対応分類定義の修正
判定シート
　ランサムウェア対応分類　設問2</t>
    <rPh sb="11" eb="12">
      <t>カン</t>
    </rPh>
    <rPh sb="22" eb="24">
      <t>テイギ</t>
    </rPh>
    <rPh sb="25" eb="27">
      <t>シュウセイ</t>
    </rPh>
    <rPh sb="28" eb="30">
      <t>ハンテイ</t>
    </rPh>
    <rPh sb="42" eb="44">
      <t>タイオウ</t>
    </rPh>
    <rPh sb="44" eb="46">
      <t>ブンルイ</t>
    </rPh>
    <rPh sb="47" eb="49">
      <t>セツモン</t>
    </rPh>
    <phoneticPr fontId="7"/>
  </si>
  <si>
    <t>外部委託先の回答要領における注意点を「注意 Caution」シートに追記</t>
    <rPh sb="0" eb="2">
      <t>ガイブ</t>
    </rPh>
    <rPh sb="34" eb="36">
      <t>ツイキ</t>
    </rPh>
    <phoneticPr fontId="7"/>
  </si>
  <si>
    <r>
      <t xml:space="preserve">また、弊社の外部委託先の選定・評価・管理のために本文書に回答頂く際は、以下の点についてご注意ください。
</t>
    </r>
    <r>
      <rPr>
        <sz val="8"/>
        <color rgb="FF000000"/>
        <rFont val="Meiryo UI"/>
        <family val="3"/>
        <charset val="128"/>
      </rPr>
      <t>In addition, when responding to this document for the purpose of selecting, evaluating, and managing our outside contractors, please note the following points.</t>
    </r>
    <phoneticPr fontId="19"/>
  </si>
  <si>
    <r>
      <t xml:space="preserve">・弊社委託の個人情報や本番データが流入・保管される、及びアクセスが可能なすべての環境について、記載をお願いいたします。
　　例）弊社のサービス利用状況について、御社が独自にログデータ（当社IPアドレスやホスト名等のデータを含む）を分析する環境など
</t>
    </r>
    <r>
      <rPr>
        <sz val="8"/>
        <color rgb="FF000000"/>
        <rFont val="Meiryo UI"/>
        <family val="3"/>
        <charset val="128"/>
      </rPr>
      <t>・Please describe all environments where our commissioned personal information and production data can be inflowed, stored, and accessed. 
　　e.g., Environments where your company independently analyzes log data (including data such as our company's IP addresses and host names) related to the usage of our services.</t>
    </r>
    <phoneticPr fontId="19"/>
  </si>
  <si>
    <t>有り。L-2023-ZAVL-36139139</t>
    <rPh sb="0" eb="1">
      <t>ア</t>
    </rPh>
    <phoneticPr fontId="7"/>
  </si>
  <si>
    <t>有り。L-2023-ZAVL-36139139</t>
    <phoneticPr fontId="7"/>
  </si>
  <si>
    <t>2021/12/1修正
2023/1/4修正
2024/7/1修正</t>
    <rPh sb="20" eb="22">
      <t>シュウセイ</t>
    </rPh>
    <rPh sb="31" eb="33">
      <t>シュウセイ</t>
    </rPh>
    <phoneticPr fontId="7"/>
  </si>
  <si>
    <t>運用担当者の端末（ブラウザ）において、ブラウザのパスワード記憶機能やオートコンプリート機能を禁止しているか。
これらの機能を用いると、認証情報（ＩＤ・パスワード）が端末上に保存されるので当機能は使用しない設定とし、ブラウザ起動時は、毎回、認証情報（ＩＤ・パスワード）を入力する様にする。
ただし、機械的に生成されたランダムな文字列をパスワードに使用する場合は、ブラウザのパスワードマネージャやツール内でのパスワード保存を許可する。パスワードマネージャーを使用する場合はブラウザにログインしないこと。</t>
    <phoneticPr fontId="7"/>
  </si>
  <si>
    <t>2023/1/4修正
2024/7/1修正</t>
    <rPh sb="8" eb="10">
      <t>シュウセイ</t>
    </rPh>
    <rPh sb="19" eb="21">
      <t>シュウセイ</t>
    </rPh>
    <phoneticPr fontId="7"/>
  </si>
  <si>
    <t>2024/7/1修正</t>
    <phoneticPr fontId="7"/>
  </si>
  <si>
    <t>2024/7/1修正</t>
    <rPh sb="8" eb="10">
      <t>シュウセイ</t>
    </rPh>
    <phoneticPr fontId="7"/>
  </si>
  <si>
    <t>1.1.4.</t>
    <phoneticPr fontId="7"/>
  </si>
  <si>
    <t>OOD.3</t>
    <phoneticPr fontId="7"/>
  </si>
  <si>
    <t>OOD.41</t>
    <phoneticPr fontId="7"/>
  </si>
  <si>
    <t>2024/7/1追加</t>
    <rPh sb="8" eb="10">
      <t>ツイカ</t>
    </rPh>
    <phoneticPr fontId="7"/>
  </si>
  <si>
    <t>OAS.3</t>
    <phoneticPr fontId="7"/>
  </si>
  <si>
    <t>OAS.41</t>
    <phoneticPr fontId="7"/>
  </si>
  <si>
    <t>左記の通り。クラウド環境固有の追加要件なし。</t>
    <phoneticPr fontId="7"/>
  </si>
  <si>
    <t>OIS.3</t>
    <phoneticPr fontId="7"/>
  </si>
  <si>
    <t>OIS.41</t>
    <phoneticPr fontId="7"/>
  </si>
  <si>
    <t>OSS.41</t>
    <phoneticPr fontId="7"/>
  </si>
  <si>
    <t>利用しているコンポーネントで脆弱性が公表された場合は影響を受けるかどうか確認し、影響がある場合はITサービス管理部へ共有する運用を設計しているか。
なお、当社内環境に構築したセキュリティ対応ランクA、セキュリティ対応ランクＢ－１、ひとり一台端末からの直接通信要件のあるシステムについては、Rapid7による脆弱性管理が標準である。</t>
    <phoneticPr fontId="7"/>
  </si>
  <si>
    <t>4.1.32.</t>
    <phoneticPr fontId="7"/>
  </si>
  <si>
    <t>IAS.25</t>
    <phoneticPr fontId="7"/>
  </si>
  <si>
    <t>IOD.25</t>
    <phoneticPr fontId="7"/>
  </si>
  <si>
    <t>IIS.25</t>
    <phoneticPr fontId="7"/>
  </si>
  <si>
    <t>2.1.5.</t>
    <phoneticPr fontId="7"/>
  </si>
  <si>
    <t>ISS.24</t>
    <phoneticPr fontId="7"/>
  </si>
  <si>
    <t>ドメインを新規に取得する場合、あるいは既に利用しているドメインについては、そのドメインが将来的に不要になった場合でも悪意ある第三者による再利用（ドロップキャッチ）を防ぐ観点から解放せず保持し続ける前提で計画しているか。</t>
    <phoneticPr fontId="7"/>
  </si>
  <si>
    <t>2024/7/1修正</t>
    <rPh sb="8" eb="10">
      <t>シュウセイ</t>
    </rPh>
    <phoneticPr fontId="7"/>
  </si>
  <si>
    <t>インターネット回線を用いて重要情報※を取扱う場合は、以下の通り通信を保護しているか。
※重要情報の定義は情報セキュリティ管理マニュアルを参照すること。
・非暗号化通信によるアクセスができないように設定する。もしくは非暗号化通信によるアクセスがあった場合には、暗号化通信のURLにリダイレクトするようにHSTSを設定する。
・原則TLS 1.2以上のみを許可する。システムの新規構築時は、TLS 1.3にも対応する。
・TLSの暗号アルゴリズムは「電子政府推奨暗号リスト」の他、IPA「TLS暗号設定ガイドライン」の推奨セキュリティ型にあたる利用禁止アルゴリズムと利用推奨暗号アルゴリズムに対応する。
・TLSに利用するサーバー証明書は信頼できる機関から発行されたものを利用する。
・匿名認証（ADH)による暗号化通信を拒否するよう検討する。
・本番サーバのSSL証明書はOV SSL（企業認証）またはEV SSL（Extended Validation SSL）を利用すること。さらにクレジットカード情報等の決済情報を取り扱うような、より高度な信頼性が求められるシステムにおいては、ユーザの身元情報等をより厳格に審査したうえで発行されるEV SSLを必須とする。
・通信の暗号化が行えない場合は、閉鎖的な通信回線とする</t>
    <phoneticPr fontId="7"/>
  </si>
  <si>
    <t>2021/12/1修正
2022/4/1修正
2023/1/4修正
2024/4/1修正</t>
    <rPh sb="20" eb="22">
      <t>シュウセイ</t>
    </rPh>
    <rPh sb="31" eb="33">
      <t>シュウセイ</t>
    </rPh>
    <rPh sb="42" eb="44">
      <t>シュウセイ</t>
    </rPh>
    <phoneticPr fontId="7"/>
  </si>
  <si>
    <t>2023/7/3追加
2024/7/1修正</t>
    <rPh sb="8" eb="10">
      <t>ツイカ</t>
    </rPh>
    <rPh sb="19" eb="21">
      <t>シュウセイ</t>
    </rPh>
    <phoneticPr fontId="7"/>
  </si>
  <si>
    <r>
      <t>複数のサイバーセキュリティ対策を組み合わせた多層防御を講じているか。
対策には以下のようなものが挙げられる。
　・エンドポント対策ソフトによるウィルス・マルウェア防御、不審な挙動の検知（EDR等）</t>
    </r>
    <r>
      <rPr>
        <sz val="14"/>
        <color rgb="FFFF0000"/>
        <rFont val="Yu Gothic"/>
        <family val="3"/>
        <charset val="128"/>
        <scheme val="minor"/>
      </rPr>
      <t xml:space="preserve">
</t>
    </r>
    <r>
      <rPr>
        <sz val="14"/>
        <rFont val="Yu Gothic"/>
        <family val="3"/>
        <charset val="128"/>
        <scheme val="minor"/>
      </rPr>
      <t xml:space="preserve">　・パーソナルファイアウォールによる許可外通信の拒否
　・プロキシサーバを使ったインターネットアクセス集約
　・フィルタリングソフト等を活用した不審サイトへの接続制限（カテゴリフィルタ等による閲覧サイトの制限、ブラックリスト方式による閲覧サイトの制限を行う。ブラックリストには悪性のサイト等のIoC情報を適時追加する運用とすること）
　・IPS・WAF等監視機器による不審通信防御・検知
</t>
    </r>
    <r>
      <rPr>
        <b/>
        <sz val="14"/>
        <color rgb="FFFF0000"/>
        <rFont val="Yu Gothic"/>
        <family val="3"/>
        <charset val="128"/>
        <scheme val="minor"/>
      </rPr>
      <t>（回答で「YES」を選択した場合でも、対策内容を備考欄に記入する。）</t>
    </r>
    <r>
      <rPr>
        <b/>
        <sz val="14"/>
        <rFont val="Yu Gothic"/>
        <family val="3"/>
        <charset val="128"/>
        <scheme val="minor"/>
      </rPr>
      <t xml:space="preserve">
</t>
    </r>
    <phoneticPr fontId="7"/>
  </si>
  <si>
    <r>
      <rPr>
        <b/>
        <sz val="14"/>
        <color rgb="FFFF0000"/>
        <rFont val="Yu Gothic"/>
        <family val="3"/>
        <charset val="128"/>
        <scheme val="minor"/>
      </rPr>
      <t>（注意）本セルは、記載が多く表示に収まっていないため、セル末尾の★★★ここまで★★★まで確認すること</t>
    </r>
    <r>
      <rPr>
        <sz val="14"/>
        <rFont val="Yu Gothic"/>
        <family val="3"/>
        <charset val="128"/>
        <scheme val="minor"/>
      </rPr>
      <t xml:space="preserve">
ユーザのアカウントのパスワードは以下a群、b群の要件を全て満たしているか。
&lt;a群&gt;
・英字（大文字・小文字）、数字、記号の４種１０桁以上、もしくは３種１２桁以上（※）
・パスワード変更時には、現在のパスワードと同じパスワードや、過去(直近)に利用されたパスワードを拒否する
・パスワード入力エラー連続５回以内でアカウントロックする（一定時間経過等による自動でのロック解除は不可）
※EntraID（旧AzureAD）またはTGAAD/TGO365を利用し、多要素認証とパスワードを組み合わせる場合、3種8桁以上
&lt;b群&gt;
・IDと同じ文字列を含むパスワードを拒否する
・パスワードを使い回さないことをユーザに周知していること
・登録可能なパスワードの最大文字数は短かく制限せず(10桁や12桁以内等）、ユーザによる強固なパスワード（あるいはパスフレーズ）の設定を妨げないよう、長い文字列（理想は127文字以上)を受け入れられるよう考慮すること
・ユーザーが推測されやすいパスワード（単純な文字の羅列、ユーザ自身の名前や誕生日、実在の単語など）を設定しないように、パスワード設定画面に注意文言を表示すること
a群の要件が満たせない場合は、代替策として多要素認証の導入を必須とする。
b群の要件が満たせない場合は、代替策として以下のいずれかの対応を必須とする。
・多要素認証の導入
・ユーザのパスワード有効期限を９０日以内とし、有効期限の到来前に通知を行い変更を促す、もしくは有効期限到来後の初回ログイン時に強制的に変更を要求する</t>
    </r>
    <r>
      <rPr>
        <sz val="14"/>
        <color rgb="FFFF0000"/>
        <rFont val="Yu Gothic"/>
        <family val="3"/>
        <charset val="128"/>
        <scheme val="minor"/>
      </rPr>
      <t xml:space="preserve">
</t>
    </r>
    <r>
      <rPr>
        <b/>
        <sz val="14"/>
        <color rgb="FFFF0000"/>
        <rFont val="Yu Gothic"/>
        <family val="3"/>
        <charset val="128"/>
        <scheme val="minor"/>
      </rPr>
      <t>★★★ここまで★★★</t>
    </r>
    <phoneticPr fontId="7"/>
  </si>
  <si>
    <r>
      <rPr>
        <b/>
        <sz val="14"/>
        <color rgb="FFFF0000"/>
        <rFont val="Yu Gothic"/>
        <family val="3"/>
        <charset val="128"/>
        <scheme val="minor"/>
      </rPr>
      <t>（注意）本セルは、記載が多く表示に収まっていないため、セル末尾の★★★ここまで★★★まで確認すること</t>
    </r>
    <r>
      <rPr>
        <sz val="14"/>
        <rFont val="Yu Gothic"/>
        <family val="3"/>
        <charset val="128"/>
        <scheme val="minor"/>
      </rPr>
      <t xml:space="preserve">
運用担当者が利用するアカウントのパスワードは以下a群、b群の要件を満たしているか。</t>
    </r>
    <r>
      <rPr>
        <sz val="14"/>
        <color rgb="FFFF0000"/>
        <rFont val="Yu Gothic"/>
        <family val="3"/>
        <charset val="128"/>
        <scheme val="minor"/>
      </rPr>
      <t xml:space="preserve">
</t>
    </r>
    <r>
      <rPr>
        <b/>
        <sz val="14"/>
        <color rgb="FFFF0000"/>
        <rFont val="Yu Gothic"/>
        <family val="3"/>
        <charset val="128"/>
        <scheme val="minor"/>
      </rPr>
      <t>（アウトソースシステムは、回答で「YES」を選択した場合でも具体的な要件を備考欄に記入する。）</t>
    </r>
    <r>
      <rPr>
        <sz val="14"/>
        <color rgb="FFFF0000"/>
        <rFont val="Yu Gothic"/>
        <family val="3"/>
        <charset val="128"/>
        <scheme val="minor"/>
      </rPr>
      <t xml:space="preserve">
</t>
    </r>
    <r>
      <rPr>
        <sz val="14"/>
        <rFont val="Yu Gothic"/>
        <family val="3"/>
        <charset val="128"/>
        <scheme val="minor"/>
      </rPr>
      <t>&lt;a群&gt;
・英字（大文字・小文字）、数字、記号の４種１０桁以上、もしくは３種１２桁以上（※）
・パスワード変更時には、現在のパスワードと同じパスワードや、過去に利用されたパスワードを拒否する
・パスワード入力エラー連続５回以内でアカウントロックする（一定時間経過等による自動でのロック解除は不可。上位者かシステム管理者による解除が必要）
（ただし、OSのシステムアカウントや運用アカウントでアカウントロックさせるのが困難な場合は、パスワード入力エラーが連続5回以上で検知できる仕組みを設けることで代替可能とする）
※EntraID（旧AzureAD）またはTGAAD/TGO365を利用し多要素認証とパスワードを組み合わせる場合、3文字種8文字以上
&lt;b群&gt;
・IDと同じ文字列を含むパスワードを拒否する
・推測されやすいパスワード（単純な文字の羅列、ユーザ自身の名前や誕生日、実在の単語など）を設定しないように、パスワード設定画面に注意文言を表示するか、アカウント利用規約に明記するなど利用者に周知徹底すること。
a群の要件が満たせない場合は、代替策として多要素認証の導入を必須とする。
b群の要件が満たせない場合は、代替策として以下のいずれかの対応を必須とする。
・多要素認証の導入
・ユーザのパスワード有効期限を９０日以内とし、有効期限の到来前に通知を行い変更を促す、もしくは有効期限到来後の初回ログイン時に強制的に変更を要求する</t>
    </r>
    <r>
      <rPr>
        <sz val="14"/>
        <color rgb="FFFF0000"/>
        <rFont val="Yu Gothic"/>
        <family val="3"/>
        <charset val="128"/>
        <scheme val="minor"/>
      </rPr>
      <t xml:space="preserve">
</t>
    </r>
    <r>
      <rPr>
        <b/>
        <sz val="14"/>
        <color rgb="FFFF0000"/>
        <rFont val="Yu Gothic"/>
        <family val="3"/>
        <charset val="128"/>
        <scheme val="minor"/>
      </rPr>
      <t>★★★ここまで★★★</t>
    </r>
    <phoneticPr fontId="7"/>
  </si>
  <si>
    <t>未知の脅威に備え、不審な挙動の検知、侵入経路や感染端末、影響範囲を特定するための対策ソフト（EDR※）を構築対象システムの全てのサーバや端末に導入しているか。
外部委託先が管理運用するシステムやサービスについてもEDRを導入することが望ましいが、実現が困難な場合は他のマルウェア対策要件を満たすことで見送り可能とする。
その場合回答はNOを選択し、備考欄に導入不可である理由と対策内容を記載すること。
※当社内環境や当社の責任・管理範囲のサーバ・端末については、EDR共通基盤の利用を前提とする。</t>
    <phoneticPr fontId="7"/>
  </si>
  <si>
    <t>宮島</t>
    <rPh sb="0" eb="2">
      <t>ミヤジマ</t>
    </rPh>
    <phoneticPr fontId="7"/>
  </si>
  <si>
    <t>TMHDチェックリスト「クラウドシステムリスク評価チェックリスト」、「従来型システムリスク評価チェックリスト」の2024/4/1改訂要件を取込み
アプリ設計
　1.2.6.
インフラ（自社DC、AWS、IaaS、SaaS）
　1.2.4.、1.2.5.
運用プロセス（自社DC、AWS、IaaS、SaaS）
　1.1.4.（新規項目追加）</t>
    <rPh sb="76" eb="78">
      <t>セッケイ</t>
    </rPh>
    <rPh sb="92" eb="94">
      <t>ジシャ</t>
    </rPh>
    <rPh sb="127" eb="129">
      <t>ウンヨウ</t>
    </rPh>
    <rPh sb="134" eb="136">
      <t>ジシャ</t>
    </rPh>
    <phoneticPr fontId="7"/>
  </si>
  <si>
    <t>個別要件の見直し
・EDR導入要件の修正
態勢
　4.1.32.
インフラ（自社DC、AWS、IaaS、SaaS）
　4.1.3.</t>
    <rPh sb="13" eb="15">
      <t>ドウニュウ</t>
    </rPh>
    <rPh sb="15" eb="17">
      <t>ヨウケン</t>
    </rPh>
    <rPh sb="18" eb="20">
      <t>シュウセイ</t>
    </rPh>
    <rPh sb="21" eb="23">
      <t>タイセイ</t>
    </rPh>
    <rPh sb="38" eb="40">
      <t>ジシャ</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</si>
</sst>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0">
    <font>
      <sz val="11"/>
      <color theme="1"/>
      <name val="Yu Gothic"/>
      <family val="2"/>
      <scheme val="minor"/>
    </font>
    <font>
      <sz val="11"/>
      <color theme="1"/>
      <name val="HGPｺﾞｼｯｸM"/>
      <family val="2"/>
      <charset val="128"/>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11"/>
      <color theme="1"/>
      <name val="Yu Gothic"/>
      <family val="2"/>
      <scheme val="minor"/>
    </font>
    <font>
      <sz val="11"/>
      <color indexed="8"/>
      <name val="ＭＳ Ｐゴシック"/>
      <family val="3"/>
      <charset val="128"/>
    </font>
    <font>
      <sz val="11"/>
      <name val="HGPｺﾞｼｯｸM"/>
      <family val="3"/>
      <charset val="128"/>
    </font>
    <font>
      <sz val="11"/>
      <color theme="0"/>
      <name val="Yu Gothic"/>
      <family val="2"/>
      <charset val="128"/>
      <scheme val="minor"/>
    </font>
    <font>
      <sz val="12"/>
      <name val="ＭＳ ゴシック"/>
      <family val="3"/>
      <charset val="128"/>
    </font>
    <font>
      <sz val="11"/>
      <name val="ＭＳ Ｐゴシック"/>
      <family val="3"/>
      <charset val="128"/>
    </font>
    <font>
      <sz val="11"/>
      <color theme="1"/>
      <name val="Yu Gothic"/>
      <family val="3"/>
      <charset val="128"/>
      <scheme val="minor"/>
    </font>
    <font>
      <sz val="11"/>
      <name val="Yu Gothic"/>
      <family val="3"/>
      <charset val="128"/>
      <scheme val="minor"/>
    </font>
    <font>
      <sz val="11"/>
      <color rgb="FFFF0000"/>
      <name val="Yu Gothic"/>
      <family val="2"/>
      <scheme val="minor"/>
    </font>
    <font>
      <sz val="11"/>
      <name val="Yu Gothic"/>
      <family val="2"/>
      <scheme val="minor"/>
    </font>
    <font>
      <sz val="6"/>
      <name val="ＭＳ Ｐゴシック"/>
      <family val="3"/>
      <charset val="128"/>
    </font>
    <font>
      <sz val="6"/>
      <name val="游ゴシック"/>
      <family val="3"/>
      <charset val="128"/>
    </font>
    <font>
      <sz val="11"/>
      <color indexed="8"/>
      <name val="游ゴシック"/>
      <family val="3"/>
      <charset val="128"/>
    </font>
    <font>
      <sz val="6"/>
      <name val="Yu Gothic"/>
      <family val="2"/>
      <charset val="128"/>
      <scheme val="minor"/>
    </font>
    <font>
      <b/>
      <sz val="11"/>
      <color theme="1"/>
      <name val="Yu Gothic"/>
      <family val="3"/>
      <charset val="128"/>
      <scheme val="minor"/>
    </font>
    <font>
      <b/>
      <sz val="18"/>
      <color theme="1"/>
      <name val="Yu Gothic"/>
      <family val="3"/>
      <charset val="128"/>
      <scheme val="minor"/>
    </font>
    <font>
      <sz val="16"/>
      <name val="Yu Gothic"/>
      <family val="3"/>
      <charset val="128"/>
      <scheme val="minor"/>
    </font>
    <font>
      <b/>
      <sz val="20"/>
      <color theme="1"/>
      <name val="Yu Gothic"/>
      <family val="3"/>
      <charset val="128"/>
      <scheme val="minor"/>
    </font>
    <font>
      <b/>
      <sz val="16"/>
      <color rgb="FFFF0000"/>
      <name val="Yu Gothic"/>
      <family val="3"/>
      <charset val="128"/>
      <scheme val="minor"/>
    </font>
    <font>
      <sz val="14"/>
      <color theme="1"/>
      <name val="Yu Gothic"/>
      <family val="3"/>
      <charset val="128"/>
      <scheme val="minor"/>
    </font>
    <font>
      <sz val="14"/>
      <color theme="0"/>
      <name val="Yu Gothic"/>
      <family val="3"/>
      <charset val="128"/>
      <scheme val="minor"/>
    </font>
    <font>
      <sz val="14"/>
      <color theme="0"/>
      <name val="Yu Gothic"/>
      <family val="2"/>
      <charset val="128"/>
      <scheme val="minor"/>
    </font>
    <font>
      <sz val="14"/>
      <color theme="1"/>
      <name val="Yu Gothic"/>
      <family val="2"/>
      <scheme val="minor"/>
    </font>
    <font>
      <sz val="14"/>
      <name val="Yu Gothic"/>
      <family val="3"/>
      <charset val="128"/>
      <scheme val="minor"/>
    </font>
    <font>
      <sz val="14"/>
      <name val="BIZ UDPゴシック"/>
      <family val="3"/>
      <charset val="128"/>
    </font>
    <font>
      <sz val="14"/>
      <color rgb="FFFF0000"/>
      <name val="Yu Gothic"/>
      <family val="3"/>
      <charset val="128"/>
      <scheme val="minor"/>
    </font>
    <font>
      <sz val="14"/>
      <name val="Yu Gothic"/>
      <family val="2"/>
      <scheme val="minor"/>
    </font>
    <font>
      <sz val="14"/>
      <color rgb="FF0000FF"/>
      <name val="Yu Gothic"/>
      <family val="3"/>
      <charset val="128"/>
      <scheme val="minor"/>
    </font>
    <font>
      <b/>
      <sz val="14"/>
      <name val="Yu Gothic"/>
      <family val="3"/>
      <charset val="128"/>
      <scheme val="minor"/>
    </font>
    <font>
      <sz val="14"/>
      <color theme="2"/>
      <name val="Yu Gothic"/>
      <family val="3"/>
      <charset val="128"/>
      <scheme val="minor"/>
    </font>
    <font>
      <b/>
      <sz val="14"/>
      <color theme="1"/>
      <name val="Yu Gothic"/>
      <family val="3"/>
      <charset val="128"/>
      <scheme val="minor"/>
    </font>
    <font>
      <sz val="14"/>
      <name val="ＭＳ 明朝"/>
      <family val="1"/>
      <charset val="128"/>
    </font>
    <font>
      <sz val="14"/>
      <name val="游ゴシック"/>
      <family val="3"/>
      <charset val="128"/>
    </font>
    <font>
      <sz val="14"/>
      <color indexed="8"/>
      <name val="Yu Gothic"/>
      <family val="3"/>
      <charset val="128"/>
      <scheme val="minor"/>
    </font>
    <font>
      <sz val="14"/>
      <color rgb="FF1B04C8"/>
      <name val="Yu Gothic"/>
      <family val="3"/>
      <charset val="128"/>
      <scheme val="minor"/>
    </font>
    <font>
      <sz val="14"/>
      <color rgb="FF1B04C8"/>
      <name val="Yu Gothic"/>
      <family val="2"/>
      <scheme val="minor"/>
    </font>
    <font>
      <sz val="14"/>
      <color rgb="FFFF0000"/>
      <name val="Yu Gothic"/>
      <family val="2"/>
      <scheme val="minor"/>
    </font>
    <font>
      <u/>
      <sz val="11"/>
      <color theme="10"/>
      <name val="Yu Gothic"/>
      <family val="2"/>
      <scheme val="minor"/>
    </font>
    <font>
      <sz val="9"/>
      <color indexed="81"/>
      <name val="MS P ゴシック"/>
      <family val="3"/>
      <charset val="128"/>
    </font>
    <font>
      <b/>
      <sz val="9"/>
      <color indexed="81"/>
      <name val="MS P ゴシック"/>
      <family val="3"/>
      <charset val="128"/>
    </font>
    <font>
      <sz val="11"/>
      <color theme="0"/>
      <name val="Yu Gothic"/>
      <family val="2"/>
      <scheme val="minor"/>
    </font>
    <font>
      <b/>
      <sz val="14"/>
      <color rgb="FFFF0000"/>
      <name val="Yu Gothic"/>
      <family val="3"/>
      <charset val="128"/>
      <scheme val="minor"/>
    </font>
    <font>
      <b/>
      <sz val="11"/>
      <color rgb="FFFF0000"/>
      <name val="Yu Gothic"/>
      <family val="3"/>
      <charset val="128"/>
      <scheme val="minor"/>
    </font>
    <font>
      <sz val="11"/>
      <color rgb="FFFF0000"/>
      <name val="Yu Gothic"/>
      <family val="3"/>
      <charset val="128"/>
      <scheme val="minor"/>
    </font>
    <font>
      <b/>
      <sz val="12"/>
      <color indexed="81"/>
      <name val="MS P ゴシック"/>
      <family val="3"/>
      <charset val="128"/>
    </font>
    <font>
      <b/>
      <sz val="11"/>
      <color rgb="FF0000FF"/>
      <name val="Yu Gothic"/>
      <family val="3"/>
      <charset val="128"/>
      <scheme val="minor"/>
    </font>
    <font>
      <sz val="11"/>
      <color rgb="FF0000FF"/>
      <name val="Yu Gothic"/>
      <family val="3"/>
      <charset val="128"/>
      <scheme val="minor"/>
    </font>
    <font>
      <sz val="11"/>
      <color rgb="FF0000FF"/>
      <name val="Yu Gothic"/>
      <family val="2"/>
      <scheme val="minor"/>
    </font>
    <font>
      <b/>
      <sz val="14"/>
      <color indexed="81"/>
      <name val="MS P ゴシック"/>
      <family val="3"/>
      <charset val="128"/>
    </font>
    <font>
      <b/>
      <sz val="26"/>
      <color theme="0"/>
      <name val="Yu Gothic"/>
      <family val="3"/>
      <charset val="128"/>
      <scheme val="minor"/>
    </font>
    <font>
      <sz val="11"/>
      <color indexed="81"/>
      <name val="MS P ゴシック"/>
      <family val="3"/>
      <charset val="128"/>
    </font>
    <font>
      <sz val="11"/>
      <color theme="1"/>
      <name val="游ゴシック"/>
      <family val="3"/>
      <charset val="128"/>
    </font>
    <font>
      <sz val="10"/>
      <color rgb="FF000000"/>
      <name val="Meiryo UI"/>
      <family val="3"/>
      <charset val="128"/>
    </font>
    <font>
      <sz val="8"/>
      <color rgb="FF000000"/>
      <name val="Meiryo UI"/>
      <family val="3"/>
      <charset val="128"/>
    </font>
    <font>
      <b/>
      <sz val="10"/>
      <color rgb="FF000000"/>
      <name val="Meiryo UI"/>
      <family val="3"/>
      <charset val="128"/>
    </font>
    <font>
      <sz val="11"/>
      <color rgb="FF9C5700"/>
      <name val="HGPｺﾞｼｯｸM"/>
      <family val="2"/>
      <charset val="128"/>
    </font>
    <font>
      <sz val="10"/>
      <color theme="1"/>
      <name val="BIZ UDPゴシック"/>
      <family val="3"/>
      <charset val="128"/>
    </font>
    <font>
      <sz val="10"/>
      <color rgb="FF9C5700"/>
      <name val="BIZ UDPゴシック"/>
      <family val="3"/>
      <charset val="128"/>
    </font>
    <font>
      <sz val="6"/>
      <name val="HGPｺﾞｼｯｸM"/>
      <family val="2"/>
      <charset val="128"/>
    </font>
    <font>
      <sz val="16"/>
      <color theme="1"/>
      <name val="BIZ UDPゴシック"/>
      <family val="3"/>
      <charset val="128"/>
    </font>
    <font>
      <sz val="12"/>
      <color theme="1"/>
      <name val="BIZ UDPゴシック"/>
      <family val="3"/>
      <charset val="128"/>
    </font>
    <font>
      <sz val="14"/>
      <color theme="1"/>
      <name val="BIZ UDPゴシック"/>
      <family val="3"/>
      <charset val="128"/>
    </font>
    <font>
      <sz val="8.5"/>
      <name val="BIZ UDPゴシック"/>
      <family val="3"/>
      <charset val="128"/>
    </font>
    <font>
      <sz val="10"/>
      <name val="BIZ UDPゴシック"/>
      <family val="3"/>
      <charset val="128"/>
    </font>
    <font>
      <b/>
      <sz val="11"/>
      <color theme="1"/>
      <name val="BIZ UDPゴシック"/>
      <family val="3"/>
      <charset val="128"/>
    </font>
    <font>
      <sz val="8.5"/>
      <color theme="1"/>
      <name val="BIZ UDPゴシック"/>
      <family val="3"/>
      <charset val="128"/>
    </font>
    <font>
      <b/>
      <sz val="10"/>
      <color theme="1"/>
      <name val="BIZ UDPゴシック"/>
      <family val="3"/>
      <charset val="128"/>
    </font>
    <font>
      <sz val="8"/>
      <color theme="1"/>
      <name val="BIZ UDPゴシック"/>
      <family val="3"/>
      <charset val="128"/>
    </font>
    <font>
      <sz val="13"/>
      <color indexed="81"/>
      <name val="MS P ゴシック"/>
      <family val="3"/>
      <charset val="128"/>
    </font>
    <font>
      <u/>
      <sz val="14"/>
      <name val="Yu Gothic"/>
      <family val="3"/>
      <charset val="128"/>
      <scheme val="minor"/>
    </font>
    <font>
      <b/>
      <u/>
      <sz val="9"/>
      <color indexed="81"/>
      <name val="MS P ゴシック"/>
      <family val="3"/>
      <charset val="128"/>
    </font>
    <font>
      <sz val="12"/>
      <color indexed="81"/>
      <name val="MS P ゴシック"/>
      <family val="3"/>
      <charset val="128"/>
    </font>
    <font>
      <sz val="16"/>
      <color theme="1"/>
      <name val="Yu Gothic"/>
      <family val="3"/>
      <charset val="128"/>
      <scheme val="minor"/>
    </font>
    <font>
      <sz val="9"/>
      <color rgb="FF000000"/>
      <name val="Meiryo UI"/>
      <family val="3"/>
      <charset val="128"/>
    </font>
    <font>
      <sz val="11"/>
      <color rgb="FF000000"/>
      <name val="HGPｺﾞｼｯｸM"/>
      <family val="3"/>
      <charset val="128"/>
    </font>
    <font>
      <b/>
      <sz val="7"/>
      <color rgb="FF0000FF"/>
      <name val="Yu Gothic"/>
      <family val="3"/>
      <charset val="128"/>
      <scheme val="minor"/>
    </font>
    <font>
      <b/>
      <sz val="12"/>
      <color theme="0"/>
      <name val="Yu Gothic"/>
      <family val="3"/>
      <charset val="128"/>
      <scheme val="minor"/>
    </font>
    <font>
      <b/>
      <sz val="8"/>
      <color theme="1"/>
      <name val="Yu Gothic"/>
      <family val="3"/>
      <charset val="128"/>
      <scheme val="minor"/>
    </font>
    <font>
      <b/>
      <sz val="11"/>
      <name val="Yu Gothic"/>
      <family val="3"/>
      <charset val="128"/>
      <scheme val="minor"/>
    </font>
    <font>
      <b/>
      <sz val="24"/>
      <color theme="1"/>
      <name val="Yu Gothic"/>
      <family val="3"/>
      <charset val="128"/>
      <scheme val="minor"/>
    </font>
    <font>
      <sz val="9"/>
      <color theme="0"/>
      <name val="Yu Gothic"/>
      <family val="3"/>
      <charset val="128"/>
      <scheme val="minor"/>
    </font>
    <font>
      <b/>
      <sz val="11"/>
      <name val="BIZ UDPゴシック"/>
      <family val="3"/>
      <charset val="128"/>
    </font>
  </fonts>
  <fills count="26">
    <fill>
      <patternFill patternType="none"/>
    </fill>
    <fill>
      <patternFill patternType="gray125"/>
    </fill>
    <fill>
      <patternFill patternType="solid">
        <fgColor theme="4"/>
        <bgColor indexed="64"/>
      </patternFill>
    </fill>
    <fill>
      <patternFill patternType="solid">
        <fgColor theme="4" tint="0.39997558519241921"/>
        <bgColor indexed="64"/>
      </patternFill>
    </fill>
    <fill>
      <patternFill patternType="solid">
        <fgColor theme="4"/>
      </patternFill>
    </fill>
    <fill>
      <patternFill patternType="solid">
        <fgColor theme="4"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6"/>
        <bgColor indexed="64"/>
      </patternFill>
    </fill>
    <fill>
      <patternFill patternType="solid">
        <fgColor theme="0"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0070C0"/>
        <bgColor indexed="64"/>
      </patternFill>
    </fill>
    <fill>
      <patternFill patternType="solid">
        <fgColor rgb="FFFFFF00"/>
        <bgColor indexed="64"/>
      </patternFill>
    </fill>
    <fill>
      <patternFill patternType="solid">
        <fgColor theme="5" tint="0.79998168889431442"/>
        <bgColor indexed="64"/>
      </patternFill>
    </fill>
    <fill>
      <patternFill patternType="solid">
        <fgColor rgb="FFFFEB9C"/>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rgb="FF92D050"/>
        <bgColor indexed="64"/>
      </patternFill>
    </fill>
    <fill>
      <patternFill patternType="solid">
        <fgColor theme="8" tint="0.79998168889431442"/>
        <bgColor indexed="64"/>
      </patternFill>
    </fill>
    <fill>
      <patternFill patternType="solid">
        <fgColor rgb="FFE7FFFF"/>
        <bgColor indexed="64"/>
      </patternFill>
    </fill>
    <fill>
      <patternFill patternType="solid">
        <fgColor theme="4" tint="0.5999938962981048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auto="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indexed="64"/>
      </left>
      <right style="thin">
        <color indexed="64"/>
      </right>
      <top style="thin">
        <color indexed="64"/>
      </top>
      <bottom style="thin">
        <color indexed="64"/>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thin">
        <color indexed="64"/>
      </left>
      <right style="dotted">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s>
  <cellStyleXfs count="17">
    <xf numFmtId="0" fontId="0" fillId="0" borderId="0"/>
    <xf numFmtId="0" fontId="9" fillId="0" borderId="0">
      <alignment vertical="center"/>
    </xf>
    <xf numFmtId="0" fontId="11" fillId="4" borderId="0" applyNumberFormat="0" applyBorder="0" applyAlignment="0" applyProtection="0">
      <alignment vertical="center"/>
    </xf>
    <xf numFmtId="0" fontId="12" fillId="0" borderId="0">
      <alignment vertical="center"/>
    </xf>
    <xf numFmtId="0" fontId="13" fillId="0" borderId="0">
      <alignment vertical="center"/>
    </xf>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5" fillId="0" borderId="0" applyNumberFormat="0" applyFill="0" applyBorder="0" applyAlignment="0" applyProtection="0"/>
    <xf numFmtId="0" fontId="59" fillId="0" borderId="0">
      <alignment vertical="center"/>
    </xf>
    <xf numFmtId="0" fontId="63" fillId="18" borderId="0" applyNumberFormat="0" applyBorder="0" applyAlignment="0" applyProtection="0">
      <alignment vertical="center"/>
    </xf>
    <xf numFmtId="0" fontId="1" fillId="0" borderId="0">
      <alignment vertical="center"/>
    </xf>
  </cellStyleXfs>
  <cellXfs count="388">
    <xf numFmtId="0" fontId="0" fillId="0" borderId="0" xfId="0"/>
    <xf numFmtId="0" fontId="0" fillId="0" borderId="0" xfId="0" applyAlignment="1">
      <alignment wrapText="1"/>
    </xf>
    <xf numFmtId="0" fontId="0" fillId="0" borderId="0" xfId="0" applyAlignment="1">
      <alignment vertical="top"/>
    </xf>
    <xf numFmtId="0" fontId="14" fillId="0" borderId="0" xfId="0" applyFont="1" applyAlignment="1">
      <alignment vertical="top" wrapText="1"/>
    </xf>
    <xf numFmtId="0" fontId="0" fillId="0" borderId="1" xfId="0" applyBorder="1"/>
    <xf numFmtId="0" fontId="0" fillId="5" borderId="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16" fillId="5" borderId="3" xfId="0" applyFont="1" applyFill="1" applyBorder="1"/>
    <xf numFmtId="0" fontId="16" fillId="5" borderId="7" xfId="0" applyFont="1" applyFill="1" applyBorder="1"/>
    <xf numFmtId="0" fontId="0" fillId="0" borderId="1" xfId="0" applyBorder="1" applyAlignment="1">
      <alignment vertical="center" wrapText="1"/>
    </xf>
    <xf numFmtId="0" fontId="0" fillId="0" borderId="1" xfId="0" applyBorder="1" applyAlignment="1">
      <alignment vertical="center"/>
    </xf>
    <xf numFmtId="0" fontId="0" fillId="7" borderId="1" xfId="0" applyFill="1" applyBorder="1"/>
    <xf numFmtId="0" fontId="0" fillId="6" borderId="1" xfId="0" applyFill="1" applyBorder="1"/>
    <xf numFmtId="0" fontId="0" fillId="5" borderId="10" xfId="0" applyFill="1" applyBorder="1"/>
    <xf numFmtId="49" fontId="0" fillId="0" borderId="0" xfId="0" applyNumberFormat="1"/>
    <xf numFmtId="0" fontId="15" fillId="0" borderId="0" xfId="0" applyFont="1"/>
    <xf numFmtId="0" fontId="15" fillId="0" borderId="0" xfId="0" applyFont="1" applyAlignment="1">
      <alignment vertical="top"/>
    </xf>
    <xf numFmtId="0" fontId="17" fillId="0" borderId="0" xfId="0" applyFont="1"/>
    <xf numFmtId="0" fontId="0" fillId="0" borderId="0" xfId="0" applyAlignment="1">
      <alignment vertical="top" wrapText="1"/>
    </xf>
    <xf numFmtId="0" fontId="0" fillId="9" borderId="0" xfId="0" applyFill="1"/>
    <xf numFmtId="0" fontId="0" fillId="0" borderId="0" xfId="0"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0" borderId="0" xfId="0" applyAlignment="1">
      <alignment horizontal="center" vertical="center" shrinkToFit="1"/>
    </xf>
    <xf numFmtId="0" fontId="0" fillId="0" borderId="0" xfId="0" applyAlignment="1">
      <alignment horizontal="center" vertical="center" wrapText="1"/>
    </xf>
    <xf numFmtId="0" fontId="22" fillId="0" borderId="0" xfId="0" applyFont="1"/>
    <xf numFmtId="0" fontId="0" fillId="9" borderId="0" xfId="0" applyFill="1" applyAlignment="1">
      <alignment horizontal="center" vertical="center" shrinkToFit="1"/>
    </xf>
    <xf numFmtId="0" fontId="0" fillId="10" borderId="0" xfId="0" applyFill="1" applyAlignment="1">
      <alignment horizontal="center" vertical="center"/>
    </xf>
    <xf numFmtId="0" fontId="0" fillId="11" borderId="0" xfId="0" applyFill="1" applyAlignment="1">
      <alignment horizontal="center" vertical="center"/>
    </xf>
    <xf numFmtId="0" fontId="23" fillId="0" borderId="0" xfId="0" applyFont="1"/>
    <xf numFmtId="0" fontId="22" fillId="0" borderId="2" xfId="0" applyFont="1" applyBorder="1"/>
    <xf numFmtId="0" fontId="0" fillId="0" borderId="11" xfId="0" applyBorder="1"/>
    <xf numFmtId="0" fontId="0" fillId="0" borderId="9" xfId="0" applyBorder="1"/>
    <xf numFmtId="0" fontId="0" fillId="0" borderId="3" xfId="0" applyBorder="1"/>
    <xf numFmtId="0" fontId="0" fillId="0" borderId="8" xfId="0" applyBorder="1"/>
    <xf numFmtId="0" fontId="0" fillId="0" borderId="4" xfId="0" applyBorder="1"/>
    <xf numFmtId="0" fontId="0" fillId="0" borderId="15" xfId="0" applyBorder="1"/>
    <xf numFmtId="0" fontId="0" fillId="0" borderId="14" xfId="0" applyBorder="1"/>
    <xf numFmtId="0" fontId="24" fillId="0" borderId="0" xfId="0" applyFont="1"/>
    <xf numFmtId="0" fontId="25" fillId="0" borderId="0" xfId="0" applyFont="1"/>
    <xf numFmtId="0" fontId="22" fillId="2" borderId="1" xfId="0" applyFont="1" applyFill="1" applyBorder="1" applyAlignment="1">
      <alignment vertical="top" wrapText="1"/>
    </xf>
    <xf numFmtId="0" fontId="22" fillId="0" borderId="1" xfId="0" applyFont="1" applyBorder="1" applyAlignment="1">
      <alignment vertical="center" wrapText="1"/>
    </xf>
    <xf numFmtId="0" fontId="22" fillId="0" borderId="1" xfId="0" applyFont="1" applyBorder="1" applyAlignment="1">
      <alignment vertical="top"/>
    </xf>
    <xf numFmtId="49" fontId="17" fillId="0" borderId="0" xfId="0" applyNumberFormat="1" applyFont="1"/>
    <xf numFmtId="0" fontId="0" fillId="0" borderId="0" xfId="0" applyAlignment="1">
      <alignment horizontal="center" vertical="top"/>
    </xf>
    <xf numFmtId="0" fontId="0" fillId="0" borderId="0" xfId="0" applyAlignment="1">
      <alignment horizontal="left" vertical="center"/>
    </xf>
    <xf numFmtId="0" fontId="17" fillId="0" borderId="0" xfId="0" applyFont="1" applyAlignment="1">
      <alignment vertical="top"/>
    </xf>
    <xf numFmtId="0" fontId="0" fillId="13" borderId="0" xfId="0" applyFill="1" applyAlignment="1">
      <alignment horizontal="center" vertical="center"/>
    </xf>
    <xf numFmtId="0" fontId="27" fillId="2" borderId="0" xfId="0" applyFont="1" applyFill="1"/>
    <xf numFmtId="0" fontId="28" fillId="2" borderId="0" xfId="0" applyFont="1" applyFill="1" applyAlignment="1">
      <alignment wrapText="1"/>
    </xf>
    <xf numFmtId="0" fontId="28" fillId="2" borderId="0" xfId="0" applyFont="1" applyFill="1"/>
    <xf numFmtId="49" fontId="28" fillId="2" borderId="0" xfId="0" applyNumberFormat="1" applyFont="1" applyFill="1"/>
    <xf numFmtId="0" fontId="27" fillId="2" borderId="0" xfId="0" applyFont="1" applyFill="1" applyAlignment="1">
      <alignment wrapText="1"/>
    </xf>
    <xf numFmtId="49" fontId="27" fillId="2" borderId="0" xfId="0" applyNumberFormat="1" applyFont="1" applyFill="1"/>
    <xf numFmtId="0" fontId="27" fillId="3" borderId="0" xfId="0" applyFont="1" applyFill="1"/>
    <xf numFmtId="0" fontId="27" fillId="3" borderId="0" xfId="0" applyFont="1" applyFill="1" applyAlignment="1">
      <alignment wrapText="1"/>
    </xf>
    <xf numFmtId="0" fontId="27" fillId="0" borderId="1" xfId="0" applyFont="1" applyBorder="1"/>
    <xf numFmtId="0" fontId="27" fillId="0" borderId="1" xfId="0" applyFont="1" applyBorder="1" applyAlignment="1">
      <alignment wrapText="1"/>
    </xf>
    <xf numFmtId="0" fontId="27" fillId="0" borderId="0" xfId="0" applyFont="1"/>
    <xf numFmtId="0" fontId="28" fillId="2" borderId="0" xfId="0" applyFont="1" applyFill="1" applyAlignment="1">
      <alignment vertical="top"/>
    </xf>
    <xf numFmtId="0" fontId="28" fillId="2" borderId="0" xfId="0" applyFont="1" applyFill="1" applyAlignment="1">
      <alignment horizontal="center" vertical="center"/>
    </xf>
    <xf numFmtId="49" fontId="27" fillId="3" borderId="0" xfId="0" applyNumberFormat="1" applyFont="1" applyFill="1" applyAlignment="1">
      <alignment wrapText="1"/>
    </xf>
    <xf numFmtId="0" fontId="27" fillId="0" borderId="12" xfId="0" applyFont="1" applyBorder="1" applyAlignment="1">
      <alignment vertical="top"/>
    </xf>
    <xf numFmtId="0" fontId="27" fillId="0" borderId="7" xfId="0" applyFont="1" applyBorder="1"/>
    <xf numFmtId="49" fontId="27" fillId="0" borderId="1" xfId="0" applyNumberFormat="1" applyFont="1" applyBorder="1"/>
    <xf numFmtId="0" fontId="27" fillId="0" borderId="0" xfId="0" applyFont="1" applyAlignment="1">
      <alignment horizontal="center" vertical="center"/>
    </xf>
    <xf numFmtId="0" fontId="27" fillId="0" borderId="13" xfId="0" applyFont="1" applyBorder="1" applyAlignment="1">
      <alignment vertical="top"/>
    </xf>
    <xf numFmtId="0" fontId="27" fillId="0" borderId="1" xfId="0" applyFont="1" applyBorder="1" applyAlignment="1">
      <alignment vertical="top"/>
    </xf>
    <xf numFmtId="0" fontId="27" fillId="0" borderId="10" xfId="0" applyFont="1" applyBorder="1" applyAlignment="1">
      <alignment vertical="top"/>
    </xf>
    <xf numFmtId="0" fontId="28" fillId="2" borderId="0" xfId="0" applyFont="1" applyFill="1" applyAlignment="1">
      <alignment horizontal="left" vertical="center"/>
    </xf>
    <xf numFmtId="0" fontId="29" fillId="4" borderId="0" xfId="2" applyFont="1" applyAlignment="1">
      <alignment horizontal="center" vertical="center" shrinkToFit="1"/>
    </xf>
    <xf numFmtId="0" fontId="30" fillId="2" borderId="0" xfId="0" applyFont="1" applyFill="1"/>
    <xf numFmtId="0" fontId="30" fillId="2" borderId="0" xfId="0" applyFont="1" applyFill="1" applyAlignment="1">
      <alignment vertical="top"/>
    </xf>
    <xf numFmtId="0" fontId="27" fillId="2" borderId="0" xfId="0" applyFont="1" applyFill="1" applyAlignment="1">
      <alignment vertical="top" wrapText="1"/>
    </xf>
    <xf numFmtId="0" fontId="30" fillId="2" borderId="0" xfId="0" applyFont="1" applyFill="1" applyAlignment="1">
      <alignment wrapText="1"/>
    </xf>
    <xf numFmtId="0" fontId="30" fillId="2" borderId="0" xfId="0" applyFont="1" applyFill="1" applyAlignment="1">
      <alignment vertical="top" wrapText="1"/>
    </xf>
    <xf numFmtId="0" fontId="30" fillId="2" borderId="0" xfId="0" applyFont="1" applyFill="1" applyAlignment="1">
      <alignment horizontal="center" vertical="center" wrapText="1"/>
    </xf>
    <xf numFmtId="0" fontId="30" fillId="2" borderId="0" xfId="0" applyFont="1" applyFill="1" applyAlignment="1">
      <alignment horizontal="left" vertical="center" wrapText="1"/>
    </xf>
    <xf numFmtId="0" fontId="30" fillId="3" borderId="0" xfId="0" applyFont="1" applyFill="1"/>
    <xf numFmtId="0" fontId="30" fillId="3" borderId="0" xfId="0" applyFont="1" applyFill="1" applyAlignment="1">
      <alignment vertical="top"/>
    </xf>
    <xf numFmtId="0" fontId="27" fillId="3" borderId="0" xfId="0" applyFont="1" applyFill="1" applyAlignment="1">
      <alignment vertical="top" wrapText="1"/>
    </xf>
    <xf numFmtId="0" fontId="30" fillId="3" borderId="0" xfId="0" applyFont="1" applyFill="1" applyAlignment="1">
      <alignment wrapText="1"/>
    </xf>
    <xf numFmtId="0" fontId="30" fillId="3" borderId="0" xfId="0" applyFont="1" applyFill="1" applyAlignment="1">
      <alignment vertical="top" wrapText="1"/>
    </xf>
    <xf numFmtId="0" fontId="30" fillId="3" borderId="0" xfId="0" applyFont="1" applyFill="1" applyAlignment="1">
      <alignment horizontal="center" vertical="center" wrapText="1"/>
    </xf>
    <xf numFmtId="0" fontId="30" fillId="3" borderId="0" xfId="0" applyFont="1" applyFill="1" applyAlignment="1">
      <alignment horizontal="left" vertical="center" wrapText="1"/>
    </xf>
    <xf numFmtId="0" fontId="30" fillId="3" borderId="0" xfId="0" applyFont="1" applyFill="1" applyAlignment="1">
      <alignment horizontal="center" vertical="center" shrinkToFit="1"/>
    </xf>
    <xf numFmtId="0" fontId="30" fillId="0" borderId="1" xfId="0" applyFont="1" applyBorder="1" applyAlignment="1">
      <alignment vertical="top"/>
    </xf>
    <xf numFmtId="0" fontId="31" fillId="0" borderId="1" xfId="0" applyFont="1" applyBorder="1" applyAlignment="1">
      <alignment vertical="top" wrapText="1"/>
    </xf>
    <xf numFmtId="0" fontId="31" fillId="0" borderId="1" xfId="0" applyFont="1" applyBorder="1"/>
    <xf numFmtId="0" fontId="30" fillId="0" borderId="1" xfId="0" applyFont="1" applyBorder="1"/>
    <xf numFmtId="0" fontId="30" fillId="0" borderId="1" xfId="0" applyFont="1" applyBorder="1" applyAlignment="1">
      <alignment horizontal="center" vertical="center"/>
    </xf>
    <xf numFmtId="0" fontId="30" fillId="0" borderId="0" xfId="0" applyFont="1" applyAlignment="1">
      <alignment horizontal="center" vertical="center"/>
    </xf>
    <xf numFmtId="0" fontId="30" fillId="0" borderId="0" xfId="0" applyFont="1" applyAlignment="1">
      <alignment horizontal="center" vertical="center" shrinkToFit="1"/>
    </xf>
    <xf numFmtId="0" fontId="32" fillId="0" borderId="1" xfId="4" applyFont="1" applyBorder="1" applyAlignment="1">
      <alignment horizontal="center" vertical="center" wrapText="1"/>
    </xf>
    <xf numFmtId="0" fontId="30" fillId="0" borderId="1" xfId="0" applyFont="1" applyBorder="1" applyAlignment="1">
      <alignment vertical="top" wrapText="1"/>
    </xf>
    <xf numFmtId="0" fontId="31" fillId="12" borderId="1" xfId="0" applyFont="1" applyFill="1" applyBorder="1" applyAlignment="1">
      <alignment vertical="top" wrapText="1"/>
    </xf>
    <xf numFmtId="0" fontId="34" fillId="0" borderId="1" xfId="0" applyFont="1" applyBorder="1" applyAlignment="1">
      <alignment vertical="top" wrapText="1"/>
    </xf>
    <xf numFmtId="0" fontId="31" fillId="3" borderId="0" xfId="0" applyFont="1" applyFill="1"/>
    <xf numFmtId="0" fontId="34" fillId="0" borderId="0" xfId="0" applyFont="1" applyAlignment="1">
      <alignment horizontal="center" vertical="center" wrapText="1"/>
    </xf>
    <xf numFmtId="0" fontId="31" fillId="0" borderId="0" xfId="0" applyFont="1" applyAlignment="1">
      <alignment horizontal="center" vertical="center" wrapText="1"/>
    </xf>
    <xf numFmtId="0" fontId="34" fillId="12" borderId="1" xfId="0" applyFont="1" applyFill="1" applyBorder="1" applyAlignment="1">
      <alignment vertical="top" wrapText="1"/>
    </xf>
    <xf numFmtId="0" fontId="30" fillId="12" borderId="1" xfId="0" applyFont="1" applyFill="1" applyBorder="1" applyAlignment="1">
      <alignment vertical="top" wrapText="1"/>
    </xf>
    <xf numFmtId="0" fontId="31" fillId="0" borderId="0" xfId="0" applyFont="1" applyAlignment="1">
      <alignment vertical="top" wrapText="1"/>
    </xf>
    <xf numFmtId="0" fontId="27" fillId="0" borderId="1" xfId="0" applyFont="1" applyBorder="1" applyAlignment="1">
      <alignment vertical="top" wrapText="1"/>
    </xf>
    <xf numFmtId="0" fontId="31" fillId="0" borderId="1" xfId="0" applyFont="1" applyBorder="1" applyAlignment="1">
      <alignment horizontal="center" vertical="center" wrapText="1"/>
    </xf>
    <xf numFmtId="0" fontId="31" fillId="2" borderId="0" xfId="0" applyFont="1" applyFill="1"/>
    <xf numFmtId="0" fontId="34" fillId="0" borderId="1" xfId="0" applyFont="1" applyBorder="1"/>
    <xf numFmtId="0" fontId="34" fillId="0" borderId="1" xfId="0" applyFont="1" applyBorder="1" applyAlignment="1">
      <alignment horizontal="center" vertical="center" wrapText="1"/>
    </xf>
    <xf numFmtId="0" fontId="28" fillId="4" borderId="0" xfId="2" applyFont="1" applyAlignment="1">
      <alignment horizontal="center" vertical="center" shrinkToFit="1"/>
    </xf>
    <xf numFmtId="0" fontId="27" fillId="2" borderId="0" xfId="0" applyFont="1" applyFill="1" applyAlignment="1">
      <alignment vertical="top"/>
    </xf>
    <xf numFmtId="0" fontId="27" fillId="2" borderId="0" xfId="0" applyFont="1" applyFill="1" applyAlignment="1">
      <alignment horizontal="center" vertical="center" wrapText="1"/>
    </xf>
    <xf numFmtId="0" fontId="27" fillId="3" borderId="0" xfId="0" applyFont="1" applyFill="1" applyAlignment="1">
      <alignment vertical="top"/>
    </xf>
    <xf numFmtId="0" fontId="27" fillId="3" borderId="0" xfId="0" applyFont="1" applyFill="1" applyAlignment="1">
      <alignment shrinkToFit="1"/>
    </xf>
    <xf numFmtId="0" fontId="27" fillId="3" borderId="0" xfId="0" applyFont="1" applyFill="1" applyAlignment="1">
      <alignment horizontal="center" vertical="center" shrinkToFit="1"/>
    </xf>
    <xf numFmtId="0" fontId="27" fillId="0" borderId="0" xfId="0" applyFont="1" applyAlignment="1">
      <alignment horizontal="center" vertical="center" shrinkToFit="1"/>
    </xf>
    <xf numFmtId="0" fontId="31" fillId="3" borderId="0" xfId="0" applyFont="1" applyFill="1" applyAlignment="1">
      <alignment vertical="top" wrapText="1"/>
    </xf>
    <xf numFmtId="0" fontId="31" fillId="3" borderId="0" xfId="0" applyFont="1" applyFill="1" applyAlignment="1">
      <alignment wrapText="1"/>
    </xf>
    <xf numFmtId="0" fontId="27" fillId="0" borderId="0" xfId="0" applyFont="1" applyAlignment="1">
      <alignment horizontal="center" vertical="center" wrapText="1"/>
    </xf>
    <xf numFmtId="0" fontId="27" fillId="3" borderId="0" xfId="0" applyFont="1" applyFill="1" applyAlignment="1">
      <alignment horizontal="center" vertical="center"/>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27" fillId="3" borderId="0" xfId="0" applyFont="1" applyFill="1" applyAlignment="1">
      <alignment horizontal="center" vertical="center" wrapText="1"/>
    </xf>
    <xf numFmtId="0" fontId="27" fillId="12" borderId="1" xfId="0" applyFont="1" applyFill="1" applyBorder="1" applyAlignment="1">
      <alignment vertical="top" wrapText="1"/>
    </xf>
    <xf numFmtId="0" fontId="30" fillId="3" borderId="0" xfId="0" applyFont="1" applyFill="1" applyAlignment="1">
      <alignment shrinkToFit="1"/>
    </xf>
    <xf numFmtId="0" fontId="30" fillId="0" borderId="0" xfId="0" applyFont="1" applyAlignment="1">
      <alignment horizontal="center" vertical="center" wrapText="1"/>
    </xf>
    <xf numFmtId="0" fontId="30" fillId="3" borderId="0" xfId="0" applyFont="1" applyFill="1" applyAlignment="1">
      <alignment horizontal="center" vertical="center"/>
    </xf>
    <xf numFmtId="0" fontId="30" fillId="0" borderId="1" xfId="0" applyFont="1" applyBorder="1" applyAlignment="1">
      <alignment horizontal="center" vertical="center" wrapText="1"/>
    </xf>
    <xf numFmtId="0" fontId="27" fillId="0" borderId="1" xfId="0" applyFont="1" applyBorder="1" applyAlignment="1">
      <alignment shrinkToFit="1"/>
    </xf>
    <xf numFmtId="0" fontId="33" fillId="0" borderId="1" xfId="0" applyFont="1" applyBorder="1" applyAlignment="1">
      <alignment vertical="top" wrapText="1"/>
    </xf>
    <xf numFmtId="0" fontId="41" fillId="0" borderId="1" xfId="0" applyFont="1" applyBorder="1" applyAlignment="1">
      <alignment wrapText="1"/>
    </xf>
    <xf numFmtId="0" fontId="41" fillId="0" borderId="0" xfId="0" applyFont="1" applyAlignment="1">
      <alignment horizontal="center" vertical="center" wrapText="1"/>
    </xf>
    <xf numFmtId="0" fontId="42" fillId="0" borderId="0" xfId="0" applyFont="1" applyAlignment="1">
      <alignment horizontal="center" vertical="center" wrapText="1"/>
    </xf>
    <xf numFmtId="0" fontId="31" fillId="2" borderId="0" xfId="0" applyFont="1" applyFill="1" applyAlignment="1">
      <alignment vertical="top" wrapText="1"/>
    </xf>
    <xf numFmtId="0" fontId="31" fillId="2" borderId="0" xfId="0" applyFont="1" applyFill="1" applyAlignment="1">
      <alignment wrapText="1"/>
    </xf>
    <xf numFmtId="0" fontId="34" fillId="2" borderId="0" xfId="0" applyFont="1" applyFill="1" applyAlignment="1">
      <alignment wrapText="1"/>
    </xf>
    <xf numFmtId="0" fontId="34" fillId="2" borderId="0" xfId="0" applyFont="1" applyFill="1" applyAlignment="1">
      <alignment vertical="top" wrapText="1"/>
    </xf>
    <xf numFmtId="0" fontId="34" fillId="2" borderId="0" xfId="0" applyFont="1" applyFill="1" applyAlignment="1">
      <alignment horizontal="center" vertical="center" wrapText="1"/>
    </xf>
    <xf numFmtId="0" fontId="34" fillId="3" borderId="0" xfId="0" applyFont="1" applyFill="1" applyAlignment="1">
      <alignment wrapText="1"/>
    </xf>
    <xf numFmtId="0" fontId="34" fillId="3" borderId="0" xfId="0" applyFont="1" applyFill="1" applyAlignment="1">
      <alignment vertical="top" wrapText="1"/>
    </xf>
    <xf numFmtId="0" fontId="34" fillId="3" borderId="0" xfId="0" applyFont="1" applyFill="1" applyAlignment="1">
      <alignment horizontal="center" vertical="center" wrapText="1"/>
    </xf>
    <xf numFmtId="0" fontId="43" fillId="0" borderId="1" xfId="0" applyFont="1" applyBorder="1" applyAlignment="1">
      <alignment horizontal="center" vertical="center" wrapText="1"/>
    </xf>
    <xf numFmtId="0" fontId="44" fillId="0" borderId="1" xfId="0" applyFont="1" applyBorder="1" applyAlignment="1">
      <alignment wrapText="1"/>
    </xf>
    <xf numFmtId="0" fontId="44" fillId="0" borderId="1" xfId="0" applyFont="1" applyBorder="1" applyAlignment="1">
      <alignment vertical="top" wrapText="1"/>
    </xf>
    <xf numFmtId="0" fontId="31" fillId="2" borderId="0" xfId="0" applyFont="1" applyFill="1" applyAlignment="1">
      <alignment horizontal="center" vertical="center" wrapText="1"/>
    </xf>
    <xf numFmtId="0" fontId="31" fillId="3" borderId="0" xfId="0" applyFont="1" applyFill="1" applyAlignment="1">
      <alignment horizontal="center" vertical="center"/>
    </xf>
    <xf numFmtId="0" fontId="45" fillId="0" borderId="0" xfId="13" applyBorder="1"/>
    <xf numFmtId="0" fontId="31" fillId="3" borderId="0" xfId="0" applyFont="1" applyFill="1" applyAlignment="1">
      <alignment vertical="top"/>
    </xf>
    <xf numFmtId="0" fontId="41" fillId="0" borderId="1" xfId="0" applyFont="1" applyBorder="1" applyAlignment="1">
      <alignment vertical="top" wrapText="1"/>
    </xf>
    <xf numFmtId="0" fontId="14" fillId="0" borderId="0" xfId="0" applyFont="1" applyAlignment="1">
      <alignment vertical="top"/>
    </xf>
    <xf numFmtId="0" fontId="28" fillId="2" borderId="0" xfId="0" applyFont="1" applyFill="1" applyAlignment="1">
      <alignment vertical="top" wrapText="1"/>
    </xf>
    <xf numFmtId="0" fontId="17" fillId="0" borderId="0" xfId="0" applyFont="1" applyAlignment="1">
      <alignment vertical="top" wrapText="1"/>
    </xf>
    <xf numFmtId="0" fontId="22" fillId="0" borderId="3" xfId="0" applyFont="1" applyBorder="1"/>
    <xf numFmtId="0" fontId="0" fillId="0" borderId="1" xfId="0" applyBorder="1" applyAlignment="1">
      <alignment vertical="top"/>
    </xf>
    <xf numFmtId="0" fontId="0" fillId="0" borderId="1" xfId="0" applyBorder="1" applyAlignment="1">
      <alignment vertical="top" wrapText="1"/>
    </xf>
    <xf numFmtId="0" fontId="0" fillId="14" borderId="1" xfId="0" applyFill="1" applyBorder="1" applyAlignment="1">
      <alignment vertical="top"/>
    </xf>
    <xf numFmtId="0" fontId="28" fillId="2" borderId="0" xfId="0" applyFont="1" applyFill="1" applyAlignment="1">
      <alignment horizontal="center" vertical="center" wrapText="1"/>
    </xf>
    <xf numFmtId="0" fontId="0" fillId="15" borderId="0" xfId="0" applyFill="1" applyAlignment="1">
      <alignment horizontal="center" vertical="center"/>
    </xf>
    <xf numFmtId="0" fontId="0" fillId="15" borderId="0" xfId="0" applyFill="1" applyAlignment="1">
      <alignment horizontal="left" vertical="center"/>
    </xf>
    <xf numFmtId="0" fontId="0" fillId="15" borderId="0" xfId="0" applyFill="1"/>
    <xf numFmtId="0" fontId="48" fillId="15" borderId="0" xfId="0" applyFont="1" applyFill="1" applyAlignment="1">
      <alignment horizontal="center" vertical="center"/>
    </xf>
    <xf numFmtId="0" fontId="44" fillId="0" borderId="1" xfId="0" applyFont="1" applyBorder="1" applyAlignment="1">
      <alignment horizontal="center" vertical="center" wrapText="1"/>
    </xf>
    <xf numFmtId="0" fontId="41" fillId="0" borderId="1" xfId="0" applyFont="1" applyBorder="1" applyAlignment="1">
      <alignment horizontal="center" vertical="center" wrapText="1"/>
    </xf>
    <xf numFmtId="0" fontId="31" fillId="3" borderId="0" xfId="0" applyFont="1" applyFill="1" applyAlignment="1">
      <alignment horizontal="center" vertical="center" wrapText="1"/>
    </xf>
    <xf numFmtId="0" fontId="27" fillId="0" borderId="1" xfId="0" applyFont="1" applyBorder="1" applyAlignment="1">
      <alignment horizontal="center" vertical="center" shrinkToFit="1"/>
    </xf>
    <xf numFmtId="0" fontId="33" fillId="0" borderId="1" xfId="0" applyFont="1" applyBorder="1" applyAlignment="1">
      <alignment horizontal="center" vertical="center" wrapText="1"/>
    </xf>
    <xf numFmtId="0" fontId="27" fillId="2" borderId="0" xfId="0" applyFont="1" applyFill="1" applyAlignment="1">
      <alignment horizontal="center" vertical="center"/>
    </xf>
    <xf numFmtId="0" fontId="30" fillId="0" borderId="1" xfId="0" applyFont="1" applyBorder="1" applyAlignment="1">
      <alignment horizontal="center" vertical="center" shrinkToFit="1"/>
    </xf>
    <xf numFmtId="0" fontId="50" fillId="0" borderId="0" xfId="0" applyFont="1"/>
    <xf numFmtId="0" fontId="51" fillId="0" borderId="0" xfId="0" applyFont="1"/>
    <xf numFmtId="0" fontId="16" fillId="0" borderId="0" xfId="0" applyFont="1"/>
    <xf numFmtId="0" fontId="51" fillId="0" borderId="0" xfId="0" applyFont="1" applyAlignment="1">
      <alignment horizontal="left" vertical="top"/>
    </xf>
    <xf numFmtId="0" fontId="22" fillId="0" borderId="12" xfId="0" applyFont="1" applyBorder="1" applyAlignment="1">
      <alignment vertical="center" wrapText="1"/>
    </xf>
    <xf numFmtId="0" fontId="22" fillId="0" borderId="13" xfId="0" applyFont="1" applyBorder="1" applyAlignment="1">
      <alignment vertical="center" wrapText="1"/>
    </xf>
    <xf numFmtId="0" fontId="54" fillId="0" borderId="0" xfId="0" applyFont="1"/>
    <xf numFmtId="0" fontId="55" fillId="0" borderId="0" xfId="0" applyFont="1"/>
    <xf numFmtId="14" fontId="0" fillId="0" borderId="1" xfId="0" applyNumberFormat="1" applyBorder="1" applyAlignment="1">
      <alignment vertical="top"/>
    </xf>
    <xf numFmtId="0" fontId="50" fillId="0" borderId="15" xfId="0" applyFont="1" applyBorder="1"/>
    <xf numFmtId="0" fontId="30" fillId="0" borderId="1" xfId="0" applyFont="1" applyBorder="1" applyAlignment="1">
      <alignment wrapText="1"/>
    </xf>
    <xf numFmtId="0" fontId="27" fillId="3" borderId="0" xfId="0" applyFont="1" applyFill="1" applyAlignment="1">
      <alignment wrapText="1" shrinkToFit="1"/>
    </xf>
    <xf numFmtId="0" fontId="27" fillId="3" borderId="0" xfId="0" applyFont="1" applyFill="1" applyAlignment="1">
      <alignment vertical="top" wrapText="1" shrinkToFit="1"/>
    </xf>
    <xf numFmtId="0" fontId="30" fillId="3" borderId="0" xfId="0" applyFont="1" applyFill="1" applyAlignment="1">
      <alignment wrapText="1" shrinkToFit="1"/>
    </xf>
    <xf numFmtId="0" fontId="30" fillId="3" borderId="0" xfId="0" applyFont="1" applyFill="1" applyAlignment="1">
      <alignment vertical="top" wrapText="1" shrinkToFit="1"/>
    </xf>
    <xf numFmtId="0" fontId="60" fillId="0" borderId="0" xfId="14" applyFont="1" applyAlignment="1">
      <alignment horizontal="left" vertical="center" wrapText="1" readingOrder="1"/>
    </xf>
    <xf numFmtId="0" fontId="59" fillId="0" borderId="0" xfId="14">
      <alignment vertical="center"/>
    </xf>
    <xf numFmtId="0" fontId="60" fillId="0" borderId="12" xfId="14" applyFont="1" applyBorder="1" applyAlignment="1">
      <alignment vertical="center" wrapText="1" readingOrder="1"/>
    </xf>
    <xf numFmtId="0" fontId="60" fillId="0" borderId="10" xfId="14" applyFont="1" applyBorder="1" applyAlignment="1">
      <alignment vertical="center" wrapText="1" readingOrder="1"/>
    </xf>
    <xf numFmtId="0" fontId="60" fillId="0" borderId="13" xfId="14" applyFont="1" applyBorder="1" applyAlignment="1">
      <alignment vertical="center" wrapText="1" readingOrder="1"/>
    </xf>
    <xf numFmtId="0" fontId="60" fillId="0" borderId="0" xfId="14" applyFont="1" applyAlignment="1">
      <alignment horizontal="left" vertical="center" indent="1" readingOrder="1"/>
    </xf>
    <xf numFmtId="0" fontId="17" fillId="17" borderId="0" xfId="0" applyFont="1" applyFill="1"/>
    <xf numFmtId="0" fontId="17" fillId="16" borderId="0" xfId="0" applyFont="1" applyFill="1"/>
    <xf numFmtId="0" fontId="34" fillId="0" borderId="1" xfId="0" applyFont="1" applyBorder="1" applyAlignment="1">
      <alignment vertical="top"/>
    </xf>
    <xf numFmtId="0" fontId="31" fillId="0" borderId="0" xfId="0" applyFont="1" applyAlignment="1">
      <alignment horizontal="center" vertical="center" shrinkToFit="1"/>
    </xf>
    <xf numFmtId="0" fontId="31" fillId="0" borderId="1" xfId="0" applyFont="1" applyBorder="1" applyAlignment="1">
      <alignment vertical="top"/>
    </xf>
    <xf numFmtId="0" fontId="34" fillId="0" borderId="0" xfId="0" applyFont="1" applyAlignment="1">
      <alignment horizontal="center" vertical="center"/>
    </xf>
    <xf numFmtId="0" fontId="34" fillId="0" borderId="0" xfId="0" applyFont="1" applyAlignment="1">
      <alignment horizontal="center" vertical="center" shrinkToFit="1"/>
    </xf>
    <xf numFmtId="0" fontId="31" fillId="0" borderId="0" xfId="0" applyFont="1" applyAlignment="1">
      <alignment horizontal="center" vertical="center"/>
    </xf>
    <xf numFmtId="0" fontId="31" fillId="0" borderId="1" xfId="0" applyFont="1" applyBorder="1" applyAlignment="1">
      <alignment horizontal="left" vertical="top" wrapText="1"/>
    </xf>
    <xf numFmtId="0" fontId="29" fillId="4" borderId="0" xfId="2" applyFont="1" applyAlignment="1">
      <alignment horizontal="center" vertical="center" wrapText="1" shrinkToFit="1"/>
    </xf>
    <xf numFmtId="0" fontId="0" fillId="0" borderId="2" xfId="0" applyBorder="1"/>
    <xf numFmtId="0" fontId="14" fillId="0" borderId="9" xfId="0" applyFont="1" applyBorder="1"/>
    <xf numFmtId="0" fontId="14" fillId="0" borderId="8" xfId="0" applyFont="1" applyBorder="1"/>
    <xf numFmtId="0" fontId="14" fillId="0" borderId="15" xfId="0" applyFont="1" applyBorder="1" applyAlignment="1">
      <alignment horizontal="right"/>
    </xf>
    <xf numFmtId="0" fontId="14" fillId="0" borderId="14" xfId="0" applyFont="1" applyBorder="1"/>
    <xf numFmtId="0" fontId="64" fillId="0" borderId="0" xfId="16" applyFont="1">
      <alignment vertical="center"/>
    </xf>
    <xf numFmtId="0" fontId="65" fillId="18" borderId="0" xfId="15" applyFont="1">
      <alignment vertical="center"/>
    </xf>
    <xf numFmtId="0" fontId="64" fillId="19" borderId="0" xfId="16" applyFont="1" applyFill="1">
      <alignment vertical="center"/>
    </xf>
    <xf numFmtId="0" fontId="64" fillId="0" borderId="2" xfId="16" applyFont="1" applyBorder="1">
      <alignment vertical="center"/>
    </xf>
    <xf numFmtId="0" fontId="64" fillId="17" borderId="0" xfId="16" applyFont="1" applyFill="1">
      <alignment vertical="center"/>
    </xf>
    <xf numFmtId="0" fontId="64" fillId="21" borderId="0" xfId="16" applyFont="1" applyFill="1">
      <alignment vertical="center"/>
    </xf>
    <xf numFmtId="0" fontId="64" fillId="0" borderId="3" xfId="16" applyFont="1" applyBorder="1">
      <alignment vertical="center"/>
    </xf>
    <xf numFmtId="0" fontId="64" fillId="0" borderId="0" xfId="16" applyFont="1" applyAlignment="1">
      <alignment horizontal="center" vertical="center"/>
    </xf>
    <xf numFmtId="0" fontId="64" fillId="0" borderId="3" xfId="16" applyFont="1" applyBorder="1" applyAlignment="1">
      <alignment horizontal="left" vertical="top"/>
    </xf>
    <xf numFmtId="0" fontId="64" fillId="0" borderId="0" xfId="16" applyFont="1" applyAlignment="1">
      <alignment vertical="center" wrapText="1"/>
    </xf>
    <xf numFmtId="0" fontId="64" fillId="0" borderId="15" xfId="16" applyFont="1" applyBorder="1">
      <alignment vertical="center"/>
    </xf>
    <xf numFmtId="0" fontId="64" fillId="0" borderId="8" xfId="16" applyFont="1" applyBorder="1">
      <alignment vertical="center"/>
    </xf>
    <xf numFmtId="0" fontId="64" fillId="0" borderId="4" xfId="16" applyFont="1" applyBorder="1" applyAlignment="1">
      <alignment horizontal="left" vertical="top"/>
    </xf>
    <xf numFmtId="0" fontId="64" fillId="0" borderId="15" xfId="16" applyFont="1" applyBorder="1" applyAlignment="1">
      <alignment vertical="center" wrapText="1"/>
    </xf>
    <xf numFmtId="0" fontId="64" fillId="0" borderId="14" xfId="16" applyFont="1" applyBorder="1">
      <alignment vertical="center"/>
    </xf>
    <xf numFmtId="0" fontId="64" fillId="20" borderId="8" xfId="16" applyFont="1" applyFill="1" applyBorder="1" applyAlignment="1">
      <alignment vertical="center" wrapText="1"/>
    </xf>
    <xf numFmtId="0" fontId="64" fillId="20" borderId="14" xfId="16" applyFont="1" applyFill="1" applyBorder="1" applyAlignment="1">
      <alignment horizontal="center" vertical="center" wrapText="1"/>
    </xf>
    <xf numFmtId="0" fontId="64" fillId="0" borderId="4" xfId="16" applyFont="1" applyBorder="1">
      <alignment vertical="center"/>
    </xf>
    <xf numFmtId="0" fontId="64" fillId="0" borderId="5" xfId="16" applyFont="1" applyBorder="1">
      <alignment vertical="center"/>
    </xf>
    <xf numFmtId="0" fontId="64" fillId="21" borderId="0" xfId="16" applyFont="1" applyFill="1" applyAlignment="1">
      <alignment horizontal="center" vertical="center" wrapText="1"/>
    </xf>
    <xf numFmtId="0" fontId="64" fillId="0" borderId="0" xfId="16" applyFont="1" applyAlignment="1">
      <alignment horizontal="center" vertical="center" wrapText="1"/>
    </xf>
    <xf numFmtId="0" fontId="64" fillId="16" borderId="0" xfId="16" applyFont="1" applyFill="1" applyAlignment="1">
      <alignment horizontal="center" vertical="center" wrapText="1"/>
    </xf>
    <xf numFmtId="0" fontId="64" fillId="0" borderId="0" xfId="16" applyFont="1" applyAlignment="1">
      <alignment horizontal="left" vertical="center"/>
    </xf>
    <xf numFmtId="0" fontId="73" fillId="0" borderId="0" xfId="16" applyFont="1" applyAlignment="1">
      <alignment horizontal="left" vertical="top" wrapText="1"/>
    </xf>
    <xf numFmtId="0" fontId="73" fillId="0" borderId="8" xfId="16" applyFont="1" applyBorder="1" applyAlignment="1">
      <alignment horizontal="left" vertical="top" wrapText="1"/>
    </xf>
    <xf numFmtId="0" fontId="64" fillId="23" borderId="8" xfId="16" applyFont="1" applyFill="1" applyBorder="1">
      <alignment vertical="center"/>
    </xf>
    <xf numFmtId="0" fontId="64" fillId="23" borderId="14" xfId="16" applyFont="1" applyFill="1" applyBorder="1">
      <alignment vertical="center"/>
    </xf>
    <xf numFmtId="0" fontId="73" fillId="0" borderId="15" xfId="16" applyFont="1" applyBorder="1" applyAlignment="1">
      <alignment horizontal="left" vertical="top" wrapText="1"/>
    </xf>
    <xf numFmtId="0" fontId="73" fillId="0" borderId="14" xfId="16" applyFont="1" applyBorder="1" applyAlignment="1">
      <alignment horizontal="left" vertical="top" wrapText="1"/>
    </xf>
    <xf numFmtId="0" fontId="1" fillId="0" borderId="0" xfId="16" applyAlignment="1"/>
    <xf numFmtId="0" fontId="16" fillId="0" borderId="0" xfId="16" applyFont="1" applyAlignment="1"/>
    <xf numFmtId="0" fontId="17" fillId="0" borderId="7" xfId="16" applyFont="1" applyBorder="1" applyAlignment="1">
      <alignment horizontal="center"/>
    </xf>
    <xf numFmtId="0" fontId="51" fillId="0" borderId="0" xfId="16" applyFont="1" applyAlignment="1">
      <alignment horizontal="left" vertical="top"/>
    </xf>
    <xf numFmtId="17" fontId="30" fillId="0" borderId="1" xfId="0" applyNumberFormat="1" applyFont="1" applyBorder="1" applyAlignment="1">
      <alignment horizontal="center" vertical="center" shrinkToFit="1"/>
    </xf>
    <xf numFmtId="14" fontId="31" fillId="0" borderId="1" xfId="0" applyNumberFormat="1" applyFont="1" applyBorder="1" applyAlignment="1">
      <alignment horizontal="center" vertical="center" wrapText="1"/>
    </xf>
    <xf numFmtId="0" fontId="27" fillId="0" borderId="5" xfId="0" applyFont="1" applyBorder="1" applyAlignment="1">
      <alignment vertical="top"/>
    </xf>
    <xf numFmtId="0" fontId="27" fillId="0" borderId="1" xfId="0" applyFont="1" applyBorder="1" applyAlignment="1">
      <alignment horizontal="left" vertical="top" wrapText="1"/>
    </xf>
    <xf numFmtId="0" fontId="27" fillId="3" borderId="0" xfId="0" applyFont="1" applyFill="1" applyAlignment="1">
      <alignment horizontal="left" vertical="top" wrapText="1"/>
    </xf>
    <xf numFmtId="0" fontId="30" fillId="2" borderId="0" xfId="0" applyFont="1" applyFill="1" applyAlignment="1">
      <alignment horizontal="left" vertical="top" wrapText="1"/>
    </xf>
    <xf numFmtId="0" fontId="30" fillId="3" borderId="0" xfId="0" applyFont="1" applyFill="1" applyAlignment="1">
      <alignment horizontal="left" vertical="top" wrapText="1"/>
    </xf>
    <xf numFmtId="0" fontId="30" fillId="0" borderId="1" xfId="0" applyFont="1" applyBorder="1" applyAlignment="1">
      <alignment horizontal="left" vertical="top" wrapText="1"/>
    </xf>
    <xf numFmtId="0" fontId="34" fillId="0" borderId="1" xfId="0" applyFont="1" applyBorder="1" applyAlignment="1">
      <alignment horizontal="left" vertical="top" wrapText="1"/>
    </xf>
    <xf numFmtId="0" fontId="27" fillId="2" borderId="0" xfId="0" applyFont="1" applyFill="1" applyAlignment="1">
      <alignment horizontal="left" vertical="top" wrapText="1"/>
    </xf>
    <xf numFmtId="0" fontId="27" fillId="3" borderId="0" xfId="0" applyFont="1" applyFill="1" applyAlignment="1">
      <alignment horizontal="left" vertical="top" wrapText="1" shrinkToFit="1"/>
    </xf>
    <xf numFmtId="0" fontId="30" fillId="3" borderId="0" xfId="0" applyFont="1" applyFill="1" applyAlignment="1">
      <alignment horizontal="left" vertical="top" wrapText="1" shrinkToFit="1"/>
    </xf>
    <xf numFmtId="0" fontId="33" fillId="0" borderId="1" xfId="0" applyFont="1" applyBorder="1" applyAlignment="1">
      <alignment horizontal="left" vertical="top" wrapText="1"/>
    </xf>
    <xf numFmtId="0" fontId="27" fillId="0" borderId="1" xfId="0" applyFont="1" applyBorder="1" applyAlignment="1">
      <alignment horizontal="left" vertical="top" wrapText="1" shrinkToFit="1"/>
    </xf>
    <xf numFmtId="0" fontId="41" fillId="0" borderId="1" xfId="0" applyFont="1" applyBorder="1" applyAlignment="1">
      <alignment horizontal="left" vertical="top" wrapText="1"/>
    </xf>
    <xf numFmtId="0" fontId="34" fillId="2" borderId="0" xfId="0" applyFont="1" applyFill="1" applyAlignment="1">
      <alignment horizontal="left" vertical="top" wrapText="1"/>
    </xf>
    <xf numFmtId="0" fontId="34" fillId="3" borderId="0" xfId="0" applyFont="1" applyFill="1" applyAlignment="1">
      <alignment horizontal="left" vertical="top" wrapText="1"/>
    </xf>
    <xf numFmtId="0" fontId="44" fillId="0" borderId="1" xfId="0" applyFont="1" applyBorder="1" applyAlignment="1">
      <alignment horizontal="left" vertical="top" wrapText="1"/>
    </xf>
    <xf numFmtId="0" fontId="31" fillId="2" borderId="0" xfId="0" applyFont="1" applyFill="1" applyAlignment="1">
      <alignment horizontal="left" vertical="top" wrapText="1"/>
    </xf>
    <xf numFmtId="0" fontId="31" fillId="3" borderId="0" xfId="0" applyFont="1" applyFill="1" applyAlignment="1">
      <alignment horizontal="left" vertical="top" wrapText="1"/>
    </xf>
    <xf numFmtId="0" fontId="14" fillId="0" borderId="0" xfId="0" applyFont="1"/>
    <xf numFmtId="14" fontId="27" fillId="0" borderId="1" xfId="0" applyNumberFormat="1" applyFont="1" applyBorder="1" applyAlignment="1">
      <alignment horizontal="center" vertical="center"/>
    </xf>
    <xf numFmtId="14" fontId="30" fillId="0" borderId="1" xfId="0" applyNumberFormat="1" applyFont="1" applyBorder="1" applyAlignment="1">
      <alignment horizontal="center" vertical="center" shrinkToFit="1"/>
    </xf>
    <xf numFmtId="14" fontId="30" fillId="0" borderId="1" xfId="0" applyNumberFormat="1" applyFont="1" applyBorder="1" applyAlignment="1">
      <alignment horizontal="center" vertical="center"/>
    </xf>
    <xf numFmtId="0" fontId="27" fillId="0" borderId="1" xfId="0" applyFont="1" applyBorder="1" applyAlignment="1">
      <alignment horizontal="center" vertical="center" wrapText="1" shrinkToFit="1"/>
    </xf>
    <xf numFmtId="0" fontId="80" fillId="0" borderId="0" xfId="0" applyFont="1"/>
    <xf numFmtId="0" fontId="22" fillId="2" borderId="5" xfId="0" applyFont="1" applyFill="1" applyBorder="1" applyAlignment="1">
      <alignment vertical="top" wrapText="1"/>
    </xf>
    <xf numFmtId="0" fontId="22" fillId="0" borderId="5" xfId="0" applyFont="1" applyBorder="1" applyAlignment="1">
      <alignment vertical="top"/>
    </xf>
    <xf numFmtId="0" fontId="22" fillId="8" borderId="2" xfId="0" applyFont="1" applyFill="1" applyBorder="1" applyAlignment="1">
      <alignment vertical="top"/>
    </xf>
    <xf numFmtId="0" fontId="53" fillId="8" borderId="4" xfId="0" applyFont="1" applyFill="1" applyBorder="1" applyAlignment="1">
      <alignment vertical="top"/>
    </xf>
    <xf numFmtId="0" fontId="22" fillId="8" borderId="5" xfId="0" applyFont="1" applyFill="1" applyBorder="1" applyAlignment="1">
      <alignment vertical="top"/>
    </xf>
    <xf numFmtId="0" fontId="83" fillId="25" borderId="24" xfId="0" applyFont="1" applyFill="1" applyBorder="1" applyAlignment="1">
      <alignment horizontal="right" wrapText="1"/>
    </xf>
    <xf numFmtId="0" fontId="53" fillId="0" borderId="25" xfId="0" applyFont="1" applyBorder="1" applyAlignment="1">
      <alignment horizontal="center" vertical="center"/>
    </xf>
    <xf numFmtId="0" fontId="53" fillId="0" borderId="26" xfId="0" applyFont="1" applyBorder="1" applyAlignment="1">
      <alignment horizontal="center" vertical="top"/>
    </xf>
    <xf numFmtId="0" fontId="53" fillId="0" borderId="24" xfId="0" applyFont="1" applyBorder="1" applyAlignment="1">
      <alignment vertical="top"/>
    </xf>
    <xf numFmtId="0" fontId="53" fillId="0" borderId="24" xfId="0" applyFont="1" applyBorder="1" applyAlignment="1">
      <alignment horizontal="center" vertical="center"/>
    </xf>
    <xf numFmtId="0" fontId="53" fillId="8" borderId="25" xfId="0" applyFont="1" applyFill="1" applyBorder="1" applyAlignment="1">
      <alignment horizontal="center" vertical="center"/>
    </xf>
    <xf numFmtId="0" fontId="53" fillId="8" borderId="26" xfId="0" applyFont="1" applyFill="1" applyBorder="1" applyAlignment="1">
      <alignment vertical="top"/>
    </xf>
    <xf numFmtId="0" fontId="53" fillId="8" borderId="24" xfId="0" applyFont="1" applyFill="1" applyBorder="1" applyAlignment="1">
      <alignment vertical="top"/>
    </xf>
    <xf numFmtId="0" fontId="53" fillId="8" borderId="24" xfId="0" applyFont="1" applyFill="1" applyBorder="1" applyAlignment="1">
      <alignment horizontal="center" vertical="center"/>
    </xf>
    <xf numFmtId="0" fontId="22" fillId="0" borderId="28" xfId="0" applyFont="1" applyBorder="1" applyAlignment="1">
      <alignment vertical="top"/>
    </xf>
    <xf numFmtId="0" fontId="22" fillId="0" borderId="27" xfId="0" applyFont="1" applyBorder="1" applyAlignment="1">
      <alignment vertical="top"/>
    </xf>
    <xf numFmtId="0" fontId="53" fillId="8" borderId="9" xfId="0" applyFont="1" applyFill="1" applyBorder="1" applyAlignment="1">
      <alignment horizontal="center" vertical="center"/>
    </xf>
    <xf numFmtId="0" fontId="53" fillId="8" borderId="14" xfId="0" applyFont="1" applyFill="1" applyBorder="1" applyAlignment="1">
      <alignment vertical="top"/>
    </xf>
    <xf numFmtId="0" fontId="53" fillId="8" borderId="7" xfId="0" applyFont="1" applyFill="1" applyBorder="1" applyAlignment="1">
      <alignment vertical="top"/>
    </xf>
    <xf numFmtId="0" fontId="53" fillId="8" borderId="7" xfId="0" applyFont="1" applyFill="1" applyBorder="1" applyAlignment="1">
      <alignment horizontal="center" vertical="center"/>
    </xf>
    <xf numFmtId="0" fontId="85" fillId="10" borderId="5" xfId="0" applyFont="1" applyFill="1" applyBorder="1" applyAlignment="1">
      <alignment vertical="top" wrapText="1"/>
    </xf>
    <xf numFmtId="0" fontId="86" fillId="8" borderId="9" xfId="0" applyFont="1" applyFill="1" applyBorder="1" applyAlignment="1">
      <alignment horizontal="center" vertical="center"/>
    </xf>
    <xf numFmtId="0" fontId="86" fillId="8" borderId="14" xfId="0" applyFont="1" applyFill="1" applyBorder="1" applyAlignment="1">
      <alignment vertical="top"/>
    </xf>
    <xf numFmtId="0" fontId="86" fillId="8" borderId="7" xfId="0" applyFont="1" applyFill="1" applyBorder="1" applyAlignment="1">
      <alignment vertical="top"/>
    </xf>
    <xf numFmtId="0" fontId="28" fillId="2" borderId="0" xfId="0" applyFont="1" applyFill="1" applyAlignment="1">
      <alignment horizontal="center" vertical="center" wrapText="1" shrinkToFit="1"/>
    </xf>
    <xf numFmtId="0" fontId="28" fillId="2" borderId="0" xfId="0" applyFont="1" applyFill="1" applyAlignment="1">
      <alignment horizontal="left" vertical="center" wrapText="1"/>
    </xf>
    <xf numFmtId="0" fontId="57" fillId="4" borderId="0" xfId="2" applyFont="1" applyAlignment="1">
      <alignment horizontal="left" vertical="center" wrapText="1"/>
    </xf>
    <xf numFmtId="0" fontId="29" fillId="4" borderId="0" xfId="2" applyFont="1" applyAlignment="1">
      <alignment horizontal="center" vertical="center"/>
    </xf>
    <xf numFmtId="0" fontId="29" fillId="4" borderId="0" xfId="2" applyFont="1" applyAlignment="1">
      <alignment horizontal="center" vertical="center" wrapText="1"/>
    </xf>
    <xf numFmtId="0" fontId="57" fillId="2" borderId="0" xfId="0" applyFont="1" applyFill="1" applyAlignment="1">
      <alignment horizontal="left" vertical="center"/>
    </xf>
    <xf numFmtId="49" fontId="28" fillId="2" borderId="0" xfId="0" applyNumberFormat="1" applyFont="1" applyFill="1" applyAlignment="1">
      <alignment horizontal="center" vertical="center"/>
    </xf>
    <xf numFmtId="0" fontId="57" fillId="2" borderId="0" xfId="0" applyFont="1" applyFill="1" applyAlignment="1">
      <alignment horizontal="left" vertical="center" wrapText="1"/>
    </xf>
    <xf numFmtId="0" fontId="0" fillId="0" borderId="0" xfId="0" applyFill="1"/>
    <xf numFmtId="0" fontId="0" fillId="0" borderId="8" xfId="0" applyFill="1" applyBorder="1"/>
    <xf numFmtId="0" fontId="14" fillId="0" borderId="0" xfId="0" applyFont="1" applyFill="1" applyBorder="1" applyAlignment="1">
      <alignment horizontal="right"/>
    </xf>
    <xf numFmtId="0" fontId="0" fillId="0" borderId="0" xfId="0" applyBorder="1"/>
    <xf numFmtId="0" fontId="14" fillId="0" borderId="0" xfId="0" applyFont="1" applyBorder="1" applyAlignment="1">
      <alignment horizontal="right"/>
    </xf>
    <xf numFmtId="0" fontId="14" fillId="0" borderId="15" xfId="0" applyFont="1" applyFill="1" applyBorder="1" applyAlignment="1">
      <alignment horizontal="right"/>
    </xf>
    <xf numFmtId="0" fontId="0" fillId="0" borderId="14" xfId="0" applyFill="1" applyBorder="1"/>
    <xf numFmtId="0" fontId="27" fillId="0" borderId="1" xfId="0" applyFont="1" applyFill="1" applyBorder="1" applyAlignment="1">
      <alignment vertical="top"/>
    </xf>
    <xf numFmtId="0" fontId="41" fillId="0" borderId="1" xfId="0" applyFont="1" applyFill="1" applyBorder="1" applyAlignment="1">
      <alignment wrapText="1"/>
    </xf>
    <xf numFmtId="0" fontId="27" fillId="0" borderId="1" xfId="0" applyFont="1" applyFill="1" applyBorder="1" applyAlignment="1">
      <alignment wrapText="1"/>
    </xf>
    <xf numFmtId="0" fontId="27" fillId="0" borderId="1" xfId="0" applyFont="1" applyFill="1" applyBorder="1" applyAlignment="1">
      <alignment horizontal="center" vertical="center" wrapText="1"/>
    </xf>
    <xf numFmtId="0" fontId="27" fillId="0" borderId="1" xfId="0" applyFont="1" applyFill="1" applyBorder="1" applyAlignment="1">
      <alignment horizontal="left" vertical="top" wrapText="1"/>
    </xf>
    <xf numFmtId="0" fontId="34" fillId="0" borderId="1" xfId="0" applyFont="1" applyFill="1" applyBorder="1" applyAlignment="1">
      <alignment horizontal="center" vertical="center" wrapText="1"/>
    </xf>
    <xf numFmtId="0" fontId="27" fillId="0" borderId="0" xfId="0" applyFont="1" applyFill="1" applyAlignment="1">
      <alignment horizontal="center" vertical="center" wrapText="1"/>
    </xf>
    <xf numFmtId="0" fontId="88" fillId="4" borderId="0" xfId="2" applyFont="1" applyAlignment="1">
      <alignment horizontal="center" vertical="center" wrapText="1" shrinkToFit="1"/>
    </xf>
    <xf numFmtId="0" fontId="73" fillId="0" borderId="4" xfId="16" applyFont="1" applyBorder="1" applyAlignment="1">
      <alignment horizontal="left" vertical="top" wrapText="1"/>
    </xf>
    <xf numFmtId="0" fontId="73" fillId="0" borderId="11" xfId="16" applyFont="1" applyBorder="1" applyAlignment="1">
      <alignment vertical="center" wrapText="1"/>
    </xf>
    <xf numFmtId="0" fontId="31" fillId="0" borderId="13" xfId="0" applyFont="1" applyBorder="1" applyAlignment="1">
      <alignment vertical="top" wrapText="1"/>
    </xf>
    <xf numFmtId="0" fontId="31" fillId="0" borderId="12" xfId="0" applyFont="1" applyBorder="1" applyAlignment="1">
      <alignment vertical="top" wrapText="1"/>
    </xf>
    <xf numFmtId="0" fontId="31" fillId="0" borderId="1" xfId="0" applyFont="1" applyFill="1" applyBorder="1" applyAlignment="1">
      <alignment vertical="top" wrapText="1"/>
    </xf>
    <xf numFmtId="0" fontId="70" fillId="0" borderId="11" xfId="16" applyFont="1" applyBorder="1" applyAlignment="1">
      <alignment vertical="center"/>
    </xf>
    <xf numFmtId="0" fontId="14" fillId="0" borderId="0" xfId="0" applyFont="1" applyFill="1"/>
    <xf numFmtId="0" fontId="60" fillId="0" borderId="1" xfId="14" applyFont="1" applyBorder="1" applyAlignment="1">
      <alignment horizontal="left" vertical="center" wrapText="1" readingOrder="1"/>
    </xf>
    <xf numFmtId="14" fontId="27" fillId="0" borderId="1" xfId="0" applyNumberFormat="1" applyFont="1" applyBorder="1" applyAlignment="1">
      <alignment horizontal="center" vertical="center" wrapText="1"/>
    </xf>
    <xf numFmtId="0" fontId="50" fillId="0" borderId="4" xfId="0" applyFont="1" applyBorder="1" applyAlignment="1">
      <alignment horizontal="center" vertical="top"/>
    </xf>
    <xf numFmtId="0" fontId="50" fillId="0" borderId="15" xfId="0" applyFont="1" applyBorder="1" applyAlignment="1">
      <alignment horizontal="center" vertical="top"/>
    </xf>
    <xf numFmtId="0" fontId="0" fillId="0" borderId="2" xfId="0" applyBorder="1" applyAlignment="1">
      <alignment horizontal="left" vertical="top"/>
    </xf>
    <xf numFmtId="0" fontId="0" fillId="0" borderId="11" xfId="0" applyBorder="1" applyAlignment="1">
      <alignment horizontal="left" vertical="top"/>
    </xf>
    <xf numFmtId="0" fontId="0" fillId="0" borderId="9" xfId="0" applyBorder="1" applyAlignment="1">
      <alignment horizontal="left" vertical="top"/>
    </xf>
    <xf numFmtId="0" fontId="0" fillId="0" borderId="4" xfId="0" applyBorder="1" applyAlignment="1">
      <alignment horizontal="left" vertical="top"/>
    </xf>
    <xf numFmtId="0" fontId="0" fillId="0" borderId="15" xfId="0" applyBorder="1" applyAlignment="1">
      <alignment horizontal="left" vertical="top"/>
    </xf>
    <xf numFmtId="0" fontId="0" fillId="0" borderId="14" xfId="0" applyBorder="1" applyAlignment="1">
      <alignment horizontal="left" vertical="top"/>
    </xf>
    <xf numFmtId="0" fontId="0" fillId="0" borderId="5" xfId="0" applyBorder="1" applyAlignment="1">
      <alignment horizontal="left"/>
    </xf>
    <xf numFmtId="0" fontId="0" fillId="0" borderId="6" xfId="0" applyBorder="1" applyAlignment="1">
      <alignment horizontal="left"/>
    </xf>
    <xf numFmtId="0" fontId="0" fillId="0" borderId="7" xfId="0" applyBorder="1" applyAlignment="1">
      <alignment horizontal="left"/>
    </xf>
    <xf numFmtId="0" fontId="0" fillId="12" borderId="0" xfId="0" applyFill="1" applyAlignment="1">
      <alignment horizontal="center"/>
    </xf>
    <xf numFmtId="0" fontId="71" fillId="0" borderId="0" xfId="16" applyFont="1" applyAlignment="1">
      <alignment horizontal="left" vertical="center" wrapText="1"/>
    </xf>
    <xf numFmtId="0" fontId="71" fillId="0" borderId="8" xfId="16" applyFont="1" applyBorder="1" applyAlignment="1">
      <alignment horizontal="left" vertical="center" wrapText="1"/>
    </xf>
    <xf numFmtId="0" fontId="71" fillId="0" borderId="3" xfId="16" applyFont="1" applyBorder="1" applyAlignment="1">
      <alignment horizontal="left" vertical="center" wrapText="1"/>
    </xf>
    <xf numFmtId="0" fontId="71" fillId="0" borderId="6" xfId="16" applyFont="1" applyBorder="1" applyAlignment="1">
      <alignment horizontal="left" vertical="center" wrapText="1"/>
    </xf>
    <xf numFmtId="0" fontId="71" fillId="0" borderId="7" xfId="16" applyFont="1" applyBorder="1" applyAlignment="1">
      <alignment horizontal="left" vertical="center" wrapText="1"/>
    </xf>
    <xf numFmtId="0" fontId="67" fillId="20" borderId="2" xfId="16" applyFont="1" applyFill="1" applyBorder="1" applyAlignment="1">
      <alignment horizontal="center" vertical="top" wrapText="1"/>
    </xf>
    <xf numFmtId="0" fontId="67" fillId="20" borderId="11" xfId="16" applyFont="1" applyFill="1" applyBorder="1" applyAlignment="1">
      <alignment horizontal="center" vertical="top" wrapText="1"/>
    </xf>
    <xf numFmtId="0" fontId="67" fillId="20" borderId="9" xfId="16" applyFont="1" applyFill="1" applyBorder="1" applyAlignment="1">
      <alignment horizontal="center" vertical="top" wrapText="1"/>
    </xf>
    <xf numFmtId="0" fontId="67" fillId="20" borderId="3" xfId="16" applyFont="1" applyFill="1" applyBorder="1" applyAlignment="1">
      <alignment horizontal="center" vertical="top" wrapText="1"/>
    </xf>
    <xf numFmtId="0" fontId="67" fillId="20" borderId="0" xfId="16" applyFont="1" applyFill="1" applyAlignment="1">
      <alignment horizontal="center" vertical="top" wrapText="1"/>
    </xf>
    <xf numFmtId="0" fontId="67" fillId="20" borderId="8" xfId="16" applyFont="1" applyFill="1" applyBorder="1" applyAlignment="1">
      <alignment horizontal="center" vertical="top" wrapText="1"/>
    </xf>
    <xf numFmtId="0" fontId="64" fillId="0" borderId="11" xfId="16" applyFont="1" applyBorder="1" applyAlignment="1">
      <alignment horizontal="left" vertical="center"/>
    </xf>
    <xf numFmtId="0" fontId="64" fillId="0" borderId="9" xfId="16" applyFont="1" applyBorder="1" applyAlignment="1">
      <alignment horizontal="left" vertical="center"/>
    </xf>
    <xf numFmtId="0" fontId="64" fillId="0" borderId="0" xfId="16" applyFont="1" applyAlignment="1">
      <alignment horizontal="left" vertical="center"/>
    </xf>
    <xf numFmtId="0" fontId="64" fillId="0" borderId="8" xfId="16" applyFont="1" applyBorder="1" applyAlignment="1">
      <alignment horizontal="left" vertical="center"/>
    </xf>
    <xf numFmtId="0" fontId="64" fillId="0" borderId="2" xfId="16" applyFont="1" applyBorder="1" applyAlignment="1">
      <alignment horizontal="left" vertical="center"/>
    </xf>
    <xf numFmtId="0" fontId="64" fillId="0" borderId="0" xfId="16" applyFont="1" applyAlignment="1">
      <alignment horizontal="left" vertical="center" wrapText="1"/>
    </xf>
    <xf numFmtId="0" fontId="64" fillId="0" borderId="8" xfId="16" applyFont="1" applyBorder="1" applyAlignment="1">
      <alignment horizontal="left" vertical="center" wrapText="1"/>
    </xf>
    <xf numFmtId="0" fontId="64" fillId="0" borderId="15" xfId="16" applyFont="1" applyBorder="1" applyAlignment="1">
      <alignment horizontal="left" vertical="center"/>
    </xf>
    <xf numFmtId="0" fontId="64" fillId="0" borderId="14" xfId="16" applyFont="1" applyBorder="1" applyAlignment="1">
      <alignment horizontal="left" vertical="center"/>
    </xf>
    <xf numFmtId="0" fontId="64" fillId="0" borderId="3" xfId="16" applyFont="1" applyBorder="1" applyAlignment="1">
      <alignment horizontal="left" vertical="center"/>
    </xf>
    <xf numFmtId="0" fontId="68" fillId="14" borderId="16" xfId="16" applyFont="1" applyFill="1" applyBorder="1" applyAlignment="1">
      <alignment horizontal="center" vertical="center" wrapText="1"/>
    </xf>
    <xf numFmtId="0" fontId="68" fillId="14" borderId="17" xfId="16" applyFont="1" applyFill="1" applyBorder="1" applyAlignment="1">
      <alignment horizontal="center" vertical="center"/>
    </xf>
    <xf numFmtId="0" fontId="68" fillId="14" borderId="20" xfId="16" applyFont="1" applyFill="1" applyBorder="1" applyAlignment="1">
      <alignment horizontal="center" vertical="center"/>
    </xf>
    <xf numFmtId="0" fontId="68" fillId="14" borderId="21" xfId="16" applyFont="1" applyFill="1" applyBorder="1" applyAlignment="1">
      <alignment horizontal="center" vertical="center"/>
    </xf>
    <xf numFmtId="0" fontId="69" fillId="0" borderId="18" xfId="16" applyFont="1" applyBorder="1" applyAlignment="1">
      <alignment horizontal="center" vertical="center"/>
    </xf>
    <xf numFmtId="0" fontId="69" fillId="0" borderId="19" xfId="16" applyFont="1" applyBorder="1" applyAlignment="1">
      <alignment horizontal="center" vertical="center"/>
    </xf>
    <xf numFmtId="0" fontId="69" fillId="0" borderId="22" xfId="16" applyFont="1" applyBorder="1" applyAlignment="1">
      <alignment horizontal="center" vertical="center"/>
    </xf>
    <xf numFmtId="0" fontId="69" fillId="0" borderId="23" xfId="16" applyFont="1" applyBorder="1" applyAlignment="1">
      <alignment horizontal="center" vertical="center"/>
    </xf>
    <xf numFmtId="0" fontId="74" fillId="0" borderId="15" xfId="16" applyFont="1" applyBorder="1" applyAlignment="1">
      <alignment horizontal="left" vertical="center" wrapText="1"/>
    </xf>
    <xf numFmtId="0" fontId="68" fillId="22" borderId="16" xfId="16" applyFont="1" applyFill="1" applyBorder="1" applyAlignment="1">
      <alignment horizontal="center" vertical="center" wrapText="1"/>
    </xf>
    <xf numFmtId="0" fontId="68" fillId="22" borderId="17" xfId="16" applyFont="1" applyFill="1" applyBorder="1" applyAlignment="1">
      <alignment horizontal="center" vertical="center" wrapText="1"/>
    </xf>
    <xf numFmtId="0" fontId="68" fillId="22" borderId="20" xfId="16" applyFont="1" applyFill="1" applyBorder="1" applyAlignment="1">
      <alignment horizontal="center" vertical="center" wrapText="1"/>
    </xf>
    <xf numFmtId="0" fontId="68" fillId="22" borderId="21" xfId="16" applyFont="1" applyFill="1" applyBorder="1" applyAlignment="1">
      <alignment horizontal="center" vertical="center" wrapText="1"/>
    </xf>
    <xf numFmtId="0" fontId="69" fillId="0" borderId="18" xfId="16" applyFont="1" applyBorder="1" applyAlignment="1">
      <alignment horizontal="center" vertical="center" wrapText="1"/>
    </xf>
    <xf numFmtId="0" fontId="69" fillId="0" borderId="19" xfId="16" applyFont="1" applyBorder="1" applyAlignment="1">
      <alignment horizontal="center" vertical="center" wrapText="1"/>
    </xf>
    <xf numFmtId="0" fontId="69" fillId="0" borderId="22" xfId="16" applyFont="1" applyBorder="1" applyAlignment="1">
      <alignment horizontal="center" vertical="center" wrapText="1"/>
    </xf>
    <xf numFmtId="0" fontId="69" fillId="0" borderId="23" xfId="16" applyFont="1" applyBorder="1" applyAlignment="1">
      <alignment horizontal="center" vertical="center" wrapText="1"/>
    </xf>
    <xf numFmtId="0" fontId="70" fillId="0" borderId="0" xfId="16" applyFont="1" applyAlignment="1">
      <alignment horizontal="left" vertical="top" wrapText="1"/>
    </xf>
    <xf numFmtId="0" fontId="67" fillId="23" borderId="2" xfId="16" applyFont="1" applyFill="1" applyBorder="1" applyAlignment="1">
      <alignment horizontal="center" vertical="top" wrapText="1"/>
    </xf>
    <xf numFmtId="0" fontId="67" fillId="23" borderId="11" xfId="16" applyFont="1" applyFill="1" applyBorder="1" applyAlignment="1">
      <alignment horizontal="center" vertical="top"/>
    </xf>
    <xf numFmtId="0" fontId="67" fillId="23" borderId="9" xfId="16" applyFont="1" applyFill="1" applyBorder="1" applyAlignment="1">
      <alignment horizontal="center" vertical="top"/>
    </xf>
    <xf numFmtId="0" fontId="67" fillId="23" borderId="3" xfId="16" applyFont="1" applyFill="1" applyBorder="1" applyAlignment="1">
      <alignment horizontal="center" vertical="top"/>
    </xf>
    <xf numFmtId="0" fontId="67" fillId="23" borderId="0" xfId="16" applyFont="1" applyFill="1" applyAlignment="1">
      <alignment horizontal="center" vertical="top"/>
    </xf>
    <xf numFmtId="0" fontId="67" fillId="23" borderId="8" xfId="16" applyFont="1" applyFill="1" applyBorder="1" applyAlignment="1">
      <alignment horizontal="center" vertical="top"/>
    </xf>
    <xf numFmtId="0" fontId="72" fillId="24" borderId="11" xfId="16" applyFont="1" applyFill="1" applyBorder="1" applyAlignment="1">
      <alignment horizontal="left" vertical="center" wrapText="1"/>
    </xf>
    <xf numFmtId="0" fontId="72" fillId="24" borderId="9" xfId="16" applyFont="1" applyFill="1" applyBorder="1" applyAlignment="1">
      <alignment horizontal="left" vertical="center" wrapText="1"/>
    </xf>
    <xf numFmtId="0" fontId="72" fillId="24" borderId="0" xfId="16" applyFont="1" applyFill="1" applyAlignment="1">
      <alignment horizontal="left" vertical="center" wrapText="1"/>
    </xf>
    <xf numFmtId="0" fontId="72" fillId="24" borderId="8" xfId="16" applyFont="1" applyFill="1" applyBorder="1" applyAlignment="1">
      <alignment horizontal="left" vertical="center" wrapText="1"/>
    </xf>
    <xf numFmtId="0" fontId="74" fillId="0" borderId="0" xfId="16" applyFont="1" applyAlignment="1">
      <alignment horizontal="left" vertical="center" wrapText="1"/>
    </xf>
    <xf numFmtId="0" fontId="89" fillId="24" borderId="4" xfId="16" applyFont="1" applyFill="1" applyBorder="1" applyAlignment="1">
      <alignment horizontal="left" vertical="center" wrapText="1"/>
    </xf>
    <xf numFmtId="0" fontId="89" fillId="24" borderId="15" xfId="16" applyFont="1" applyFill="1" applyBorder="1" applyAlignment="1">
      <alignment horizontal="left" vertical="center" wrapText="1"/>
    </xf>
    <xf numFmtId="0" fontId="89" fillId="24" borderId="14" xfId="16" applyFont="1" applyFill="1" applyBorder="1" applyAlignment="1">
      <alignment horizontal="left" vertical="center" wrapText="1"/>
    </xf>
    <xf numFmtId="0" fontId="87" fillId="0" borderId="0" xfId="0" applyFont="1" applyAlignment="1">
      <alignment horizontal="center" vertical="center"/>
    </xf>
  </cellXfs>
  <cellStyles count="17">
    <cellStyle name="アクセント 1" xfId="2" builtinId="29"/>
    <cellStyle name="どちらでもない" xfId="15" builtinId="28"/>
    <cellStyle name="ハイパーリンク" xfId="13" builtinId="8"/>
    <cellStyle name="標準" xfId="0" builtinId="0"/>
    <cellStyle name="標準 2" xfId="3" xr:uid="{00000000-0005-0000-0000-000004000000}"/>
    <cellStyle name="標準 2 2" xfId="4" xr:uid="{00000000-0005-0000-0000-000005000000}"/>
    <cellStyle name="標準 3" xfId="1" xr:uid="{00000000-0005-0000-0000-000006000000}"/>
    <cellStyle name="標準 4" xfId="7" xr:uid="{00000000-0005-0000-0000-000007000000}"/>
    <cellStyle name="標準 4 2" xfId="11" xr:uid="{00000000-0005-0000-0000-000008000000}"/>
    <cellStyle name="標準 5" xfId="8" xr:uid="{00000000-0005-0000-0000-000009000000}"/>
    <cellStyle name="標準 5 2" xfId="12" xr:uid="{00000000-0005-0000-0000-00000A000000}"/>
    <cellStyle name="標準 6" xfId="5" xr:uid="{00000000-0005-0000-0000-00000B000000}"/>
    <cellStyle name="標準 6 2" xfId="6" xr:uid="{00000000-0005-0000-0000-00000C000000}"/>
    <cellStyle name="標準 6 2 2" xfId="10" xr:uid="{00000000-0005-0000-0000-00000D000000}"/>
    <cellStyle name="標準 6 3" xfId="9" xr:uid="{00000000-0005-0000-0000-00000E000000}"/>
    <cellStyle name="標準 7" xfId="14" xr:uid="{00000000-0005-0000-0000-00000F000000}"/>
    <cellStyle name="標準 8" xfId="16" xr:uid="{00000000-0005-0000-0000-000010000000}"/>
  </cellStyles>
  <dxfs count="275">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solid">
          <bgColor theme="0" tint="-0.499984740745262"/>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solid">
          <bgColor theme="0" tint="-0.499984740745262"/>
        </patternFill>
      </fill>
    </dxf>
    <dxf>
      <fill>
        <patternFill patternType="solid">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bgColor theme="0" tint="-0.499984740745262"/>
        </patternFill>
      </fill>
    </dxf>
    <dxf>
      <fill>
        <patternFill>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bgColor theme="0" tint="-0.499984740745262"/>
        </patternFill>
      </fill>
    </dxf>
    <dxf>
      <fill>
        <patternFill>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fgColor auto="1"/>
          <bgColor theme="0" tint="-0.499984740745262"/>
        </patternFill>
      </fill>
    </dxf>
    <dxf>
      <fill>
        <patternFill patternType="solid">
          <fgColor auto="1"/>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fgColor auto="1"/>
          <bgColor theme="0" tint="-0.499984740745262"/>
        </patternFill>
      </fill>
    </dxf>
    <dxf>
      <fill>
        <patternFill patternType="solid">
          <fgColor auto="1"/>
          <bgColor theme="0" tint="-0.499984740745262"/>
        </patternFill>
      </fill>
    </dxf>
    <dxf>
      <fill>
        <patternFill patternType="solid">
          <fgColor auto="1"/>
          <bgColor theme="0" tint="-0.499984740745262"/>
        </patternFill>
      </fill>
    </dxf>
    <dxf>
      <fill>
        <patternFill patternType="solid">
          <fgColor auto="1"/>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patternType="solid">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0" tint="-0.499984740745262"/>
        </patternFill>
      </fill>
    </dxf>
    <dxf>
      <font>
        <color auto="1"/>
      </font>
      <fill>
        <patternFill>
          <fgColor auto="1"/>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fgColor auto="1"/>
          <bgColor theme="0" tint="-0.499984740745262"/>
        </patternFill>
      </fill>
    </dxf>
    <dxf>
      <fill>
        <patternFill patternType="solid">
          <fgColor auto="1"/>
          <bgColor theme="0" tint="-0.499984740745262"/>
        </patternFill>
      </fill>
    </dxf>
    <dxf>
      <fill>
        <patternFill patternType="solid">
          <fgColor auto="1"/>
          <bgColor theme="0" tint="-0.499984740745262"/>
        </patternFill>
      </fill>
    </dxf>
    <dxf>
      <fill>
        <patternFill patternType="solid">
          <fgColor auto="1"/>
          <bgColor theme="0" tint="-0.499984740745262"/>
        </patternFill>
      </fill>
    </dxf>
    <dxf>
      <fill>
        <patternFill patternType="solid">
          <fgColor auto="1"/>
          <bgColor theme="0" tint="-0.499984740745262"/>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solid">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patternType="solid">
          <bgColor theme="0" tint="-0.499984740745262"/>
        </patternFill>
      </fill>
    </dxf>
    <dxf>
      <fill>
        <patternFill patternType="solid">
          <bgColor theme="0" tint="-0.49998474074526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4"/>
        </patternFill>
      </fill>
    </dxf>
    <dxf>
      <fill>
        <patternFill>
          <bgColor theme="9"/>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0" tint="-0.24994659260841701"/>
        </patternFill>
      </fill>
    </dxf>
    <dxf>
      <font>
        <b/>
        <i val="0"/>
      </font>
      <fill>
        <patternFill>
          <bgColor theme="5"/>
        </patternFill>
      </fill>
    </dxf>
    <dxf>
      <font>
        <color auto="1"/>
      </font>
      <fill>
        <patternFill>
          <bgColor theme="0" tint="-0.14996795556505021"/>
        </patternFill>
      </fill>
    </dxf>
    <dxf>
      <font>
        <color auto="1"/>
      </font>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patternFill>
      </fill>
    </dxf>
    <dxf>
      <font>
        <strike val="0"/>
      </font>
      <fill>
        <patternFill>
          <bgColor theme="5"/>
        </patternFill>
      </fill>
    </dxf>
    <dxf>
      <fill>
        <patternFill>
          <bgColor theme="5" tint="0.79998168889431442"/>
        </patternFill>
      </fill>
    </dxf>
    <dxf>
      <font>
        <strike val="0"/>
      </font>
      <fill>
        <patternFill>
          <bgColor theme="5"/>
        </patternFill>
      </fill>
    </dxf>
    <dxf>
      <font>
        <strike val="0"/>
      </font>
      <fill>
        <patternFill>
          <bgColor theme="5"/>
        </patternFill>
      </fill>
    </dxf>
    <dxf>
      <font>
        <strike val="0"/>
      </font>
      <fill>
        <patternFill>
          <bgColor theme="5"/>
        </patternFill>
      </fill>
    </dxf>
    <dxf>
      <font>
        <strike val="0"/>
      </font>
      <fill>
        <patternFill>
          <bgColor theme="5"/>
        </patternFill>
      </fill>
    </dxf>
    <dxf>
      <font>
        <strike val="0"/>
      </font>
      <fill>
        <patternFill>
          <bgColor theme="5"/>
        </patternFill>
      </fill>
    </dxf>
    <dxf>
      <font>
        <strike val="0"/>
      </font>
      <fill>
        <patternFill>
          <bgColor theme="5"/>
        </patternFill>
      </fill>
    </dxf>
    <dxf>
      <font>
        <strike val="0"/>
      </font>
      <fill>
        <patternFill>
          <bgColor theme="5"/>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CheckBox" fmlaLink="AL75" lockText="1" noThreeD="1"/>
</file>

<file path=xl/ctrlProps/ctrlProp2.xml><?xml version="1.0" encoding="utf-8"?>
<formControlPr xmlns="http://schemas.microsoft.com/office/spreadsheetml/2009/9/main" objectType="CheckBox" fmlaLink="$AM$76" lockText="1" noThreeD="1"/>
</file>

<file path=xl/ctrlProps/ctrlProp3.xml><?xml version="1.0" encoding="utf-8"?>
<formControlPr xmlns="http://schemas.microsoft.com/office/spreadsheetml/2009/9/main" objectType="CheckBox" fmlaLink="$AM$109" lockText="1" noThreeD="1"/>
</file>

<file path=xl/ctrlProps/ctrlProp4.xml><?xml version="1.0" encoding="utf-8"?>
<formControlPr xmlns="http://schemas.microsoft.com/office/spreadsheetml/2009/9/main" objectType="CheckBox" fmlaLink="$AM$86" lockText="1" noThreeD="1"/>
</file>

<file path=xl/ctrlProps/ctrlProp5.xml><?xml version="1.0" encoding="utf-8"?>
<formControlPr xmlns="http://schemas.microsoft.com/office/spreadsheetml/2009/9/main" objectType="CheckBox" fmlaLink="$AM$87" lockText="1" noThreeD="1"/>
</file>

<file path=xl/ctrlProps/ctrlProp6.xml><?xml version="1.0" encoding="utf-8"?>
<formControlPr xmlns="http://schemas.microsoft.com/office/spreadsheetml/2009/9/main" objectType="CheckBox" fmlaLink="$AM$88" lockText="1" noThreeD="1"/>
</file>

<file path=xl/ctrlProps/ctrlProp7.xml><?xml version="1.0" encoding="utf-8"?>
<formControlPr xmlns="http://schemas.microsoft.com/office/spreadsheetml/2009/9/main" objectType="CheckBox" fmlaLink="$AM$110"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fmlaLink="$AM$117" lockText="1" noThreeD="1"/>
</file>

<file path=xl/ctrlProps/ctrlProp10.xml><?xml version="1.0" encoding="utf-8"?>
<formControlPr xmlns="http://schemas.microsoft.com/office/spreadsheetml/2009/9/main" objectType="CheckBox" fmlaLink="$AM$116"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L$36"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firstButton="1" fmlaLink="$AL$4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firstButton="1" fmlaLink="$AL$46"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firstButton="1" fmlaLink="$AL$61"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firstButton="1" fmlaLink="$AL$92" lockText="1" noThreeD="1"/>
</file>

<file path=xl/ctrlProps/ctrlProp23.xml><?xml version="1.0" encoding="utf-8"?>
<formControlPr xmlns="http://schemas.microsoft.com/office/spreadsheetml/2009/9/main" objectType="CheckBox" fmlaLink="$AL$112" lockText="1" noThreeD="1"/>
</file>

<file path=xl/ctrlProps/ctrlProp24.xml><?xml version="1.0" encoding="utf-8"?>
<formControlPr xmlns="http://schemas.microsoft.com/office/spreadsheetml/2009/9/main" objectType="CheckBox" fmlaLink="$AL$113" lockText="1" noThreeD="1"/>
</file>

<file path=xl/ctrlProps/ctrlProp25.xml><?xml version="1.0" encoding="utf-8"?>
<formControlPr xmlns="http://schemas.microsoft.com/office/spreadsheetml/2009/9/main" objectType="CheckBox" fmlaLink="$AL$114" lockText="1" noThreeD="1"/>
</file>

<file path=xl/ctrlProps/ctrlProp26.xml><?xml version="1.0" encoding="utf-8"?>
<formControlPr xmlns="http://schemas.microsoft.com/office/spreadsheetml/2009/9/main" objectType="CheckBox" fmlaLink="$AL$89" lockText="1" noThreeD="1"/>
</file>

<file path=xl/ctrlProps/ctrlProp27.xml><?xml version="1.0" encoding="utf-8"?>
<formControlPr xmlns="http://schemas.microsoft.com/office/spreadsheetml/2009/9/main" objectType="CheckBox" fmlaLink="$AM$67" lockText="1" noThreeD="1"/>
</file>

<file path=xl/ctrlProps/ctrlProp28.xml><?xml version="1.0" encoding="utf-8"?>
<formControlPr xmlns="http://schemas.microsoft.com/office/spreadsheetml/2009/9/main" objectType="CheckBox" fmlaLink="$AM$68" lockText="1" noThreeD="1"/>
</file>

<file path=xl/ctrlProps/ctrlProp29.xml><?xml version="1.0" encoding="utf-8"?>
<formControlPr xmlns="http://schemas.microsoft.com/office/spreadsheetml/2009/9/main" objectType="CheckBox" fmlaLink="$AM$75"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firstButton="1" fmlaLink="$AL$98"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CheckBox" fmlaLink="$AL$69"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firstButton="1" fmlaLink="$AL$20"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firstButton="1" fmlaLink="$AL$25"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CheckBox" fmlaLink="$AL$90" lockText="1" noThreeD="1"/>
</file>

<file path=xl/ctrlProps/ctrlProp47.xml><?xml version="1.0" encoding="utf-8"?>
<formControlPr xmlns="http://schemas.microsoft.com/office/spreadsheetml/2009/9/main" objectType="CheckBox" fmlaLink="$AL$118" lockText="1" noThreeD="1"/>
</file>

<file path=xl/ctrlProps/ctrlProp48.xml><?xml version="1.0" encoding="utf-8"?>
<formControlPr xmlns="http://schemas.microsoft.com/office/spreadsheetml/2009/9/main" objectType="Radio" firstButton="1" fmlaLink="$AL$31" lockText="1" noThreeD="1"/>
</file>

<file path=xl/ctrlProps/ctrlProp49.xml><?xml version="1.0" encoding="utf-8"?>
<formControlPr xmlns="http://schemas.microsoft.com/office/spreadsheetml/2009/9/main" objectType="Radio" firstButton="1" fmlaLink="$AL$54"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CheckBox" fmlaLink="$AL$34" lockText="1"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CheckBox" fmlaLink="$AM$94" lockText="1" noThreeD="1"/>
</file>

<file path=xl/ctrlProps/ctrlProp61.xml><?xml version="1.0" encoding="utf-8"?>
<formControlPr xmlns="http://schemas.microsoft.com/office/spreadsheetml/2009/9/main" objectType="CheckBox" fmlaLink="$AL$115" lockText="1" noThreeD="1"/>
</file>

<file path=xl/ctrlProps/ctrlProp62.xml><?xml version="1.0" encoding="utf-8"?>
<formControlPr xmlns="http://schemas.microsoft.com/office/spreadsheetml/2009/9/main" objectType="CheckBox" fmlaLink="$AL$101" lockText="1" noThreeD="1"/>
</file>

<file path=xl/ctrlProps/ctrlProp63.xml><?xml version="1.0" encoding="utf-8"?>
<formControlPr xmlns="http://schemas.microsoft.com/office/spreadsheetml/2009/9/main" objectType="CheckBox" fmlaLink="$AL$102" lockText="1" noThreeD="1"/>
</file>

<file path=xl/ctrlProps/ctrlProp64.xml><?xml version="1.0" encoding="utf-8"?>
<formControlPr xmlns="http://schemas.microsoft.com/office/spreadsheetml/2009/9/main" objectType="CheckBox" fmlaLink="$AL$103" lockText="1" noThreeD="1"/>
</file>

<file path=xl/ctrlProps/ctrlProp65.xml><?xml version="1.0" encoding="utf-8"?>
<formControlPr xmlns="http://schemas.microsoft.com/office/spreadsheetml/2009/9/main" objectType="CheckBox" fmlaLink="$AL$104" lockText="1"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CheckBox" fmlaLink="$AL$78" lockText="1" noThreeD="1"/>
</file>

<file path=xl/ctrlProps/ctrlProp68.xml><?xml version="1.0" encoding="utf-8"?>
<formControlPr xmlns="http://schemas.microsoft.com/office/spreadsheetml/2009/9/main" objectType="CheckBox" fmlaLink="$AL$79" lockText="1" noThreeD="1"/>
</file>

<file path=xl/ctrlProps/ctrlProp69.xml><?xml version="1.0" encoding="utf-8"?>
<formControlPr xmlns="http://schemas.microsoft.com/office/spreadsheetml/2009/9/main" objectType="CheckBox" fmlaLink="$AL$80" lockText="1" noThreeD="1"/>
</file>

<file path=xl/ctrlProps/ctrlProp70.xml><?xml version="1.0" encoding="utf-8"?>
<formControlPr xmlns="http://schemas.microsoft.com/office/spreadsheetml/2009/9/main" objectType="CheckBox" fmlaLink="$AL$81" lockText="1" noThreeD="1"/>
</file>

<file path=xl/ctrlProps/ctrlProp71.xml><?xml version="1.0" encoding="utf-8"?>
<formControlPr xmlns="http://schemas.microsoft.com/office/spreadsheetml/2009/9/main" objectType="CheckBox" fmlaLink="$AL$82" lockText="1" noThreeD="1"/>
</file>

<file path=xl/ctrlProps/ctrlProp72.xml><?xml version="1.0" encoding="utf-8"?>
<formControlPr xmlns="http://schemas.microsoft.com/office/spreadsheetml/2009/9/main" objectType="CheckBox" fmlaLink="$AL$83" lockText="1" noThreeD="1"/>
</file>

<file path=xl/ctrlProps/ctrlProp73.xml><?xml version="1.0" encoding="utf-8"?>
<formControlPr xmlns="http://schemas.microsoft.com/office/spreadsheetml/2009/9/main" objectType="CheckBox" fmlaLink="$AL$84" lockText="1" noThreeD="1"/>
</file>

<file path=xl/ctrlProps/ctrlProp74.xml><?xml version="1.0" encoding="utf-8"?>
<formControlPr xmlns="http://schemas.microsoft.com/office/spreadsheetml/2009/9/main" objectType="CheckBox" fmlaLink="$AL$85"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CheckBox" fmlaLink="$AA$11" lockText="1" noThreeD="1"/>
</file>

<file path=xl/ctrlProps/ctrlProp77.xml><?xml version="1.0" encoding="utf-8"?>
<formControlPr xmlns="http://schemas.microsoft.com/office/spreadsheetml/2009/9/main" objectType="Radio" firstButton="1" fmlaLink="$AA$2"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firstButton="1" fmlaLink="$AA$5" lockText="1"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Radio" firstButton="1" fmlaLink="$AA$8"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CheckBox" fmlaLink="$AA$4" lockText="1" noThreeD="1"/>
</file>

<file path=xl/ctrlProps/ctrlProp90.xml><?xml version="1.0" encoding="utf-8"?>
<formControlPr xmlns="http://schemas.microsoft.com/office/spreadsheetml/2009/9/main" objectType="CheckBox" fmlaLink="$AA$7"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Radio" firstButton="1" fmlaLink="$AA$19"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Radio" firstButton="1" fmlaLink="$AA$24"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Radio" firstButton="1" fmlaLink="$AA$29" lockText="1" noThreeD="1"/>
</file>

<file path=xl/ctrlProps/ctrlProp99.xml><?xml version="1.0" encoding="utf-8"?>
<formControlPr xmlns="http://schemas.microsoft.com/office/spreadsheetml/2009/9/main" objectType="Radio" lockText="1" noThreeD="1"/>
</file>

<file path=xl/ctrlProps/ctrlProp100.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hyperlink" Target="https://cc.tm.millea.co.jp/fw/dfw/SFDCLI/common/Login?startURL=https://tokiomarine--c.ap0.visual.force.com/a091000004hja14AAA"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1</xdr:col>
      <xdr:colOff>5395913</xdr:colOff>
      <xdr:row>0</xdr:row>
      <xdr:rowOff>1</xdr:rowOff>
    </xdr:from>
    <xdr:ext cx="3404129" cy="655885"/>
    <xdr:sp macro="" textlink="">
      <xdr:nvSpPr>
        <xdr:cNvPr id="2" name="正方形/長方形 1">
          <a:extLst>
            <a:ext uri="{FF2B5EF4-FFF2-40B4-BE49-F238E27FC236}">
              <a16:creationId xmlns:a16="http://schemas.microsoft.com/office/drawing/2014/main" id="{00000000-0008-0000-0000-000002000000}"/>
            </a:ext>
          </a:extLst>
        </xdr:cNvPr>
        <xdr:cNvSpPr/>
      </xdr:nvSpPr>
      <xdr:spPr>
        <a:xfrm>
          <a:off x="5632133" y="1"/>
          <a:ext cx="3404129" cy="655885"/>
        </a:xfrm>
        <a:prstGeom prst="rect">
          <a:avLst/>
        </a:prstGeom>
        <a:noFill/>
      </xdr:spPr>
      <xdr:txBody>
        <a:bodyPr wrap="square" lIns="91440" tIns="45720" rIns="91440" bIns="45720">
          <a:sp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74</xdr:row>
          <xdr:rowOff>0</xdr:rowOff>
        </xdr:from>
        <xdr:to>
          <xdr:col>8</xdr:col>
          <xdr:colOff>95250</xdr:colOff>
          <xdr:row>75</xdr:row>
          <xdr:rowOff>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75</xdr:row>
          <xdr:rowOff>0</xdr:rowOff>
        </xdr:from>
        <xdr:to>
          <xdr:col>8</xdr:col>
          <xdr:colOff>95250</xdr:colOff>
          <xdr:row>76</xdr:row>
          <xdr:rowOff>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108</xdr:row>
          <xdr:rowOff>0</xdr:rowOff>
        </xdr:from>
        <xdr:to>
          <xdr:col>8</xdr:col>
          <xdr:colOff>95250</xdr:colOff>
          <xdr:row>109</xdr:row>
          <xdr:rowOff>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85</xdr:row>
          <xdr:rowOff>0</xdr:rowOff>
        </xdr:from>
        <xdr:to>
          <xdr:col>7</xdr:col>
          <xdr:colOff>50800</xdr:colOff>
          <xdr:row>86</xdr:row>
          <xdr:rowOff>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86</xdr:row>
          <xdr:rowOff>0</xdr:rowOff>
        </xdr:from>
        <xdr:to>
          <xdr:col>8</xdr:col>
          <xdr:colOff>95250</xdr:colOff>
          <xdr:row>87</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87</xdr:row>
          <xdr:rowOff>0</xdr:rowOff>
        </xdr:from>
        <xdr:to>
          <xdr:col>8</xdr:col>
          <xdr:colOff>95250</xdr:colOff>
          <xdr:row>88</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109</xdr:row>
          <xdr:rowOff>0</xdr:rowOff>
        </xdr:from>
        <xdr:to>
          <xdr:col>8</xdr:col>
          <xdr:colOff>95250</xdr:colOff>
          <xdr:row>110</xdr:row>
          <xdr:rowOff>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115</xdr:row>
          <xdr:rowOff>0</xdr:rowOff>
        </xdr:from>
        <xdr:to>
          <xdr:col>8</xdr:col>
          <xdr:colOff>95250</xdr:colOff>
          <xdr:row>116</xdr:row>
          <xdr:rowOff>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116</xdr:row>
          <xdr:rowOff>0</xdr:rowOff>
        </xdr:from>
        <xdr:to>
          <xdr:col>8</xdr:col>
          <xdr:colOff>95250</xdr:colOff>
          <xdr:row>117</xdr:row>
          <xdr:rowOff>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115</xdr:row>
          <xdr:rowOff>0</xdr:rowOff>
        </xdr:from>
        <xdr:to>
          <xdr:col>8</xdr:col>
          <xdr:colOff>95250</xdr:colOff>
          <xdr:row>116</xdr:row>
          <xdr:rowOff>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35</xdr:row>
          <xdr:rowOff>190500</xdr:rowOff>
        </xdr:from>
        <xdr:to>
          <xdr:col>17</xdr:col>
          <xdr:colOff>50800</xdr:colOff>
          <xdr:row>41</xdr:row>
          <xdr:rowOff>12700</xdr:rowOff>
        </xdr:to>
        <xdr:sp macro="" textlink="">
          <xdr:nvSpPr>
            <xdr:cNvPr id="2120" name="Group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72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14</xdr:col>
          <xdr:colOff>107950</xdr:colOff>
          <xdr:row>44</xdr:row>
          <xdr:rowOff>133350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73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16</xdr:col>
          <xdr:colOff>171450</xdr:colOff>
          <xdr:row>52</xdr:row>
          <xdr:rowOff>146050</xdr:rowOff>
        </xdr:to>
        <xdr:sp macro="" textlink="">
          <xdr:nvSpPr>
            <xdr:cNvPr id="2122" name="Group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74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14</xdr:col>
          <xdr:colOff>107950</xdr:colOff>
          <xdr:row>64</xdr:row>
          <xdr:rowOff>133350</xdr:rowOff>
        </xdr:to>
        <xdr:sp macro="" textlink="">
          <xdr:nvSpPr>
            <xdr:cNvPr id="2123" name="Group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0</xdr:rowOff>
        </xdr:from>
        <xdr:to>
          <xdr:col>7</xdr:col>
          <xdr:colOff>31750</xdr:colOff>
          <xdr:row>38</xdr:row>
          <xdr:rowOff>12700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241300</xdr:rowOff>
        </xdr:from>
        <xdr:to>
          <xdr:col>7</xdr:col>
          <xdr:colOff>31750</xdr:colOff>
          <xdr:row>39</xdr:row>
          <xdr:rowOff>12700</xdr:rowOff>
        </xdr:to>
        <xdr:sp macro="" textlink="">
          <xdr:nvSpPr>
            <xdr:cNvPr id="2157" name="Option Button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228600</xdr:rowOff>
        </xdr:from>
        <xdr:to>
          <xdr:col>7</xdr:col>
          <xdr:colOff>31750</xdr:colOff>
          <xdr:row>40</xdr:row>
          <xdr:rowOff>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0</xdr:rowOff>
        </xdr:from>
        <xdr:to>
          <xdr:col>7</xdr:col>
          <xdr:colOff>31750</xdr:colOff>
          <xdr:row>43</xdr:row>
          <xdr:rowOff>12700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42</xdr:row>
          <xdr:rowOff>228600</xdr:rowOff>
        </xdr:from>
        <xdr:to>
          <xdr:col>7</xdr:col>
          <xdr:colOff>31750</xdr:colOff>
          <xdr:row>44</xdr:row>
          <xdr:rowOff>0</xdr:rowOff>
        </xdr:to>
        <xdr:sp macro="" textlink="">
          <xdr:nvSpPr>
            <xdr:cNvPr id="2160" name="Option Button 11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7</xdr:col>
          <xdr:colOff>31750</xdr:colOff>
          <xdr:row>48</xdr:row>
          <xdr:rowOff>12700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228600</xdr:rowOff>
        </xdr:from>
        <xdr:to>
          <xdr:col>7</xdr:col>
          <xdr:colOff>31750</xdr:colOff>
          <xdr:row>49</xdr:row>
          <xdr:rowOff>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61</xdr:row>
          <xdr:rowOff>0</xdr:rowOff>
        </xdr:from>
        <xdr:to>
          <xdr:col>7</xdr:col>
          <xdr:colOff>31750</xdr:colOff>
          <xdr:row>62</xdr:row>
          <xdr:rowOff>12700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61</xdr:row>
          <xdr:rowOff>228600</xdr:rowOff>
        </xdr:from>
        <xdr:to>
          <xdr:col>7</xdr:col>
          <xdr:colOff>31750</xdr:colOff>
          <xdr:row>63</xdr:row>
          <xdr:rowOff>0</xdr:rowOff>
        </xdr:to>
        <xdr:sp macro="" textlink="">
          <xdr:nvSpPr>
            <xdr:cNvPr id="2169" name="Option Button 121"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111</xdr:row>
          <xdr:rowOff>0</xdr:rowOff>
        </xdr:from>
        <xdr:to>
          <xdr:col>9</xdr:col>
          <xdr:colOff>127000</xdr:colOff>
          <xdr:row>112</xdr:row>
          <xdr:rowOff>0</xdr:rowOff>
        </xdr:to>
        <xdr:sp macro="" textlink="">
          <xdr:nvSpPr>
            <xdr:cNvPr id="2180" name="Check Box 13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112</xdr:row>
          <xdr:rowOff>0</xdr:rowOff>
        </xdr:from>
        <xdr:to>
          <xdr:col>9</xdr:col>
          <xdr:colOff>127000</xdr:colOff>
          <xdr:row>113</xdr:row>
          <xdr:rowOff>0</xdr:rowOff>
        </xdr:to>
        <xdr:sp macro="" textlink="">
          <xdr:nvSpPr>
            <xdr:cNvPr id="2181" name="Check Box 13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113</xdr:row>
          <xdr:rowOff>0</xdr:rowOff>
        </xdr:from>
        <xdr:to>
          <xdr:col>9</xdr:col>
          <xdr:colOff>127000</xdr:colOff>
          <xdr:row>114</xdr:row>
          <xdr:rowOff>0</xdr:rowOff>
        </xdr:to>
        <xdr:sp macro="" textlink="">
          <xdr:nvSpPr>
            <xdr:cNvPr id="2182" name="Check Box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88</xdr:row>
          <xdr:rowOff>0</xdr:rowOff>
        </xdr:from>
        <xdr:to>
          <xdr:col>8</xdr:col>
          <xdr:colOff>95250</xdr:colOff>
          <xdr:row>89</xdr:row>
          <xdr:rowOff>0</xdr:rowOff>
        </xdr:to>
        <xdr:sp macro="" textlink="">
          <xdr:nvSpPr>
            <xdr:cNvPr id="2183" name="Check Box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66</xdr:row>
          <xdr:rowOff>0</xdr:rowOff>
        </xdr:from>
        <xdr:to>
          <xdr:col>7</xdr:col>
          <xdr:colOff>31750</xdr:colOff>
          <xdr:row>67</xdr:row>
          <xdr:rowOff>12700</xdr:rowOff>
        </xdr:to>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66</xdr:row>
          <xdr:rowOff>222250</xdr:rowOff>
        </xdr:from>
        <xdr:to>
          <xdr:col>7</xdr:col>
          <xdr:colOff>31750</xdr:colOff>
          <xdr:row>68</xdr:row>
          <xdr:rowOff>0</xdr:rowOff>
        </xdr:to>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xdr:row>
          <xdr:rowOff>0</xdr:rowOff>
        </xdr:from>
        <xdr:to>
          <xdr:col>7</xdr:col>
          <xdr:colOff>31750</xdr:colOff>
          <xdr:row>75</xdr:row>
          <xdr:rowOff>0</xdr:rowOff>
        </xdr:to>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93</xdr:row>
          <xdr:rowOff>12700</xdr:rowOff>
        </xdr:from>
        <xdr:to>
          <xdr:col>8</xdr:col>
          <xdr:colOff>95250</xdr:colOff>
          <xdr:row>93</xdr:row>
          <xdr:rowOff>228600</xdr:rowOff>
        </xdr:to>
        <xdr:sp macro="" textlink="">
          <xdr:nvSpPr>
            <xdr:cNvPr id="42306" name="Check Box 1346" hidden="1">
              <a:extLst>
                <a:ext uri="{63B3BB69-23CF-44E3-9099-C40C66FF867C}">
                  <a14:compatExt spid="_x0000_s42306"/>
                </a:ext>
                <a:ext uri="{FF2B5EF4-FFF2-40B4-BE49-F238E27FC236}">
                  <a16:creationId xmlns:a16="http://schemas.microsoft.com/office/drawing/2014/main" id="{00000000-0008-0000-0100-00004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92</xdr:row>
          <xdr:rowOff>0</xdr:rowOff>
        </xdr:from>
        <xdr:to>
          <xdr:col>6</xdr:col>
          <xdr:colOff>247650</xdr:colOff>
          <xdr:row>93</xdr:row>
          <xdr:rowOff>0</xdr:rowOff>
        </xdr:to>
        <xdr:sp macro="" textlink="">
          <xdr:nvSpPr>
            <xdr:cNvPr id="2176" name="Option 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xdr:row>
          <xdr:rowOff>0</xdr:rowOff>
        </xdr:from>
        <xdr:to>
          <xdr:col>6</xdr:col>
          <xdr:colOff>247650</xdr:colOff>
          <xdr:row>95</xdr:row>
          <xdr:rowOff>0</xdr:rowOff>
        </xdr:to>
        <xdr:sp macro="" textlink="">
          <xdr:nvSpPr>
            <xdr:cNvPr id="2226" name="Option 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95</xdr:row>
          <xdr:rowOff>12700</xdr:rowOff>
        </xdr:from>
        <xdr:to>
          <xdr:col>7</xdr:col>
          <xdr:colOff>69850</xdr:colOff>
          <xdr:row>96</xdr:row>
          <xdr:rowOff>19050</xdr:rowOff>
        </xdr:to>
        <xdr:sp macro="" textlink="">
          <xdr:nvSpPr>
            <xdr:cNvPr id="42010" name="Option Button 1050" hidden="1">
              <a:extLst>
                <a:ext uri="{63B3BB69-23CF-44E3-9099-C40C66FF867C}">
                  <a14:compatExt spid="_x0000_s42010"/>
                </a:ext>
                <a:ext uri="{FF2B5EF4-FFF2-40B4-BE49-F238E27FC236}">
                  <a16:creationId xmlns:a16="http://schemas.microsoft.com/office/drawing/2014/main" id="{00000000-0008-0000-0100-00001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98</xdr:row>
          <xdr:rowOff>0</xdr:rowOff>
        </xdr:from>
        <xdr:to>
          <xdr:col>7</xdr:col>
          <xdr:colOff>31750</xdr:colOff>
          <xdr:row>99</xdr:row>
          <xdr:rowOff>12700</xdr:rowOff>
        </xdr:to>
        <xdr:sp macro="" textlink="">
          <xdr:nvSpPr>
            <xdr:cNvPr id="2255" name="Option Button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xdr:row>
          <xdr:rowOff>0</xdr:rowOff>
        </xdr:from>
        <xdr:to>
          <xdr:col>7</xdr:col>
          <xdr:colOff>31750</xdr:colOff>
          <xdr:row>105</xdr:row>
          <xdr:rowOff>12700</xdr:rowOff>
        </xdr:to>
        <xdr:sp macro="" textlink="">
          <xdr:nvSpPr>
            <xdr:cNvPr id="2256" name="Option 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114301</xdr:colOff>
          <xdr:row>5</xdr:row>
          <xdr:rowOff>44944</xdr:rowOff>
        </xdr:from>
        <xdr:to>
          <xdr:col>67</xdr:col>
          <xdr:colOff>123825</xdr:colOff>
          <xdr:row>22</xdr:row>
          <xdr:rowOff>142242</xdr:rowOff>
        </xdr:to>
        <xdr:pic>
          <xdr:nvPicPr>
            <xdr:cNvPr id="46" name="図 45">
              <a:extLst>
                <a:ext uri="{FF2B5EF4-FFF2-40B4-BE49-F238E27FC236}">
                  <a16:creationId xmlns:a16="http://schemas.microsoft.com/office/drawing/2014/main" id="{00000000-0008-0000-0100-00002E000000}"/>
                </a:ext>
              </a:extLst>
            </xdr:cNvPr>
            <xdr:cNvPicPr>
              <a:picLocks noChangeAspect="1" noChangeArrowheads="1"/>
              <a:extLst>
                <a:ext uri="{84589F7E-364E-4C9E-8A38-B11213B215E9}">
                  <a14:cameraTool cellRange="$BT$154:$CD$169" spid="_x0000_s126822"/>
                </a:ext>
              </a:extLst>
            </xdr:cNvPicPr>
          </xdr:nvPicPr>
          <xdr:blipFill>
            <a:blip xmlns:r="http://schemas.openxmlformats.org/officeDocument/2006/relationships" r:embed="rId1"/>
            <a:srcRect/>
            <a:stretch>
              <a:fillRect/>
            </a:stretch>
          </xdr:blipFill>
          <xdr:spPr bwMode="auto">
            <a:xfrm>
              <a:off x="9553576" y="1378444"/>
              <a:ext cx="6448424" cy="414542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67</xdr:row>
          <xdr:rowOff>222250</xdr:rowOff>
        </xdr:from>
        <xdr:to>
          <xdr:col>8</xdr:col>
          <xdr:colOff>69850</xdr:colOff>
          <xdr:row>69</xdr:row>
          <xdr:rowOff>0</xdr:rowOff>
        </xdr:to>
        <xdr:sp macro="" textlink="">
          <xdr:nvSpPr>
            <xdr:cNvPr id="2523" name="Check Box 475" hidden="1">
              <a:extLst>
                <a:ext uri="{63B3BB69-23CF-44E3-9099-C40C66FF867C}">
                  <a14:compatExt spid="_x0000_s2523"/>
                </a:ext>
                <a:ext uri="{FF2B5EF4-FFF2-40B4-BE49-F238E27FC236}">
                  <a16:creationId xmlns:a16="http://schemas.microsoft.com/office/drawing/2014/main" id="{00000000-0008-0000-0100-0000D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49</xdr:row>
          <xdr:rowOff>0</xdr:rowOff>
        </xdr:from>
        <xdr:to>
          <xdr:col>7</xdr:col>
          <xdr:colOff>31750</xdr:colOff>
          <xdr:row>50</xdr:row>
          <xdr:rowOff>12700</xdr:rowOff>
        </xdr:to>
        <xdr:sp macro="" textlink="">
          <xdr:nvSpPr>
            <xdr:cNvPr id="2707" name="Option Button 659" hidden="1">
              <a:extLst>
                <a:ext uri="{63B3BB69-23CF-44E3-9099-C40C66FF867C}">
                  <a14:compatExt spid="_x0000_s2707"/>
                </a:ext>
                <a:ext uri="{FF2B5EF4-FFF2-40B4-BE49-F238E27FC236}">
                  <a16:creationId xmlns:a16="http://schemas.microsoft.com/office/drawing/2014/main" id="{00000000-0008-0000-0100-0000930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57150</xdr:colOff>
          <xdr:row>21</xdr:row>
          <xdr:rowOff>12700</xdr:rowOff>
        </xdr:to>
        <xdr:sp macro="" textlink="">
          <xdr:nvSpPr>
            <xdr:cNvPr id="2915" name="Option Button 867" hidden="1">
              <a:extLst>
                <a:ext uri="{63B3BB69-23CF-44E3-9099-C40C66FF867C}">
                  <a14:compatExt spid="_x0000_s2915"/>
                </a:ext>
                <a:ext uri="{FF2B5EF4-FFF2-40B4-BE49-F238E27FC236}">
                  <a16:creationId xmlns:a16="http://schemas.microsoft.com/office/drawing/2014/main" id="{00000000-0008-0000-0100-000063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8</xdr:col>
          <xdr:colOff>57150</xdr:colOff>
          <xdr:row>22</xdr:row>
          <xdr:rowOff>12700</xdr:rowOff>
        </xdr:to>
        <xdr:sp macro="" textlink="">
          <xdr:nvSpPr>
            <xdr:cNvPr id="2916" name="Option Button 868" hidden="1">
              <a:extLst>
                <a:ext uri="{63B3BB69-23CF-44E3-9099-C40C66FF867C}">
                  <a14:compatExt spid="_x0000_s2916"/>
                </a:ext>
                <a:ext uri="{FF2B5EF4-FFF2-40B4-BE49-F238E27FC236}">
                  <a16:creationId xmlns:a16="http://schemas.microsoft.com/office/drawing/2014/main" id="{00000000-0008-0000-0100-000064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25</xdr:row>
          <xdr:rowOff>0</xdr:rowOff>
        </xdr:from>
        <xdr:to>
          <xdr:col>8</xdr:col>
          <xdr:colOff>57150</xdr:colOff>
          <xdr:row>26</xdr:row>
          <xdr:rowOff>12700</xdr:rowOff>
        </xdr:to>
        <xdr:sp macro="" textlink="">
          <xdr:nvSpPr>
            <xdr:cNvPr id="2917" name="Option Button 869" hidden="1">
              <a:extLst>
                <a:ext uri="{63B3BB69-23CF-44E3-9099-C40C66FF867C}">
                  <a14:compatExt spid="_x0000_s2917"/>
                </a:ext>
                <a:ext uri="{FF2B5EF4-FFF2-40B4-BE49-F238E27FC236}">
                  <a16:creationId xmlns:a16="http://schemas.microsoft.com/office/drawing/2014/main" id="{00000000-0008-0000-0100-000065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8</xdr:col>
          <xdr:colOff>57150</xdr:colOff>
          <xdr:row>27</xdr:row>
          <xdr:rowOff>12700</xdr:rowOff>
        </xdr:to>
        <xdr:sp macro="" textlink="">
          <xdr:nvSpPr>
            <xdr:cNvPr id="2918" name="Option Button 870" hidden="1">
              <a:extLst>
                <a:ext uri="{63B3BB69-23CF-44E3-9099-C40C66FF867C}">
                  <a14:compatExt spid="_x0000_s2918"/>
                </a:ext>
                <a:ext uri="{FF2B5EF4-FFF2-40B4-BE49-F238E27FC236}">
                  <a16:creationId xmlns:a16="http://schemas.microsoft.com/office/drawing/2014/main" id="{00000000-0008-0000-0100-000066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19</xdr:row>
          <xdr:rowOff>203200</xdr:rowOff>
        </xdr:from>
        <xdr:to>
          <xdr:col>10</xdr:col>
          <xdr:colOff>107950</xdr:colOff>
          <xdr:row>22</xdr:row>
          <xdr:rowOff>95250</xdr:rowOff>
        </xdr:to>
        <xdr:sp macro="" textlink="">
          <xdr:nvSpPr>
            <xdr:cNvPr id="2922" name="Group Box 874" hidden="1">
              <a:extLst>
                <a:ext uri="{63B3BB69-23CF-44E3-9099-C40C66FF867C}">
                  <a14:compatExt spid="_x0000_s2922"/>
                </a:ext>
                <a:ext uri="{FF2B5EF4-FFF2-40B4-BE49-F238E27FC236}">
                  <a16:creationId xmlns:a16="http://schemas.microsoft.com/office/drawing/2014/main" id="{00000000-0008-0000-0100-00006A0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874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24</xdr:row>
          <xdr:rowOff>171450</xdr:rowOff>
        </xdr:from>
        <xdr:to>
          <xdr:col>10</xdr:col>
          <xdr:colOff>152400</xdr:colOff>
          <xdr:row>27</xdr:row>
          <xdr:rowOff>152400</xdr:rowOff>
        </xdr:to>
        <xdr:sp macro="" textlink="">
          <xdr:nvSpPr>
            <xdr:cNvPr id="2923" name="Group Box 875" hidden="1">
              <a:extLst>
                <a:ext uri="{63B3BB69-23CF-44E3-9099-C40C66FF867C}">
                  <a14:compatExt spid="_x0000_s2923"/>
                </a:ext>
                <a:ext uri="{FF2B5EF4-FFF2-40B4-BE49-F238E27FC236}">
                  <a16:creationId xmlns:a16="http://schemas.microsoft.com/office/drawing/2014/main" id="{00000000-0008-0000-0100-00006B0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875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91</xdr:row>
          <xdr:rowOff>190500</xdr:rowOff>
        </xdr:from>
        <xdr:to>
          <xdr:col>11</xdr:col>
          <xdr:colOff>0</xdr:colOff>
          <xdr:row>97</xdr:row>
          <xdr:rowOff>0</xdr:rowOff>
        </xdr:to>
        <xdr:sp macro="" textlink="">
          <xdr:nvSpPr>
            <xdr:cNvPr id="2924" name="Group Box 876" hidden="1">
              <a:extLst>
                <a:ext uri="{63B3BB69-23CF-44E3-9099-C40C66FF867C}">
                  <a14:compatExt spid="_x0000_s2924"/>
                </a:ext>
                <a:ext uri="{FF2B5EF4-FFF2-40B4-BE49-F238E27FC236}">
                  <a16:creationId xmlns:a16="http://schemas.microsoft.com/office/drawing/2014/main" id="{00000000-0008-0000-0100-00006C0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876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222250</xdr:rowOff>
        </xdr:from>
        <xdr:to>
          <xdr:col>6</xdr:col>
          <xdr:colOff>266700</xdr:colOff>
          <xdr:row>37</xdr:row>
          <xdr:rowOff>0</xdr:rowOff>
        </xdr:to>
        <xdr:sp macro="" textlink="">
          <xdr:nvSpPr>
            <xdr:cNvPr id="3054" name="Option Button 1006" hidden="1">
              <a:extLst>
                <a:ext uri="{63B3BB69-23CF-44E3-9099-C40C66FF867C}">
                  <a14:compatExt spid="_x0000_s3054"/>
                </a:ext>
                <a:ext uri="{FF2B5EF4-FFF2-40B4-BE49-F238E27FC236}">
                  <a16:creationId xmlns:a16="http://schemas.microsoft.com/office/drawing/2014/main" id="{00000000-0008-0000-0100-0000EE0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0</xdr:rowOff>
        </xdr:from>
        <xdr:to>
          <xdr:col>7</xdr:col>
          <xdr:colOff>69850</xdr:colOff>
          <xdr:row>51</xdr:row>
          <xdr:rowOff>12700</xdr:rowOff>
        </xdr:to>
        <xdr:sp macro="" textlink="">
          <xdr:nvSpPr>
            <xdr:cNvPr id="42005" name="Option Button 1045" hidden="1">
              <a:extLst>
                <a:ext uri="{63B3BB69-23CF-44E3-9099-C40C66FF867C}">
                  <a14:compatExt spid="_x0000_s42005"/>
                </a:ext>
                <a:ext uri="{FF2B5EF4-FFF2-40B4-BE49-F238E27FC236}">
                  <a16:creationId xmlns:a16="http://schemas.microsoft.com/office/drawing/2014/main" id="{00000000-0008-0000-0100-00001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241300</xdr:colOff>
          <xdr:row>62</xdr:row>
          <xdr:rowOff>222250</xdr:rowOff>
        </xdr:from>
        <xdr:to>
          <xdr:col>7</xdr:col>
          <xdr:colOff>57150</xdr:colOff>
          <xdr:row>63</xdr:row>
          <xdr:rowOff>228600</xdr:rowOff>
        </xdr:to>
        <xdr:sp macro="" textlink="">
          <xdr:nvSpPr>
            <xdr:cNvPr id="42008" name="Option Button 1048" hidden="1">
              <a:extLst>
                <a:ext uri="{63B3BB69-23CF-44E3-9099-C40C66FF867C}">
                  <a14:compatExt spid="_x0000_s42008"/>
                </a:ext>
                <a:ext uri="{FF2B5EF4-FFF2-40B4-BE49-F238E27FC236}">
                  <a16:creationId xmlns:a16="http://schemas.microsoft.com/office/drawing/2014/main" id="{00000000-0008-0000-0100-00001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241300</xdr:colOff>
          <xdr:row>105</xdr:row>
          <xdr:rowOff>12700</xdr:rowOff>
        </xdr:from>
        <xdr:to>
          <xdr:col>7</xdr:col>
          <xdr:colOff>57150</xdr:colOff>
          <xdr:row>106</xdr:row>
          <xdr:rowOff>19050</xdr:rowOff>
        </xdr:to>
        <xdr:sp macro="" textlink="">
          <xdr:nvSpPr>
            <xdr:cNvPr id="42009" name="Option Button 1049" hidden="1">
              <a:extLst>
                <a:ext uri="{63B3BB69-23CF-44E3-9099-C40C66FF867C}">
                  <a14:compatExt spid="_x0000_s42009"/>
                </a:ext>
                <a:ext uri="{FF2B5EF4-FFF2-40B4-BE49-F238E27FC236}">
                  <a16:creationId xmlns:a16="http://schemas.microsoft.com/office/drawing/2014/main" id="{00000000-0008-0000-0100-00001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89</xdr:row>
          <xdr:rowOff>12700</xdr:rowOff>
        </xdr:from>
        <xdr:to>
          <xdr:col>7</xdr:col>
          <xdr:colOff>69850</xdr:colOff>
          <xdr:row>89</xdr:row>
          <xdr:rowOff>228600</xdr:rowOff>
        </xdr:to>
        <xdr:sp macro="" textlink="">
          <xdr:nvSpPr>
            <xdr:cNvPr id="42011" name="Check Box 1051" hidden="1">
              <a:extLst>
                <a:ext uri="{63B3BB69-23CF-44E3-9099-C40C66FF867C}">
                  <a14:compatExt spid="_x0000_s42011"/>
                </a:ext>
                <a:ext uri="{FF2B5EF4-FFF2-40B4-BE49-F238E27FC236}">
                  <a16:creationId xmlns:a16="http://schemas.microsoft.com/office/drawing/2014/main" id="{00000000-0008-0000-0100-00001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116</xdr:row>
          <xdr:rowOff>228600</xdr:rowOff>
        </xdr:from>
        <xdr:to>
          <xdr:col>7</xdr:col>
          <xdr:colOff>69850</xdr:colOff>
          <xdr:row>118</xdr:row>
          <xdr:rowOff>0</xdr:rowOff>
        </xdr:to>
        <xdr:sp macro="" textlink="">
          <xdr:nvSpPr>
            <xdr:cNvPr id="42012" name="Check Box 1052" hidden="1">
              <a:extLst>
                <a:ext uri="{63B3BB69-23CF-44E3-9099-C40C66FF867C}">
                  <a14:compatExt spid="_x0000_s42012"/>
                </a:ext>
                <a:ext uri="{FF2B5EF4-FFF2-40B4-BE49-F238E27FC236}">
                  <a16:creationId xmlns:a16="http://schemas.microsoft.com/office/drawing/2014/main" id="{00000000-0008-0000-0100-00001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30</xdr:row>
          <xdr:rowOff>209550</xdr:rowOff>
        </xdr:from>
        <xdr:to>
          <xdr:col>7</xdr:col>
          <xdr:colOff>57150</xdr:colOff>
          <xdr:row>31</xdr:row>
          <xdr:rowOff>228600</xdr:rowOff>
        </xdr:to>
        <xdr:sp macro="" textlink="">
          <xdr:nvSpPr>
            <xdr:cNvPr id="42104" name="Option Button 1144" hidden="1">
              <a:extLst>
                <a:ext uri="{63B3BB69-23CF-44E3-9099-C40C66FF867C}">
                  <a14:compatExt spid="_x0000_s42104"/>
                </a:ext>
                <a:ext uri="{FF2B5EF4-FFF2-40B4-BE49-F238E27FC236}">
                  <a16:creationId xmlns:a16="http://schemas.microsoft.com/office/drawing/2014/main" id="{00000000-0008-0000-0100-00007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31</xdr:row>
          <xdr:rowOff>222250</xdr:rowOff>
        </xdr:from>
        <xdr:to>
          <xdr:col>7</xdr:col>
          <xdr:colOff>57150</xdr:colOff>
          <xdr:row>33</xdr:row>
          <xdr:rowOff>0</xdr:rowOff>
        </xdr:to>
        <xdr:sp macro="" textlink="">
          <xdr:nvSpPr>
            <xdr:cNvPr id="42105" name="Option Button 1145" hidden="1">
              <a:extLst>
                <a:ext uri="{63B3BB69-23CF-44E3-9099-C40C66FF867C}">
                  <a14:compatExt spid="_x0000_s42105"/>
                </a:ext>
                <a:ext uri="{FF2B5EF4-FFF2-40B4-BE49-F238E27FC236}">
                  <a16:creationId xmlns:a16="http://schemas.microsoft.com/office/drawing/2014/main" id="{00000000-0008-0000-0100-00007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29</xdr:row>
          <xdr:rowOff>203200</xdr:rowOff>
        </xdr:from>
        <xdr:to>
          <xdr:col>9</xdr:col>
          <xdr:colOff>31750</xdr:colOff>
          <xdr:row>34</xdr:row>
          <xdr:rowOff>0</xdr:rowOff>
        </xdr:to>
        <xdr:sp macro="" textlink="">
          <xdr:nvSpPr>
            <xdr:cNvPr id="42106" name="Group Box 1146" hidden="1">
              <a:extLst>
                <a:ext uri="{63B3BB69-23CF-44E3-9099-C40C66FF867C}">
                  <a14:compatExt spid="_x0000_s42106"/>
                </a:ext>
                <a:ext uri="{FF2B5EF4-FFF2-40B4-BE49-F238E27FC236}">
                  <a16:creationId xmlns:a16="http://schemas.microsoft.com/office/drawing/2014/main" id="{00000000-0008-0000-0100-00007A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1146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32</xdr:row>
          <xdr:rowOff>222250</xdr:rowOff>
        </xdr:from>
        <xdr:to>
          <xdr:col>8</xdr:col>
          <xdr:colOff>57150</xdr:colOff>
          <xdr:row>34</xdr:row>
          <xdr:rowOff>12700</xdr:rowOff>
        </xdr:to>
        <xdr:sp macro="" textlink="">
          <xdr:nvSpPr>
            <xdr:cNvPr id="42193" name="Check Box 1233" hidden="1">
              <a:extLst>
                <a:ext uri="{63B3BB69-23CF-44E3-9099-C40C66FF867C}">
                  <a14:compatExt spid="_x0000_s42193"/>
                </a:ext>
                <a:ext uri="{FF2B5EF4-FFF2-40B4-BE49-F238E27FC236}">
                  <a16:creationId xmlns:a16="http://schemas.microsoft.com/office/drawing/2014/main" id="{00000000-0008-0000-0100-0000D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55</xdr:row>
          <xdr:rowOff>12700</xdr:rowOff>
        </xdr:from>
        <xdr:to>
          <xdr:col>7</xdr:col>
          <xdr:colOff>12700</xdr:colOff>
          <xdr:row>56</xdr:row>
          <xdr:rowOff>19050</xdr:rowOff>
        </xdr:to>
        <xdr:sp macro="" textlink="">
          <xdr:nvSpPr>
            <xdr:cNvPr id="42224" name="Option Button 1264" hidden="1">
              <a:extLst>
                <a:ext uri="{63B3BB69-23CF-44E3-9099-C40C66FF867C}">
                  <a14:compatExt spid="_x0000_s42224"/>
                </a:ext>
                <a:ext uri="{FF2B5EF4-FFF2-40B4-BE49-F238E27FC236}">
                  <a16:creationId xmlns:a16="http://schemas.microsoft.com/office/drawing/2014/main" id="{00000000-0008-0000-0100-0000F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56</xdr:row>
          <xdr:rowOff>12700</xdr:rowOff>
        </xdr:from>
        <xdr:to>
          <xdr:col>7</xdr:col>
          <xdr:colOff>12700</xdr:colOff>
          <xdr:row>57</xdr:row>
          <xdr:rowOff>19050</xdr:rowOff>
        </xdr:to>
        <xdr:sp macro="" textlink="">
          <xdr:nvSpPr>
            <xdr:cNvPr id="42225" name="Option Button 1265" hidden="1">
              <a:extLst>
                <a:ext uri="{63B3BB69-23CF-44E3-9099-C40C66FF867C}">
                  <a14:compatExt spid="_x0000_s42225"/>
                </a:ext>
                <a:ext uri="{FF2B5EF4-FFF2-40B4-BE49-F238E27FC236}">
                  <a16:creationId xmlns:a16="http://schemas.microsoft.com/office/drawing/2014/main" id="{00000000-0008-0000-0100-0000F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56</xdr:row>
          <xdr:rowOff>209550</xdr:rowOff>
        </xdr:from>
        <xdr:to>
          <xdr:col>7</xdr:col>
          <xdr:colOff>12700</xdr:colOff>
          <xdr:row>58</xdr:row>
          <xdr:rowOff>0</xdr:rowOff>
        </xdr:to>
        <xdr:sp macro="" textlink="">
          <xdr:nvSpPr>
            <xdr:cNvPr id="42226" name="Option Button 1266" hidden="1">
              <a:extLst>
                <a:ext uri="{63B3BB69-23CF-44E3-9099-C40C66FF867C}">
                  <a14:compatExt spid="_x0000_s42226"/>
                </a:ext>
                <a:ext uri="{FF2B5EF4-FFF2-40B4-BE49-F238E27FC236}">
                  <a16:creationId xmlns:a16="http://schemas.microsoft.com/office/drawing/2014/main" id="{00000000-0008-0000-0100-0000F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57</xdr:row>
          <xdr:rowOff>209550</xdr:rowOff>
        </xdr:from>
        <xdr:to>
          <xdr:col>7</xdr:col>
          <xdr:colOff>12700</xdr:colOff>
          <xdr:row>58</xdr:row>
          <xdr:rowOff>222250</xdr:rowOff>
        </xdr:to>
        <xdr:sp macro="" textlink="">
          <xdr:nvSpPr>
            <xdr:cNvPr id="42227" name="Option Button 1267" hidden="1">
              <a:extLst>
                <a:ext uri="{63B3BB69-23CF-44E3-9099-C40C66FF867C}">
                  <a14:compatExt spid="_x0000_s42227"/>
                </a:ext>
                <a:ext uri="{FF2B5EF4-FFF2-40B4-BE49-F238E27FC236}">
                  <a16:creationId xmlns:a16="http://schemas.microsoft.com/office/drawing/2014/main" id="{00000000-0008-0000-0100-0000F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19050</xdr:rowOff>
        </xdr:from>
        <xdr:to>
          <xdr:col>14</xdr:col>
          <xdr:colOff>184150</xdr:colOff>
          <xdr:row>59</xdr:row>
          <xdr:rowOff>0</xdr:rowOff>
        </xdr:to>
        <xdr:sp macro="" textlink="">
          <xdr:nvSpPr>
            <xdr:cNvPr id="42228" name="Group Box 1268" hidden="1">
              <a:extLst>
                <a:ext uri="{63B3BB69-23CF-44E3-9099-C40C66FF867C}">
                  <a14:compatExt spid="_x0000_s42228"/>
                </a:ext>
                <a:ext uri="{FF2B5EF4-FFF2-40B4-BE49-F238E27FC236}">
                  <a16:creationId xmlns:a16="http://schemas.microsoft.com/office/drawing/2014/main" id="{00000000-0008-0000-0100-0000F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1268</a:t>
              </a:r>
            </a:p>
          </xdr:txBody>
        </xdr:sp>
        <xdr:clientData/>
      </xdr:twoCellAnchor>
    </mc:Choice>
    <mc:Fallback/>
  </mc:AlternateContent>
  <xdr:oneCellAnchor>
    <xdr:from>
      <xdr:col>56</xdr:col>
      <xdr:colOff>123825</xdr:colOff>
      <xdr:row>0</xdr:row>
      <xdr:rowOff>9525</xdr:rowOff>
    </xdr:from>
    <xdr:ext cx="2847975" cy="581024"/>
    <xdr:sp macro="" textlink="">
      <xdr:nvSpPr>
        <xdr:cNvPr id="72" name="正方形/長方形 71">
          <a:extLst>
            <a:ext uri="{FF2B5EF4-FFF2-40B4-BE49-F238E27FC236}">
              <a16:creationId xmlns:a16="http://schemas.microsoft.com/office/drawing/2014/main" id="{00000000-0008-0000-0100-000048000000}"/>
            </a:ext>
          </a:extLst>
        </xdr:cNvPr>
        <xdr:cNvSpPr/>
      </xdr:nvSpPr>
      <xdr:spPr>
        <a:xfrm>
          <a:off x="13277850" y="9525"/>
          <a:ext cx="2847975" cy="581024"/>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mc:AlternateContent xmlns:mc="http://schemas.openxmlformats.org/markup-compatibility/2006">
    <mc:Choice xmlns:a14="http://schemas.microsoft.com/office/drawing/2010/main" Requires="a14">
      <xdr:twoCellAnchor editAs="oneCell">
        <xdr:from>
          <xdr:col>7</xdr:col>
          <xdr:colOff>0</xdr:colOff>
          <xdr:row>114</xdr:row>
          <xdr:rowOff>0</xdr:rowOff>
        </xdr:from>
        <xdr:to>
          <xdr:col>9</xdr:col>
          <xdr:colOff>127000</xdr:colOff>
          <xdr:row>115</xdr:row>
          <xdr:rowOff>0</xdr:rowOff>
        </xdr:to>
        <xdr:sp macro="" textlink="">
          <xdr:nvSpPr>
            <xdr:cNvPr id="42323" name="Check Box 1363" hidden="1">
              <a:extLst>
                <a:ext uri="{63B3BB69-23CF-44E3-9099-C40C66FF867C}">
                  <a14:compatExt spid="_x0000_s42323"/>
                </a:ext>
                <a:ext uri="{FF2B5EF4-FFF2-40B4-BE49-F238E27FC236}">
                  <a16:creationId xmlns:a16="http://schemas.microsoft.com/office/drawing/2014/main" id="{00000000-0008-0000-0100-00005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99</xdr:row>
          <xdr:rowOff>222250</xdr:rowOff>
        </xdr:from>
        <xdr:to>
          <xdr:col>8</xdr:col>
          <xdr:colOff>88900</xdr:colOff>
          <xdr:row>100</xdr:row>
          <xdr:rowOff>228600</xdr:rowOff>
        </xdr:to>
        <xdr:sp macro="" textlink="">
          <xdr:nvSpPr>
            <xdr:cNvPr id="91216" name="Check Box 3152" hidden="1">
              <a:extLst>
                <a:ext uri="{63B3BB69-23CF-44E3-9099-C40C66FF867C}">
                  <a14:compatExt spid="_x0000_s91216"/>
                </a:ext>
                <a:ext uri="{FF2B5EF4-FFF2-40B4-BE49-F238E27FC236}">
                  <a16:creationId xmlns:a16="http://schemas.microsoft.com/office/drawing/2014/main" id="{00000000-0008-0000-0100-00005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100</xdr:row>
          <xdr:rowOff>222250</xdr:rowOff>
        </xdr:from>
        <xdr:to>
          <xdr:col>8</xdr:col>
          <xdr:colOff>88900</xdr:colOff>
          <xdr:row>101</xdr:row>
          <xdr:rowOff>228600</xdr:rowOff>
        </xdr:to>
        <xdr:sp macro="" textlink="">
          <xdr:nvSpPr>
            <xdr:cNvPr id="91225" name="Check Box 3161" hidden="1">
              <a:extLst>
                <a:ext uri="{63B3BB69-23CF-44E3-9099-C40C66FF867C}">
                  <a14:compatExt spid="_x0000_s91225"/>
                </a:ext>
                <a:ext uri="{FF2B5EF4-FFF2-40B4-BE49-F238E27FC236}">
                  <a16:creationId xmlns:a16="http://schemas.microsoft.com/office/drawing/2014/main" id="{00000000-0008-0000-0100-00005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101</xdr:row>
          <xdr:rowOff>228600</xdr:rowOff>
        </xdr:from>
        <xdr:to>
          <xdr:col>8</xdr:col>
          <xdr:colOff>88900</xdr:colOff>
          <xdr:row>103</xdr:row>
          <xdr:rowOff>0</xdr:rowOff>
        </xdr:to>
        <xdr:sp macro="" textlink="">
          <xdr:nvSpPr>
            <xdr:cNvPr id="91226" name="Check Box 3162" hidden="1">
              <a:extLst>
                <a:ext uri="{63B3BB69-23CF-44E3-9099-C40C66FF867C}">
                  <a14:compatExt spid="_x0000_s91226"/>
                </a:ext>
                <a:ext uri="{FF2B5EF4-FFF2-40B4-BE49-F238E27FC236}">
                  <a16:creationId xmlns:a16="http://schemas.microsoft.com/office/drawing/2014/main" id="{00000000-0008-0000-0100-00005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102</xdr:row>
          <xdr:rowOff>228600</xdr:rowOff>
        </xdr:from>
        <xdr:to>
          <xdr:col>8</xdr:col>
          <xdr:colOff>88900</xdr:colOff>
          <xdr:row>104</xdr:row>
          <xdr:rowOff>0</xdr:rowOff>
        </xdr:to>
        <xdr:sp macro="" textlink="">
          <xdr:nvSpPr>
            <xdr:cNvPr id="91227" name="Check Box 3163" hidden="1">
              <a:extLst>
                <a:ext uri="{63B3BB69-23CF-44E3-9099-C40C66FF867C}">
                  <a14:compatExt spid="_x0000_s91227"/>
                </a:ext>
                <a:ext uri="{FF2B5EF4-FFF2-40B4-BE49-F238E27FC236}">
                  <a16:creationId xmlns:a16="http://schemas.microsoft.com/office/drawing/2014/main" id="{00000000-0008-0000-0100-00005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97</xdr:row>
          <xdr:rowOff>146050</xdr:rowOff>
        </xdr:from>
        <xdr:to>
          <xdr:col>10</xdr:col>
          <xdr:colOff>12700</xdr:colOff>
          <xdr:row>106</xdr:row>
          <xdr:rowOff>209550</xdr:rowOff>
        </xdr:to>
        <xdr:sp macro="" textlink="">
          <xdr:nvSpPr>
            <xdr:cNvPr id="91264" name="Group Box 3200" hidden="1">
              <a:extLst>
                <a:ext uri="{63B3BB69-23CF-44E3-9099-C40C66FF867C}">
                  <a14:compatExt spid="_x0000_s91264"/>
                </a:ext>
                <a:ext uri="{FF2B5EF4-FFF2-40B4-BE49-F238E27FC236}">
                  <a16:creationId xmlns:a16="http://schemas.microsoft.com/office/drawing/2014/main" id="{00000000-0008-0000-0100-0000806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ja-JP" altLang="en-US" sz="900" b="0" i="0" u="none" strike="noStrike" baseline="0">
                  <a:solidFill>
                    <a:srgbClr val="000000"/>
                  </a:solidFill>
                  <a:latin typeface="Meiryo UI"/>
                  <a:ea typeface="Meiryo UI"/>
                </a:rPr>
                <a:t>グループ 3200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76</xdr:row>
          <xdr:rowOff>228600</xdr:rowOff>
        </xdr:from>
        <xdr:to>
          <xdr:col>8</xdr:col>
          <xdr:colOff>57150</xdr:colOff>
          <xdr:row>78</xdr:row>
          <xdr:rowOff>0</xdr:rowOff>
        </xdr:to>
        <xdr:sp macro="" textlink="">
          <xdr:nvSpPr>
            <xdr:cNvPr id="91281" name="Check Box 3217" hidden="1">
              <a:extLst>
                <a:ext uri="{63B3BB69-23CF-44E3-9099-C40C66FF867C}">
                  <a14:compatExt spid="_x0000_s91281"/>
                </a:ext>
                <a:ext uri="{FF2B5EF4-FFF2-40B4-BE49-F238E27FC236}">
                  <a16:creationId xmlns:a16="http://schemas.microsoft.com/office/drawing/2014/main" id="{00000000-0008-0000-0100-00009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77</xdr:row>
          <xdr:rowOff>228600</xdr:rowOff>
        </xdr:from>
        <xdr:to>
          <xdr:col>8</xdr:col>
          <xdr:colOff>57150</xdr:colOff>
          <xdr:row>79</xdr:row>
          <xdr:rowOff>0</xdr:rowOff>
        </xdr:to>
        <xdr:sp macro="" textlink="">
          <xdr:nvSpPr>
            <xdr:cNvPr id="91292" name="Check Box 3228" hidden="1">
              <a:extLst>
                <a:ext uri="{63B3BB69-23CF-44E3-9099-C40C66FF867C}">
                  <a14:compatExt spid="_x0000_s91292"/>
                </a:ext>
                <a:ext uri="{FF2B5EF4-FFF2-40B4-BE49-F238E27FC236}">
                  <a16:creationId xmlns:a16="http://schemas.microsoft.com/office/drawing/2014/main" id="{00000000-0008-0000-0100-00009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78</xdr:row>
          <xdr:rowOff>228600</xdr:rowOff>
        </xdr:from>
        <xdr:to>
          <xdr:col>8</xdr:col>
          <xdr:colOff>57150</xdr:colOff>
          <xdr:row>80</xdr:row>
          <xdr:rowOff>0</xdr:rowOff>
        </xdr:to>
        <xdr:sp macro="" textlink="">
          <xdr:nvSpPr>
            <xdr:cNvPr id="91293" name="Check Box 3229" hidden="1">
              <a:extLst>
                <a:ext uri="{63B3BB69-23CF-44E3-9099-C40C66FF867C}">
                  <a14:compatExt spid="_x0000_s91293"/>
                </a:ext>
                <a:ext uri="{FF2B5EF4-FFF2-40B4-BE49-F238E27FC236}">
                  <a16:creationId xmlns:a16="http://schemas.microsoft.com/office/drawing/2014/main" id="{00000000-0008-0000-0100-00009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79</xdr:row>
          <xdr:rowOff>228600</xdr:rowOff>
        </xdr:from>
        <xdr:to>
          <xdr:col>8</xdr:col>
          <xdr:colOff>57150</xdr:colOff>
          <xdr:row>81</xdr:row>
          <xdr:rowOff>0</xdr:rowOff>
        </xdr:to>
        <xdr:sp macro="" textlink="">
          <xdr:nvSpPr>
            <xdr:cNvPr id="91294" name="Check Box 3230" hidden="1">
              <a:extLst>
                <a:ext uri="{63B3BB69-23CF-44E3-9099-C40C66FF867C}">
                  <a14:compatExt spid="_x0000_s91294"/>
                </a:ext>
                <a:ext uri="{FF2B5EF4-FFF2-40B4-BE49-F238E27FC236}">
                  <a16:creationId xmlns:a16="http://schemas.microsoft.com/office/drawing/2014/main" id="{00000000-0008-0000-0100-00009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80</xdr:row>
          <xdr:rowOff>228600</xdr:rowOff>
        </xdr:from>
        <xdr:to>
          <xdr:col>8</xdr:col>
          <xdr:colOff>57150</xdr:colOff>
          <xdr:row>82</xdr:row>
          <xdr:rowOff>0</xdr:rowOff>
        </xdr:to>
        <xdr:sp macro="" textlink="">
          <xdr:nvSpPr>
            <xdr:cNvPr id="91295" name="Check Box 3231" hidden="1">
              <a:extLst>
                <a:ext uri="{63B3BB69-23CF-44E3-9099-C40C66FF867C}">
                  <a14:compatExt spid="_x0000_s91295"/>
                </a:ext>
                <a:ext uri="{FF2B5EF4-FFF2-40B4-BE49-F238E27FC236}">
                  <a16:creationId xmlns:a16="http://schemas.microsoft.com/office/drawing/2014/main" id="{00000000-0008-0000-0100-00009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81</xdr:row>
          <xdr:rowOff>228600</xdr:rowOff>
        </xdr:from>
        <xdr:to>
          <xdr:col>8</xdr:col>
          <xdr:colOff>57150</xdr:colOff>
          <xdr:row>83</xdr:row>
          <xdr:rowOff>0</xdr:rowOff>
        </xdr:to>
        <xdr:sp macro="" textlink="">
          <xdr:nvSpPr>
            <xdr:cNvPr id="91296" name="Check Box 3232" hidden="1">
              <a:extLst>
                <a:ext uri="{63B3BB69-23CF-44E3-9099-C40C66FF867C}">
                  <a14:compatExt spid="_x0000_s91296"/>
                </a:ext>
                <a:ext uri="{FF2B5EF4-FFF2-40B4-BE49-F238E27FC236}">
                  <a16:creationId xmlns:a16="http://schemas.microsoft.com/office/drawing/2014/main" id="{00000000-0008-0000-0100-0000A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82</xdr:row>
          <xdr:rowOff>228600</xdr:rowOff>
        </xdr:from>
        <xdr:to>
          <xdr:col>8</xdr:col>
          <xdr:colOff>57150</xdr:colOff>
          <xdr:row>84</xdr:row>
          <xdr:rowOff>0</xdr:rowOff>
        </xdr:to>
        <xdr:sp macro="" textlink="">
          <xdr:nvSpPr>
            <xdr:cNvPr id="91297" name="Check Box 3233" hidden="1">
              <a:extLst>
                <a:ext uri="{63B3BB69-23CF-44E3-9099-C40C66FF867C}">
                  <a14:compatExt spid="_x0000_s91297"/>
                </a:ext>
                <a:ext uri="{FF2B5EF4-FFF2-40B4-BE49-F238E27FC236}">
                  <a16:creationId xmlns:a16="http://schemas.microsoft.com/office/drawing/2014/main" id="{00000000-0008-0000-0100-0000A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83</xdr:row>
          <xdr:rowOff>228600</xdr:rowOff>
        </xdr:from>
        <xdr:to>
          <xdr:col>8</xdr:col>
          <xdr:colOff>57150</xdr:colOff>
          <xdr:row>85</xdr:row>
          <xdr:rowOff>0</xdr:rowOff>
        </xdr:to>
        <xdr:sp macro="" textlink="">
          <xdr:nvSpPr>
            <xdr:cNvPr id="91298" name="Check Box 3234" hidden="1">
              <a:extLst>
                <a:ext uri="{63B3BB69-23CF-44E3-9099-C40C66FF867C}">
                  <a14:compatExt spid="_x0000_s91298"/>
                </a:ext>
                <a:ext uri="{FF2B5EF4-FFF2-40B4-BE49-F238E27FC236}">
                  <a16:creationId xmlns:a16="http://schemas.microsoft.com/office/drawing/2014/main" id="{00000000-0008-0000-0100-0000A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203200</xdr:rowOff>
        </xdr:from>
        <xdr:to>
          <xdr:col>7</xdr:col>
          <xdr:colOff>31750</xdr:colOff>
          <xdr:row>52</xdr:row>
          <xdr:rowOff>31750</xdr:rowOff>
        </xdr:to>
        <xdr:sp macro="" textlink="">
          <xdr:nvSpPr>
            <xdr:cNvPr id="109037" name="Option Button 4589" hidden="1">
              <a:extLst>
                <a:ext uri="{63B3BB69-23CF-44E3-9099-C40C66FF867C}">
                  <a14:compatExt spid="_x0000_s109037"/>
                </a:ext>
                <a:ext uri="{FF2B5EF4-FFF2-40B4-BE49-F238E27FC236}">
                  <a16:creationId xmlns:a16="http://schemas.microsoft.com/office/drawing/2014/main" id="{00000000-0008-0000-0100-0000EDA9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134471</xdr:colOff>
      <xdr:row>45</xdr:row>
      <xdr:rowOff>116541</xdr:rowOff>
    </xdr:from>
    <xdr:to>
      <xdr:col>1</xdr:col>
      <xdr:colOff>1792941</xdr:colOff>
      <xdr:row>48</xdr:row>
      <xdr:rowOff>179294</xdr:rowOff>
    </xdr:to>
    <xdr:sp macro="" textlink="">
      <xdr:nvSpPr>
        <xdr:cNvPr id="2" name="正方形/長方形 1">
          <a:extLst>
            <a:ext uri="{FF2B5EF4-FFF2-40B4-BE49-F238E27FC236}">
              <a16:creationId xmlns:a16="http://schemas.microsoft.com/office/drawing/2014/main" id="{00000000-0008-0000-0200-000002000000}"/>
            </a:ext>
          </a:extLst>
        </xdr:cNvPr>
        <xdr:cNvSpPr/>
      </xdr:nvSpPr>
      <xdr:spPr>
        <a:xfrm>
          <a:off x="8811746" y="14165916"/>
          <a:ext cx="1658470" cy="7771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運用</a:t>
          </a:r>
          <a:r>
            <a:rPr kumimoji="1" lang="en-US" altLang="ja-JP" sz="1100"/>
            <a:t>CL</a:t>
          </a:r>
          <a:r>
            <a:rPr kumimoji="1" lang="ja-JP" altLang="en-US" sz="1100"/>
            <a:t> ：なし</a:t>
          </a:r>
          <a:endParaRPr kumimoji="0" lang="en-US" altLang="ja-JP" sz="1100" b="0" i="0" u="none" strike="noStrike">
            <a:solidFill>
              <a:schemeClr val="lt1"/>
            </a:solidFill>
            <a:effectLst/>
            <a:latin typeface="+mn-lt"/>
            <a:ea typeface="+mn-ea"/>
            <a:cs typeface="+mn-cs"/>
          </a:endParaRPr>
        </a:p>
        <a:p>
          <a:pPr algn="l"/>
          <a:r>
            <a:rPr kumimoji="0" lang="ja-JP" altLang="en-US" sz="1100" b="0" i="0" u="none" strike="noStrike">
              <a:solidFill>
                <a:schemeClr val="lt1"/>
              </a:solidFill>
              <a:effectLst/>
              <a:latin typeface="+mn-lt"/>
              <a:ea typeface="+mn-ea"/>
              <a:cs typeface="+mn-cs"/>
            </a:rPr>
            <a:t>システム脆弱：全て</a:t>
          </a:r>
          <a:endParaRPr lang="en-US" altLang="ja-JP" sz="1100" b="0" i="0" u="none" strike="noStrike">
            <a:solidFill>
              <a:schemeClr val="lt1"/>
            </a:solidFill>
            <a:effectLst/>
            <a:latin typeface="+mn-lt"/>
            <a:ea typeface="+mn-ea"/>
            <a:cs typeface="+mn-cs"/>
          </a:endParaRPr>
        </a:p>
      </xdr:txBody>
    </xdr:sp>
    <xdr:clientData/>
  </xdr:twoCellAnchor>
  <xdr:twoCellAnchor>
    <xdr:from>
      <xdr:col>1</xdr:col>
      <xdr:colOff>107577</xdr:colOff>
      <xdr:row>64</xdr:row>
      <xdr:rowOff>107576</xdr:rowOff>
    </xdr:from>
    <xdr:to>
      <xdr:col>1</xdr:col>
      <xdr:colOff>1766047</xdr:colOff>
      <xdr:row>68</xdr:row>
      <xdr:rowOff>125506</xdr:rowOff>
    </xdr:to>
    <xdr:sp macro="" textlink="">
      <xdr:nvSpPr>
        <xdr:cNvPr id="3" name="正方形/長方形 2">
          <a:extLst>
            <a:ext uri="{FF2B5EF4-FFF2-40B4-BE49-F238E27FC236}">
              <a16:creationId xmlns:a16="http://schemas.microsoft.com/office/drawing/2014/main" id="{00000000-0008-0000-0200-000003000000}"/>
            </a:ext>
          </a:extLst>
        </xdr:cNvPr>
        <xdr:cNvSpPr/>
      </xdr:nvSpPr>
      <xdr:spPr>
        <a:xfrm>
          <a:off x="8784852" y="18681326"/>
          <a:ext cx="1658470" cy="9704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運用</a:t>
          </a:r>
          <a:r>
            <a:rPr kumimoji="1" lang="en-US" altLang="ja-JP" sz="1100"/>
            <a:t>CL</a:t>
          </a:r>
          <a:r>
            <a:rPr kumimoji="1" lang="ja-JP" altLang="en-US" sz="1100"/>
            <a:t>：なし</a:t>
          </a:r>
          <a:endParaRPr kumimoji="0" lang="en-US" altLang="ja-JP" sz="1100" b="0" i="0" u="none" strike="noStrike">
            <a:solidFill>
              <a:schemeClr val="lt1"/>
            </a:solidFill>
            <a:effectLst/>
            <a:latin typeface="+mn-lt"/>
            <a:ea typeface="+mn-ea"/>
            <a:cs typeface="+mn-cs"/>
          </a:endParaRPr>
        </a:p>
        <a:p>
          <a:pPr algn="l"/>
          <a:r>
            <a:rPr kumimoji="0" lang="ja-JP" altLang="en-US" sz="1100" b="0" i="0" u="none" strike="noStrike">
              <a:solidFill>
                <a:schemeClr val="lt1"/>
              </a:solidFill>
              <a:effectLst/>
              <a:latin typeface="+mn-lt"/>
              <a:ea typeface="+mn-ea"/>
              <a:cs typeface="+mn-cs"/>
            </a:rPr>
            <a:t>システム脆弱： インフラ・運用プロセス</a:t>
          </a:r>
          <a:endParaRPr lang="en-US" altLang="ja-JP" sz="1100" b="0" i="0" u="none" strike="noStrike">
            <a:solidFill>
              <a:schemeClr val="lt1"/>
            </a:solidFill>
            <a:effectLst/>
            <a:latin typeface="+mn-lt"/>
            <a:ea typeface="+mn-ea"/>
            <a:cs typeface="+mn-cs"/>
          </a:endParaRPr>
        </a:p>
      </xdr:txBody>
    </xdr:sp>
    <xdr:clientData/>
  </xdr:twoCellAnchor>
  <xdr:twoCellAnchor>
    <xdr:from>
      <xdr:col>1</xdr:col>
      <xdr:colOff>753035</xdr:colOff>
      <xdr:row>82</xdr:row>
      <xdr:rowOff>53789</xdr:rowOff>
    </xdr:from>
    <xdr:to>
      <xdr:col>2</xdr:col>
      <xdr:colOff>466164</xdr:colOff>
      <xdr:row>85</xdr:row>
      <xdr:rowOff>116541</xdr:rowOff>
    </xdr:to>
    <xdr:sp macro="" textlink="">
      <xdr:nvSpPr>
        <xdr:cNvPr id="4" name="正方形/長方形 3">
          <a:extLst>
            <a:ext uri="{FF2B5EF4-FFF2-40B4-BE49-F238E27FC236}">
              <a16:creationId xmlns:a16="http://schemas.microsoft.com/office/drawing/2014/main" id="{00000000-0008-0000-0200-000004000000}"/>
            </a:ext>
          </a:extLst>
        </xdr:cNvPr>
        <xdr:cNvSpPr/>
      </xdr:nvSpPr>
      <xdr:spPr>
        <a:xfrm>
          <a:off x="9430310" y="22913789"/>
          <a:ext cx="1656229" cy="7771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運用</a:t>
          </a:r>
          <a:r>
            <a:rPr kumimoji="1" lang="en-US" altLang="ja-JP" sz="1100"/>
            <a:t>CL</a:t>
          </a:r>
          <a:r>
            <a:rPr kumimoji="1" lang="ja-JP" altLang="en-US" sz="1100"/>
            <a:t> ：なし</a:t>
          </a:r>
          <a:endParaRPr kumimoji="0" lang="en-US" altLang="ja-JP" sz="1100" b="0" i="0" u="none" strike="noStrike">
            <a:solidFill>
              <a:schemeClr val="lt1"/>
            </a:solidFill>
            <a:effectLst/>
            <a:latin typeface="+mn-lt"/>
            <a:ea typeface="+mn-ea"/>
            <a:cs typeface="+mn-cs"/>
          </a:endParaRPr>
        </a:p>
        <a:p>
          <a:pPr algn="l"/>
          <a:r>
            <a:rPr kumimoji="0" lang="ja-JP" altLang="en-US" sz="1100" b="0" i="0" u="none" strike="noStrike">
              <a:solidFill>
                <a:schemeClr val="lt1"/>
              </a:solidFill>
              <a:effectLst/>
              <a:latin typeface="+mn-lt"/>
              <a:ea typeface="+mn-ea"/>
              <a:cs typeface="+mn-cs"/>
            </a:rPr>
            <a:t>システム脆弱：なし</a:t>
          </a:r>
          <a:endParaRPr lang="en-US" altLang="ja-JP" sz="1100" b="0" i="0" u="none" strike="noStrike">
            <a:solidFill>
              <a:schemeClr val="lt1"/>
            </a:solidFill>
            <a:effectLst/>
            <a:latin typeface="+mn-lt"/>
            <a:ea typeface="+mn-ea"/>
            <a:cs typeface="+mn-cs"/>
          </a:endParaRPr>
        </a:p>
      </xdr:txBody>
    </xdr:sp>
    <xdr:clientData/>
  </xdr:twoCellAnchor>
  <xdr:twoCellAnchor>
    <xdr:from>
      <xdr:col>1</xdr:col>
      <xdr:colOff>89648</xdr:colOff>
      <xdr:row>24</xdr:row>
      <xdr:rowOff>89646</xdr:rowOff>
    </xdr:from>
    <xdr:to>
      <xdr:col>1</xdr:col>
      <xdr:colOff>1748118</xdr:colOff>
      <xdr:row>28</xdr:row>
      <xdr:rowOff>116541</xdr:rowOff>
    </xdr:to>
    <xdr:sp macro="" textlink="">
      <xdr:nvSpPr>
        <xdr:cNvPr id="5" name="正方形/長方形 4">
          <a:extLst>
            <a:ext uri="{FF2B5EF4-FFF2-40B4-BE49-F238E27FC236}">
              <a16:creationId xmlns:a16="http://schemas.microsoft.com/office/drawing/2014/main" id="{00000000-0008-0000-0200-000005000000}"/>
            </a:ext>
          </a:extLst>
        </xdr:cNvPr>
        <xdr:cNvSpPr/>
      </xdr:nvSpPr>
      <xdr:spPr>
        <a:xfrm>
          <a:off x="8766923" y="9138396"/>
          <a:ext cx="1658470" cy="9793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運用</a:t>
          </a:r>
          <a:r>
            <a:rPr kumimoji="1" lang="en-US" altLang="ja-JP" sz="1100"/>
            <a:t>CL</a:t>
          </a:r>
          <a:r>
            <a:rPr kumimoji="1" lang="ja-JP" altLang="en-US" sz="1100"/>
            <a:t> ：あり</a:t>
          </a:r>
          <a:endParaRPr kumimoji="0" lang="en-US" altLang="ja-JP" sz="1100" b="0" i="0" u="none" strike="noStrike">
            <a:solidFill>
              <a:schemeClr val="lt1"/>
            </a:solidFill>
            <a:effectLst/>
            <a:latin typeface="+mn-lt"/>
            <a:ea typeface="+mn-ea"/>
            <a:cs typeface="+mn-cs"/>
          </a:endParaRPr>
        </a:p>
        <a:p>
          <a:pPr algn="l"/>
          <a:r>
            <a:rPr kumimoji="0" lang="ja-JP" altLang="en-US" sz="1100" b="0" i="0" u="none" strike="noStrike">
              <a:solidFill>
                <a:schemeClr val="lt1"/>
              </a:solidFill>
              <a:effectLst/>
              <a:latin typeface="+mn-lt"/>
              <a:ea typeface="+mn-ea"/>
              <a:cs typeface="+mn-cs"/>
            </a:rPr>
            <a:t>システム脆弱：</a:t>
          </a:r>
          <a:r>
            <a:rPr lang="ja-JP" altLang="ja-JP" sz="1100" b="0" i="0">
              <a:solidFill>
                <a:schemeClr val="lt1"/>
              </a:solidFill>
              <a:effectLst/>
              <a:latin typeface="+mn-lt"/>
              <a:ea typeface="+mn-ea"/>
              <a:cs typeface="+mn-cs"/>
            </a:rPr>
            <a:t>インフラ・運用プロセス</a:t>
          </a:r>
          <a:endParaRPr lang="en-US" altLang="ja-JP" sz="1100" b="0" i="0" u="none" strike="noStrike">
            <a:solidFill>
              <a:schemeClr val="lt1"/>
            </a:solidFill>
            <a:effectLst/>
            <a:latin typeface="+mn-lt"/>
            <a:ea typeface="+mn-ea"/>
            <a:cs typeface="+mn-cs"/>
          </a:endParaRPr>
        </a:p>
      </xdr:txBody>
    </xdr:sp>
    <xdr:clientData/>
  </xdr:twoCellAnchor>
  <xdr:twoCellAnchor>
    <xdr:from>
      <xdr:col>1</xdr:col>
      <xdr:colOff>80683</xdr:colOff>
      <xdr:row>4</xdr:row>
      <xdr:rowOff>206188</xdr:rowOff>
    </xdr:from>
    <xdr:to>
      <xdr:col>1</xdr:col>
      <xdr:colOff>1739153</xdr:colOff>
      <xdr:row>8</xdr:row>
      <xdr:rowOff>28239</xdr:rowOff>
    </xdr:to>
    <xdr:sp macro="" textlink="">
      <xdr:nvSpPr>
        <xdr:cNvPr id="6" name="正方形/長方形 5">
          <a:extLst>
            <a:ext uri="{FF2B5EF4-FFF2-40B4-BE49-F238E27FC236}">
              <a16:creationId xmlns:a16="http://schemas.microsoft.com/office/drawing/2014/main" id="{00000000-0008-0000-0200-000006000000}"/>
            </a:ext>
          </a:extLst>
        </xdr:cNvPr>
        <xdr:cNvSpPr/>
      </xdr:nvSpPr>
      <xdr:spPr>
        <a:xfrm>
          <a:off x="8757958" y="4492438"/>
          <a:ext cx="1658470" cy="7745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運用</a:t>
          </a:r>
          <a:r>
            <a:rPr kumimoji="1" lang="en-US" altLang="ja-JP" sz="1100"/>
            <a:t>CL</a:t>
          </a:r>
          <a:r>
            <a:rPr kumimoji="1" lang="ja-JP" altLang="en-US" sz="1100"/>
            <a:t> ：あり</a:t>
          </a:r>
          <a:endParaRPr kumimoji="0" lang="en-US" altLang="ja-JP" sz="1100" b="0" i="0" u="none" strike="noStrike">
            <a:solidFill>
              <a:schemeClr val="lt1"/>
            </a:solidFill>
            <a:effectLst/>
            <a:latin typeface="+mn-lt"/>
            <a:ea typeface="+mn-ea"/>
            <a:cs typeface="+mn-cs"/>
          </a:endParaRPr>
        </a:p>
        <a:p>
          <a:pPr algn="l"/>
          <a:r>
            <a:rPr kumimoji="0" lang="ja-JP" altLang="en-US" sz="1100" b="0" i="0" u="none" strike="noStrike">
              <a:solidFill>
                <a:schemeClr val="lt1"/>
              </a:solidFill>
              <a:effectLst/>
              <a:latin typeface="+mn-lt"/>
              <a:ea typeface="+mn-ea"/>
              <a:cs typeface="+mn-cs"/>
            </a:rPr>
            <a:t>システム脆弱：全て</a:t>
          </a:r>
          <a:endParaRPr lang="en-US" altLang="ja-JP" sz="1100" b="0" i="0" u="none" strike="noStrike">
            <a:solidFill>
              <a:schemeClr val="lt1"/>
            </a:solidFill>
            <a:effectLst/>
            <a:latin typeface="+mn-lt"/>
            <a:ea typeface="+mn-ea"/>
            <a:cs typeface="+mn-cs"/>
          </a:endParaRPr>
        </a:p>
      </xdr:txBody>
    </xdr:sp>
    <xdr:clientData/>
  </xdr:twoCellAnchor>
  <xdr:twoCellAnchor>
    <xdr:from>
      <xdr:col>21</xdr:col>
      <xdr:colOff>466165</xdr:colOff>
      <xdr:row>4</xdr:row>
      <xdr:rowOff>206187</xdr:rowOff>
    </xdr:from>
    <xdr:to>
      <xdr:col>26</xdr:col>
      <xdr:colOff>519952</xdr:colOff>
      <xdr:row>11</xdr:row>
      <xdr:rowOff>206188</xdr:rowOff>
    </xdr:to>
    <xdr:sp macro="" textlink="">
      <xdr:nvSpPr>
        <xdr:cNvPr id="7" name="正方形/長方形 6">
          <a:extLst>
            <a:ext uri="{FF2B5EF4-FFF2-40B4-BE49-F238E27FC236}">
              <a16:creationId xmlns:a16="http://schemas.microsoft.com/office/drawing/2014/main" id="{00000000-0008-0000-0200-000007000000}"/>
            </a:ext>
          </a:extLst>
        </xdr:cNvPr>
        <xdr:cNvSpPr/>
      </xdr:nvSpPr>
      <xdr:spPr>
        <a:xfrm>
          <a:off x="31917715" y="4492437"/>
          <a:ext cx="3482787" cy="1666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ja-JP" altLang="en-US" sz="1100" b="0" i="0" u="none" strike="noStrike">
              <a:solidFill>
                <a:schemeClr val="lt1"/>
              </a:solidFill>
              <a:effectLst/>
              <a:latin typeface="+mn-lt"/>
              <a:ea typeface="+mn-ea"/>
              <a:cs typeface="+mn-cs"/>
            </a:rPr>
            <a:t>全てのケースにおいて、以下のみの修正案件はチェックリストの省略可</a:t>
          </a:r>
          <a:endParaRPr lang="en-US" altLang="ja-JP" sz="1100" b="0" i="0" u="none" strike="noStrike">
            <a:solidFill>
              <a:schemeClr val="lt1"/>
            </a:solidFill>
            <a:effectLst/>
            <a:latin typeface="+mn-lt"/>
            <a:ea typeface="+mn-ea"/>
            <a:cs typeface="+mn-cs"/>
          </a:endParaRPr>
        </a:p>
        <a:p>
          <a:pPr algn="l"/>
          <a:r>
            <a:rPr lang="ja-JP" altLang="en-US" sz="1100">
              <a:solidFill>
                <a:schemeClr val="lt1"/>
              </a:solidFill>
              <a:effectLst/>
              <a:latin typeface="+mn-lt"/>
              <a:ea typeface="+mn-ea"/>
              <a:cs typeface="+mn-cs"/>
            </a:rPr>
            <a:t>①静的な文言変更、追加</a:t>
          </a:r>
          <a:br>
            <a:rPr lang="ja-JP" altLang="en-US" sz="1100">
              <a:solidFill>
                <a:schemeClr val="lt1"/>
              </a:solidFill>
              <a:effectLst/>
              <a:latin typeface="+mn-lt"/>
              <a:ea typeface="+mn-ea"/>
              <a:cs typeface="+mn-cs"/>
            </a:rPr>
          </a:br>
          <a:r>
            <a:rPr lang="ja-JP" altLang="en-US" sz="1100">
              <a:solidFill>
                <a:schemeClr val="lt1"/>
              </a:solidFill>
              <a:effectLst/>
              <a:latin typeface="+mn-lt"/>
              <a:ea typeface="+mn-ea"/>
              <a:cs typeface="+mn-cs"/>
            </a:rPr>
            <a:t>②入力値の妥当性の検証ロジックが変わらない変更、追加（ドロップダウンリストの文言修正や単純追加など）</a:t>
          </a:r>
          <a:endParaRPr lang="en-US" altLang="ja-JP" sz="1100">
            <a:solidFill>
              <a:schemeClr val="lt1"/>
            </a:solidFill>
            <a:effectLst/>
            <a:latin typeface="+mn-lt"/>
            <a:ea typeface="+mn-ea"/>
            <a:cs typeface="+mn-cs"/>
          </a:endParaRPr>
        </a:p>
        <a:p>
          <a:pPr algn="l"/>
          <a:endParaRPr lang="en-US" altLang="ja-JP" sz="1100" b="0" i="0" u="none" strike="noStrike">
            <a:solidFill>
              <a:schemeClr val="lt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88900</xdr:colOff>
          <xdr:row>10</xdr:row>
          <xdr:rowOff>0</xdr:rowOff>
        </xdr:from>
        <xdr:to>
          <xdr:col>24</xdr:col>
          <xdr:colOff>247650</xdr:colOff>
          <xdr:row>10</xdr:row>
          <xdr:rowOff>241300</xdr:rowOff>
        </xdr:to>
        <xdr:sp macro="" textlink="">
          <xdr:nvSpPr>
            <xdr:cNvPr id="58369" name="Check Box 1" hidden="1">
              <a:extLst>
                <a:ext uri="{63B3BB69-23CF-44E3-9099-C40C66FF867C}">
                  <a14:compatExt spid="_x0000_s58369"/>
                </a:ext>
                <a:ext uri="{FF2B5EF4-FFF2-40B4-BE49-F238E27FC236}">
                  <a16:creationId xmlns:a16="http://schemas.microsoft.com/office/drawing/2014/main" id="{00000000-0008-0000-0300-00000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174764</xdr:colOff>
      <xdr:row>6</xdr:row>
      <xdr:rowOff>104775</xdr:rowOff>
    </xdr:from>
    <xdr:to>
      <xdr:col>4</xdr:col>
      <xdr:colOff>257175</xdr:colOff>
      <xdr:row>8</xdr:row>
      <xdr:rowOff>103285</xdr:rowOff>
    </xdr:to>
    <xdr:sp macro="[0]!clear_all" textlink="">
      <xdr:nvSpPr>
        <xdr:cNvPr id="3" name="四角形: 角を丸くする 2">
          <a:extLst>
            <a:ext uri="{FF2B5EF4-FFF2-40B4-BE49-F238E27FC236}">
              <a16:creationId xmlns:a16="http://schemas.microsoft.com/office/drawing/2014/main" id="{00000000-0008-0000-0300-000003000000}"/>
            </a:ext>
          </a:extLst>
        </xdr:cNvPr>
        <xdr:cNvSpPr/>
      </xdr:nvSpPr>
      <xdr:spPr>
        <a:xfrm>
          <a:off x="546239" y="1447800"/>
          <a:ext cx="1282561" cy="474760"/>
        </a:xfrm>
        <a:prstGeom prst="roundRect">
          <a:avLst/>
        </a:prstGeom>
        <a:solidFill>
          <a:srgbClr val="0070C0"/>
        </a:solidFill>
        <a:effectLst>
          <a:outerShdw blurRad="50800" dist="38100" dir="2700000" algn="tl" rotWithShape="0">
            <a:prstClr val="black">
              <a:alpha val="40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400">
              <a:latin typeface="BIZ UDPゴシック" panose="020B0400000000000000" pitchFamily="50" charset="-128"/>
              <a:ea typeface="BIZ UDPゴシック" panose="020B0400000000000000" pitchFamily="50" charset="-128"/>
            </a:rPr>
            <a:t>全クリア</a:t>
          </a:r>
        </a:p>
      </xdr:txBody>
    </xdr:sp>
    <xdr:clientData/>
  </xdr:twoCellAnchor>
  <xdr:twoCellAnchor>
    <xdr:from>
      <xdr:col>2</xdr:col>
      <xdr:colOff>28575</xdr:colOff>
      <xdr:row>4</xdr:row>
      <xdr:rowOff>57150</xdr:rowOff>
    </xdr:from>
    <xdr:to>
      <xdr:col>4</xdr:col>
      <xdr:colOff>371475</xdr:colOff>
      <xdr:row>5</xdr:row>
      <xdr:rowOff>142875</xdr:rowOff>
    </xdr:to>
    <xdr:sp macro="" textlink="">
      <xdr:nvSpPr>
        <xdr:cNvPr id="4" name="四角形: 角を丸くする 3">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800100" y="923925"/>
          <a:ext cx="1143000" cy="323850"/>
        </a:xfrm>
        <a:prstGeom prst="roundRect">
          <a:avLst>
            <a:gd name="adj" fmla="val 20679"/>
          </a:avLst>
        </a:prstGeom>
        <a:solidFill>
          <a:srgbClr val="FFFF00"/>
        </a:solidFill>
        <a:ln w="25400" cmpd="dbl">
          <a:solidFill>
            <a:srgbClr val="FFC000"/>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200">
              <a:solidFill>
                <a:srgbClr val="0070C0"/>
              </a:solidFill>
              <a:latin typeface="HGPｺﾞｼｯｸE" panose="020B0900000000000000" pitchFamily="50" charset="-128"/>
              <a:ea typeface="HGPｺﾞｼｯｸE" panose="020B0900000000000000" pitchFamily="50" charset="-128"/>
            </a:rPr>
            <a:t>詳細はこちら</a:t>
          </a:r>
        </a:p>
      </xdr:txBody>
    </xdr:sp>
    <xdr:clientData/>
  </xdr:twoCellAnchor>
  <mc:AlternateContent xmlns:mc="http://schemas.openxmlformats.org/markup-compatibility/2006">
    <mc:Choice xmlns:a14="http://schemas.microsoft.com/office/drawing/2010/main" Requires="a14">
      <xdr:twoCellAnchor editAs="oneCell">
        <xdr:from>
          <xdr:col>6</xdr:col>
          <xdr:colOff>38100</xdr:colOff>
          <xdr:row>1</xdr:row>
          <xdr:rowOff>0</xdr:rowOff>
        </xdr:from>
        <xdr:to>
          <xdr:col>23</xdr:col>
          <xdr:colOff>742950</xdr:colOff>
          <xdr:row>2</xdr:row>
          <xdr:rowOff>0</xdr:rowOff>
        </xdr:to>
        <xdr:sp macro="" textlink="">
          <xdr:nvSpPr>
            <xdr:cNvPr id="58370" name="Option Button 2" hidden="1">
              <a:extLst>
                <a:ext uri="{63B3BB69-23CF-44E3-9099-C40C66FF867C}">
                  <a14:compatExt spid="_x0000_s58370"/>
                </a:ext>
                <a:ext uri="{FF2B5EF4-FFF2-40B4-BE49-F238E27FC236}">
                  <a16:creationId xmlns:a16="http://schemas.microsoft.com/office/drawing/2014/main" id="{00000000-0008-0000-0300-00000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xdr:row>
          <xdr:rowOff>0</xdr:rowOff>
        </xdr:from>
        <xdr:to>
          <xdr:col>23</xdr:col>
          <xdr:colOff>819150</xdr:colOff>
          <xdr:row>3</xdr:row>
          <xdr:rowOff>0</xdr:rowOff>
        </xdr:to>
        <xdr:sp macro="" textlink="">
          <xdr:nvSpPr>
            <xdr:cNvPr id="58371" name="Option Button 3" hidden="1">
              <a:extLst>
                <a:ext uri="{63B3BB69-23CF-44E3-9099-C40C66FF867C}">
                  <a14:compatExt spid="_x0000_s58371"/>
                </a:ext>
                <a:ext uri="{FF2B5EF4-FFF2-40B4-BE49-F238E27FC236}">
                  <a16:creationId xmlns:a16="http://schemas.microsoft.com/office/drawing/2014/main" id="{00000000-0008-0000-0300-00000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4</xdr:row>
          <xdr:rowOff>0</xdr:rowOff>
        </xdr:from>
        <xdr:to>
          <xdr:col>24</xdr:col>
          <xdr:colOff>171450</xdr:colOff>
          <xdr:row>5</xdr:row>
          <xdr:rowOff>0</xdr:rowOff>
        </xdr:to>
        <xdr:sp macro="" textlink="">
          <xdr:nvSpPr>
            <xdr:cNvPr id="58372" name="Option Button 4" hidden="1">
              <a:extLst>
                <a:ext uri="{63B3BB69-23CF-44E3-9099-C40C66FF867C}">
                  <a14:compatExt spid="_x0000_s58372"/>
                </a:ext>
                <a:ext uri="{FF2B5EF4-FFF2-40B4-BE49-F238E27FC236}">
                  <a16:creationId xmlns:a16="http://schemas.microsoft.com/office/drawing/2014/main" id="{00000000-0008-0000-0300-00000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22860" rIns="0" bIns="22860" anchor="ctr" upright="1"/>
            <a:lstStyle/>
            <a:p>
              <a:pPr algn="l" rtl="0">
                <a:defRPr sz="1000"/>
              </a:pPr>
              <a:r>
                <a:rPr lang="ja-JP" altLang="en-US" sz="1100" b="0" i="0" u="none" strike="noStrike" baseline="0">
                  <a:solidFill>
                    <a:srgbClr val="000000"/>
                  </a:solidFill>
                  <a:latin typeface="HGPｺﾞｼｯｸM"/>
                  <a:ea typeface="HGPｺﾞｼｯｸM"/>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0</xdr:rowOff>
        </xdr:from>
        <xdr:to>
          <xdr:col>23</xdr:col>
          <xdr:colOff>774700</xdr:colOff>
          <xdr:row>37</xdr:row>
          <xdr:rowOff>146050</xdr:rowOff>
        </xdr:to>
        <xdr:sp macro="" textlink="">
          <xdr:nvSpPr>
            <xdr:cNvPr id="58373" name="Group Box 5" hidden="1">
              <a:extLst>
                <a:ext uri="{63B3BB69-23CF-44E3-9099-C40C66FF867C}">
                  <a14:compatExt spid="_x0000_s58373"/>
                </a:ext>
                <a:ext uri="{FF2B5EF4-FFF2-40B4-BE49-F238E27FC236}">
                  <a16:creationId xmlns:a16="http://schemas.microsoft.com/office/drawing/2014/main" id="{00000000-0008-0000-0300-000005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7</xdr:row>
          <xdr:rowOff>0</xdr:rowOff>
        </xdr:from>
        <xdr:to>
          <xdr:col>24</xdr:col>
          <xdr:colOff>171450</xdr:colOff>
          <xdr:row>8</xdr:row>
          <xdr:rowOff>0</xdr:rowOff>
        </xdr:to>
        <xdr:sp macro="" textlink="">
          <xdr:nvSpPr>
            <xdr:cNvPr id="58374" name="Option Button 6" hidden="1">
              <a:extLst>
                <a:ext uri="{63B3BB69-23CF-44E3-9099-C40C66FF867C}">
                  <a14:compatExt spid="_x0000_s58374"/>
                </a:ext>
                <a:ext uri="{FF2B5EF4-FFF2-40B4-BE49-F238E27FC236}">
                  <a16:creationId xmlns:a16="http://schemas.microsoft.com/office/drawing/2014/main" id="{00000000-0008-0000-0300-00000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22860" rIns="0" bIns="22860" anchor="ctr" upright="1"/>
            <a:lstStyle/>
            <a:p>
              <a:pPr algn="l" rtl="0">
                <a:defRPr sz="1000"/>
              </a:pPr>
              <a:r>
                <a:rPr lang="ja-JP" altLang="en-US" sz="1100" b="0" i="0" u="none" strike="noStrike" baseline="0">
                  <a:solidFill>
                    <a:srgbClr val="000000"/>
                  </a:solidFill>
                  <a:latin typeface="HGPｺﾞｼｯｸM"/>
                  <a:ea typeface="HGPｺﾞｼｯｸM"/>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8</xdr:row>
          <xdr:rowOff>0</xdr:rowOff>
        </xdr:from>
        <xdr:to>
          <xdr:col>24</xdr:col>
          <xdr:colOff>171450</xdr:colOff>
          <xdr:row>9</xdr:row>
          <xdr:rowOff>0</xdr:rowOff>
        </xdr:to>
        <xdr:sp macro="" textlink="">
          <xdr:nvSpPr>
            <xdr:cNvPr id="58375" name="Option Button 7" hidden="1">
              <a:extLst>
                <a:ext uri="{63B3BB69-23CF-44E3-9099-C40C66FF867C}">
                  <a14:compatExt spid="_x0000_s58375"/>
                </a:ext>
                <a:ext uri="{FF2B5EF4-FFF2-40B4-BE49-F238E27FC236}">
                  <a16:creationId xmlns:a16="http://schemas.microsoft.com/office/drawing/2014/main" id="{00000000-0008-0000-0300-000007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23</xdr:col>
          <xdr:colOff>927100</xdr:colOff>
          <xdr:row>6</xdr:row>
          <xdr:rowOff>57150</xdr:rowOff>
        </xdr:to>
        <xdr:sp macro="" textlink="">
          <xdr:nvSpPr>
            <xdr:cNvPr id="58376" name="Group Box 8" hidden="1">
              <a:extLst>
                <a:ext uri="{63B3BB69-23CF-44E3-9099-C40C66FF867C}">
                  <a14:compatExt spid="_x0000_s58376"/>
                </a:ext>
                <a:ext uri="{FF2B5EF4-FFF2-40B4-BE49-F238E27FC236}">
                  <a16:creationId xmlns:a16="http://schemas.microsoft.com/office/drawing/2014/main" id="{00000000-0008-0000-0300-000008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23</xdr:col>
          <xdr:colOff>895350</xdr:colOff>
          <xdr:row>8</xdr:row>
          <xdr:rowOff>228600</xdr:rowOff>
        </xdr:to>
        <xdr:sp macro="" textlink="">
          <xdr:nvSpPr>
            <xdr:cNvPr id="58377" name="Group Box 9" hidden="1">
              <a:extLst>
                <a:ext uri="{63B3BB69-23CF-44E3-9099-C40C66FF867C}">
                  <a14:compatExt spid="_x0000_s58377"/>
                </a:ext>
                <a:ext uri="{FF2B5EF4-FFF2-40B4-BE49-F238E27FC236}">
                  <a16:creationId xmlns:a16="http://schemas.microsoft.com/office/drawing/2014/main" id="{00000000-0008-0000-0300-000009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95250</xdr:rowOff>
        </xdr:from>
        <xdr:to>
          <xdr:col>23</xdr:col>
          <xdr:colOff>1022350</xdr:colOff>
          <xdr:row>10</xdr:row>
          <xdr:rowOff>285750</xdr:rowOff>
        </xdr:to>
        <xdr:sp macro="" textlink="">
          <xdr:nvSpPr>
            <xdr:cNvPr id="58378" name="Group Box 10" hidden="1">
              <a:extLst>
                <a:ext uri="{63B3BB69-23CF-44E3-9099-C40C66FF867C}">
                  <a14:compatExt spid="_x0000_s58378"/>
                </a:ext>
                <a:ext uri="{FF2B5EF4-FFF2-40B4-BE49-F238E27FC236}">
                  <a16:creationId xmlns:a16="http://schemas.microsoft.com/office/drawing/2014/main" id="{00000000-0008-0000-0300-00000A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25</xdr:col>
          <xdr:colOff>0</xdr:colOff>
          <xdr:row>6</xdr:row>
          <xdr:rowOff>0</xdr:rowOff>
        </xdr:to>
        <xdr:sp macro="" textlink="">
          <xdr:nvSpPr>
            <xdr:cNvPr id="58379" name="Group Box 11" hidden="1">
              <a:extLst>
                <a:ext uri="{63B3BB69-23CF-44E3-9099-C40C66FF867C}">
                  <a14:compatExt spid="_x0000_s58379"/>
                </a:ext>
                <a:ext uri="{FF2B5EF4-FFF2-40B4-BE49-F238E27FC236}">
                  <a16:creationId xmlns:a16="http://schemas.microsoft.com/office/drawing/2014/main" id="{00000000-0008-0000-0300-00000B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25</xdr:col>
          <xdr:colOff>0</xdr:colOff>
          <xdr:row>9</xdr:row>
          <xdr:rowOff>0</xdr:rowOff>
        </xdr:to>
        <xdr:sp macro="" textlink="">
          <xdr:nvSpPr>
            <xdr:cNvPr id="58380" name="Group Box 12" hidden="1">
              <a:extLst>
                <a:ext uri="{63B3BB69-23CF-44E3-9099-C40C66FF867C}">
                  <a14:compatExt spid="_x0000_s58380"/>
                </a:ext>
                <a:ext uri="{FF2B5EF4-FFF2-40B4-BE49-F238E27FC236}">
                  <a16:creationId xmlns:a16="http://schemas.microsoft.com/office/drawing/2014/main" id="{00000000-0008-0000-0300-00000C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17</xdr:row>
          <xdr:rowOff>0</xdr:rowOff>
        </xdr:from>
        <xdr:to>
          <xdr:col>25</xdr:col>
          <xdr:colOff>0</xdr:colOff>
          <xdr:row>19</xdr:row>
          <xdr:rowOff>0</xdr:rowOff>
        </xdr:to>
        <xdr:sp macro="" textlink="">
          <xdr:nvSpPr>
            <xdr:cNvPr id="58381" name="Group Box 13" hidden="1">
              <a:extLst>
                <a:ext uri="{63B3BB69-23CF-44E3-9099-C40C66FF867C}">
                  <a14:compatExt spid="_x0000_s58381"/>
                </a:ext>
                <a:ext uri="{FF2B5EF4-FFF2-40B4-BE49-F238E27FC236}">
                  <a16:creationId xmlns:a16="http://schemas.microsoft.com/office/drawing/2014/main" id="{00000000-0008-0000-0300-00000D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10</xdr:col>
          <xdr:colOff>152400</xdr:colOff>
          <xdr:row>19</xdr:row>
          <xdr:rowOff>0</xdr:rowOff>
        </xdr:to>
        <xdr:sp macro="" textlink="">
          <xdr:nvSpPr>
            <xdr:cNvPr id="58383" name="Option Button 15" hidden="1">
              <a:extLst>
                <a:ext uri="{63B3BB69-23CF-44E3-9099-C40C66FF867C}">
                  <a14:compatExt spid="_x0000_s58383"/>
                </a:ext>
                <a:ext uri="{FF2B5EF4-FFF2-40B4-BE49-F238E27FC236}">
                  <a16:creationId xmlns:a16="http://schemas.microsoft.com/office/drawing/2014/main" id="{00000000-0008-0000-0300-00000F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13</xdr:col>
          <xdr:colOff>0</xdr:colOff>
          <xdr:row>19</xdr:row>
          <xdr:rowOff>0</xdr:rowOff>
        </xdr:to>
        <xdr:sp macro="" textlink="">
          <xdr:nvSpPr>
            <xdr:cNvPr id="58384" name="Option Button 16" hidden="1">
              <a:extLst>
                <a:ext uri="{63B3BB69-23CF-44E3-9099-C40C66FF867C}">
                  <a14:compatExt spid="_x0000_s58384"/>
                </a:ext>
                <a:ext uri="{FF2B5EF4-FFF2-40B4-BE49-F238E27FC236}">
                  <a16:creationId xmlns:a16="http://schemas.microsoft.com/office/drawing/2014/main" id="{00000000-0008-0000-0300-000010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10</xdr:col>
          <xdr:colOff>152400</xdr:colOff>
          <xdr:row>24</xdr:row>
          <xdr:rowOff>0</xdr:rowOff>
        </xdr:to>
        <xdr:sp macro="" textlink="">
          <xdr:nvSpPr>
            <xdr:cNvPr id="58386" name="Option Button 18" hidden="1">
              <a:extLst>
                <a:ext uri="{63B3BB69-23CF-44E3-9099-C40C66FF867C}">
                  <a14:compatExt spid="_x0000_s58386"/>
                </a:ext>
                <a:ext uri="{FF2B5EF4-FFF2-40B4-BE49-F238E27FC236}">
                  <a16:creationId xmlns:a16="http://schemas.microsoft.com/office/drawing/2014/main" id="{00000000-0008-0000-0300-00001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23</xdr:row>
          <xdr:rowOff>0</xdr:rowOff>
        </xdr:from>
        <xdr:to>
          <xdr:col>13</xdr:col>
          <xdr:colOff>0</xdr:colOff>
          <xdr:row>24</xdr:row>
          <xdr:rowOff>0</xdr:rowOff>
        </xdr:to>
        <xdr:sp macro="" textlink="">
          <xdr:nvSpPr>
            <xdr:cNvPr id="58387" name="Option Button 19" hidden="1">
              <a:extLst>
                <a:ext uri="{63B3BB69-23CF-44E3-9099-C40C66FF867C}">
                  <a14:compatExt spid="_x0000_s58387"/>
                </a:ext>
                <a:ext uri="{FF2B5EF4-FFF2-40B4-BE49-F238E27FC236}">
                  <a16:creationId xmlns:a16="http://schemas.microsoft.com/office/drawing/2014/main" id="{00000000-0008-0000-0300-00001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25</xdr:row>
          <xdr:rowOff>0</xdr:rowOff>
        </xdr:from>
        <xdr:to>
          <xdr:col>25</xdr:col>
          <xdr:colOff>0</xdr:colOff>
          <xdr:row>29</xdr:row>
          <xdr:rowOff>0</xdr:rowOff>
        </xdr:to>
        <xdr:sp macro="" textlink="">
          <xdr:nvSpPr>
            <xdr:cNvPr id="58388" name="Group Box 20" hidden="1">
              <a:extLst>
                <a:ext uri="{63B3BB69-23CF-44E3-9099-C40C66FF867C}">
                  <a14:compatExt spid="_x0000_s58388"/>
                </a:ext>
                <a:ext uri="{FF2B5EF4-FFF2-40B4-BE49-F238E27FC236}">
                  <a16:creationId xmlns:a16="http://schemas.microsoft.com/office/drawing/2014/main" id="{00000000-0008-0000-0300-000014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10</xdr:col>
          <xdr:colOff>152400</xdr:colOff>
          <xdr:row>29</xdr:row>
          <xdr:rowOff>0</xdr:rowOff>
        </xdr:to>
        <xdr:sp macro="" textlink="">
          <xdr:nvSpPr>
            <xdr:cNvPr id="58389" name="Option Button 21" hidden="1">
              <a:extLst>
                <a:ext uri="{63B3BB69-23CF-44E3-9099-C40C66FF867C}">
                  <a14:compatExt spid="_x0000_s58389"/>
                </a:ext>
                <a:ext uri="{FF2B5EF4-FFF2-40B4-BE49-F238E27FC236}">
                  <a16:creationId xmlns:a16="http://schemas.microsoft.com/office/drawing/2014/main" id="{00000000-0008-0000-0300-00001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0</xdr:rowOff>
        </xdr:from>
        <xdr:to>
          <xdr:col>13</xdr:col>
          <xdr:colOff>0</xdr:colOff>
          <xdr:row>29</xdr:row>
          <xdr:rowOff>0</xdr:rowOff>
        </xdr:to>
        <xdr:sp macro="" textlink="">
          <xdr:nvSpPr>
            <xdr:cNvPr id="58390" name="Option Button 22" hidden="1">
              <a:extLst>
                <a:ext uri="{63B3BB69-23CF-44E3-9099-C40C66FF867C}">
                  <a14:compatExt spid="_x0000_s58390"/>
                </a:ext>
                <a:ext uri="{FF2B5EF4-FFF2-40B4-BE49-F238E27FC236}">
                  <a16:creationId xmlns:a16="http://schemas.microsoft.com/office/drawing/2014/main" id="{00000000-0008-0000-0300-00001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193814</xdr:colOff>
      <xdr:row>24</xdr:row>
      <xdr:rowOff>49115</xdr:rowOff>
    </xdr:from>
    <xdr:to>
      <xdr:col>4</xdr:col>
      <xdr:colOff>276225</xdr:colOff>
      <xdr:row>26</xdr:row>
      <xdr:rowOff>47625</xdr:rowOff>
    </xdr:to>
    <xdr:sp macro="[0]!clear_all2" textlink="">
      <xdr:nvSpPr>
        <xdr:cNvPr id="26" name="四角形: 角を丸くする 25">
          <a:extLst>
            <a:ext uri="{FF2B5EF4-FFF2-40B4-BE49-F238E27FC236}">
              <a16:creationId xmlns:a16="http://schemas.microsoft.com/office/drawing/2014/main" id="{00000000-0008-0000-0300-00001A000000}"/>
            </a:ext>
          </a:extLst>
        </xdr:cNvPr>
        <xdr:cNvSpPr/>
      </xdr:nvSpPr>
      <xdr:spPr>
        <a:xfrm>
          <a:off x="565289" y="5592665"/>
          <a:ext cx="1282561" cy="474760"/>
        </a:xfrm>
        <a:prstGeom prst="roundRect">
          <a:avLst/>
        </a:prstGeom>
        <a:solidFill>
          <a:srgbClr val="0070C0"/>
        </a:solidFill>
        <a:effectLst>
          <a:outerShdw blurRad="50800" dist="38100" dir="2700000" algn="tl" rotWithShape="0">
            <a:prstClr val="black">
              <a:alpha val="40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400">
              <a:latin typeface="BIZ UDPゴシック" panose="020B0400000000000000" pitchFamily="50" charset="-128"/>
              <a:ea typeface="BIZ UDPゴシック" panose="020B0400000000000000" pitchFamily="50" charset="-128"/>
            </a:rPr>
            <a:t>全クリア</a:t>
          </a:r>
        </a:p>
      </xdr:txBody>
    </xdr:sp>
    <xdr:clientData/>
  </xdr:twoCellAnchor>
  <mc:AlternateContent xmlns:mc="http://schemas.openxmlformats.org/markup-compatibility/2006">
    <mc:Choice xmlns:a14="http://schemas.microsoft.com/office/drawing/2010/main" Requires="a14">
      <xdr:twoCellAnchor editAs="oneCell">
        <xdr:from>
          <xdr:col>8</xdr:col>
          <xdr:colOff>107950</xdr:colOff>
          <xdr:row>5</xdr:row>
          <xdr:rowOff>0</xdr:rowOff>
        </xdr:from>
        <xdr:to>
          <xdr:col>24</xdr:col>
          <xdr:colOff>171450</xdr:colOff>
          <xdr:row>6</xdr:row>
          <xdr:rowOff>0</xdr:rowOff>
        </xdr:to>
        <xdr:sp macro="" textlink="">
          <xdr:nvSpPr>
            <xdr:cNvPr id="58391" name="Option Button 23" hidden="1">
              <a:extLst>
                <a:ext uri="{63B3BB69-23CF-44E3-9099-C40C66FF867C}">
                  <a14:compatExt spid="_x0000_s58391"/>
                </a:ext>
                <a:ext uri="{FF2B5EF4-FFF2-40B4-BE49-F238E27FC236}">
                  <a16:creationId xmlns:a16="http://schemas.microsoft.com/office/drawing/2014/main" id="{00000000-0008-0000-0300-000017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22860" rIns="0" bIns="22860" anchor="ctr" upright="1"/>
            <a:lstStyle/>
            <a:p>
              <a:pPr algn="l" rtl="0">
                <a:defRPr sz="1000"/>
              </a:pPr>
              <a:r>
                <a:rPr lang="ja-JP" altLang="en-US" sz="1100" b="0" i="0" u="none" strike="noStrike" baseline="0">
                  <a:solidFill>
                    <a:srgbClr val="000000"/>
                  </a:solidFill>
                  <a:latin typeface="HGPｺﾞｼｯｸM"/>
                  <a:ea typeface="HGPｺﾞｼｯｸM"/>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xdr:row>
          <xdr:rowOff>241300</xdr:rowOff>
        </xdr:from>
        <xdr:to>
          <xdr:col>24</xdr:col>
          <xdr:colOff>247650</xdr:colOff>
          <xdr:row>4</xdr:row>
          <xdr:rowOff>0</xdr:rowOff>
        </xdr:to>
        <xdr:sp macro="" textlink="">
          <xdr:nvSpPr>
            <xdr:cNvPr id="58393" name="Check Box 25" hidden="1">
              <a:extLst>
                <a:ext uri="{63B3BB69-23CF-44E3-9099-C40C66FF867C}">
                  <a14:compatExt spid="_x0000_s58393"/>
                </a:ext>
                <a:ext uri="{FF2B5EF4-FFF2-40B4-BE49-F238E27FC236}">
                  <a16:creationId xmlns:a16="http://schemas.microsoft.com/office/drawing/2014/main" id="{00000000-0008-0000-0300-00001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5</xdr:row>
          <xdr:rowOff>241300</xdr:rowOff>
        </xdr:from>
        <xdr:to>
          <xdr:col>24</xdr:col>
          <xdr:colOff>247650</xdr:colOff>
          <xdr:row>7</xdr:row>
          <xdr:rowOff>0</xdr:rowOff>
        </xdr:to>
        <xdr:sp macro="" textlink="">
          <xdr:nvSpPr>
            <xdr:cNvPr id="58394" name="Check Box 26" hidden="1">
              <a:extLst>
                <a:ext uri="{63B3BB69-23CF-44E3-9099-C40C66FF867C}">
                  <a14:compatExt spid="_x0000_s58394"/>
                </a:ext>
                <a:ext uri="{FF2B5EF4-FFF2-40B4-BE49-F238E27FC236}">
                  <a16:creationId xmlns:a16="http://schemas.microsoft.com/office/drawing/2014/main" id="{00000000-0008-0000-0300-00001A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xdr:row>
          <xdr:rowOff>0</xdr:rowOff>
        </xdr:from>
        <xdr:to>
          <xdr:col>23</xdr:col>
          <xdr:colOff>819150</xdr:colOff>
          <xdr:row>10</xdr:row>
          <xdr:rowOff>0</xdr:rowOff>
        </xdr:to>
        <xdr:sp macro="" textlink="">
          <xdr:nvSpPr>
            <xdr:cNvPr id="58395" name="Option Button 27" hidden="1">
              <a:extLst>
                <a:ext uri="{63B3BB69-23CF-44E3-9099-C40C66FF867C}">
                  <a14:compatExt spid="_x0000_s58395"/>
                </a:ext>
                <a:ext uri="{FF2B5EF4-FFF2-40B4-BE49-F238E27FC236}">
                  <a16:creationId xmlns:a16="http://schemas.microsoft.com/office/drawing/2014/main" id="{00000000-0008-0000-0300-00001B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25</xdr:col>
          <xdr:colOff>0</xdr:colOff>
          <xdr:row>24</xdr:row>
          <xdr:rowOff>0</xdr:rowOff>
        </xdr:to>
        <xdr:sp macro="" textlink="">
          <xdr:nvSpPr>
            <xdr:cNvPr id="58396" name="Group Box 28" hidden="1">
              <a:extLst>
                <a:ext uri="{63B3BB69-23CF-44E3-9099-C40C66FF867C}">
                  <a14:compatExt spid="_x0000_s58396"/>
                </a:ext>
                <a:ext uri="{FF2B5EF4-FFF2-40B4-BE49-F238E27FC236}">
                  <a16:creationId xmlns:a16="http://schemas.microsoft.com/office/drawing/2014/main" id="{00000000-0008-0000-0300-00001C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25</xdr:col>
      <xdr:colOff>0</xdr:colOff>
      <xdr:row>0</xdr:row>
      <xdr:rowOff>0</xdr:rowOff>
    </xdr:from>
    <xdr:ext cx="4517571" cy="620486"/>
    <xdr:sp macro="" textlink="">
      <xdr:nvSpPr>
        <xdr:cNvPr id="6" name="正方形/長方形 5">
          <a:extLst>
            <a:ext uri="{FF2B5EF4-FFF2-40B4-BE49-F238E27FC236}">
              <a16:creationId xmlns:a16="http://schemas.microsoft.com/office/drawing/2014/main" id="{00000000-0008-0000-0400-000006000000}"/>
            </a:ext>
          </a:extLst>
        </xdr:cNvPr>
        <xdr:cNvSpPr/>
      </xdr:nvSpPr>
      <xdr:spPr>
        <a:xfrm>
          <a:off x="45393429"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34</xdr:col>
      <xdr:colOff>0</xdr:colOff>
      <xdr:row>0</xdr:row>
      <xdr:rowOff>0</xdr:rowOff>
    </xdr:from>
    <xdr:ext cx="4517571" cy="620486"/>
    <xdr:sp macro="" textlink="">
      <xdr:nvSpPr>
        <xdr:cNvPr id="4" name="正方形/長方形 3">
          <a:extLst>
            <a:ext uri="{FF2B5EF4-FFF2-40B4-BE49-F238E27FC236}">
              <a16:creationId xmlns:a16="http://schemas.microsoft.com/office/drawing/2014/main" id="{00000000-0008-0000-0500-000004000000}"/>
            </a:ext>
          </a:extLst>
        </xdr:cNvPr>
        <xdr:cNvSpPr/>
      </xdr:nvSpPr>
      <xdr:spPr>
        <a:xfrm>
          <a:off x="48953057"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19</xdr:col>
      <xdr:colOff>0</xdr:colOff>
      <xdr:row>0</xdr:row>
      <xdr:rowOff>0</xdr:rowOff>
    </xdr:from>
    <xdr:ext cx="2503714" cy="642256"/>
    <xdr:sp macro="" textlink="">
      <xdr:nvSpPr>
        <xdr:cNvPr id="2" name="正方形/長方形 1">
          <a:extLst>
            <a:ext uri="{FF2B5EF4-FFF2-40B4-BE49-F238E27FC236}">
              <a16:creationId xmlns:a16="http://schemas.microsoft.com/office/drawing/2014/main" id="{00000000-0008-0000-0600-000002000000}"/>
            </a:ext>
          </a:extLst>
        </xdr:cNvPr>
        <xdr:cNvSpPr/>
      </xdr:nvSpPr>
      <xdr:spPr>
        <a:xfrm>
          <a:off x="31111371" y="0"/>
          <a:ext cx="2503714" cy="64225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38</xdr:col>
      <xdr:colOff>0</xdr:colOff>
      <xdr:row>0</xdr:row>
      <xdr:rowOff>0</xdr:rowOff>
    </xdr:from>
    <xdr:ext cx="4517571" cy="620486"/>
    <xdr:sp macro="" textlink="">
      <xdr:nvSpPr>
        <xdr:cNvPr id="9" name="正方形/長方形 8">
          <a:extLst>
            <a:ext uri="{FF2B5EF4-FFF2-40B4-BE49-F238E27FC236}">
              <a16:creationId xmlns:a16="http://schemas.microsoft.com/office/drawing/2014/main" id="{00000000-0008-0000-0700-000009000000}"/>
            </a:ext>
          </a:extLst>
        </xdr:cNvPr>
        <xdr:cNvSpPr/>
      </xdr:nvSpPr>
      <xdr:spPr>
        <a:xfrm>
          <a:off x="60818486"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47</xdr:col>
      <xdr:colOff>0</xdr:colOff>
      <xdr:row>0</xdr:row>
      <xdr:rowOff>0</xdr:rowOff>
    </xdr:from>
    <xdr:ext cx="4517571" cy="620486"/>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75601286"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39</xdr:col>
      <xdr:colOff>0</xdr:colOff>
      <xdr:row>0</xdr:row>
      <xdr:rowOff>0</xdr:rowOff>
    </xdr:from>
    <xdr:ext cx="4517571" cy="620486"/>
    <xdr:sp macro="" textlink="">
      <xdr:nvSpPr>
        <xdr:cNvPr id="2" name="正方形/長方形 1">
          <a:extLst>
            <a:ext uri="{FF2B5EF4-FFF2-40B4-BE49-F238E27FC236}">
              <a16:creationId xmlns:a16="http://schemas.microsoft.com/office/drawing/2014/main" id="{00000000-0008-0000-0900-000002000000}"/>
            </a:ext>
          </a:extLst>
        </xdr:cNvPr>
        <xdr:cNvSpPr/>
      </xdr:nvSpPr>
      <xdr:spPr>
        <a:xfrm>
          <a:off x="68482029"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39</xdr:col>
      <xdr:colOff>0</xdr:colOff>
      <xdr:row>0</xdr:row>
      <xdr:rowOff>0</xdr:rowOff>
    </xdr:from>
    <xdr:ext cx="4517571" cy="620486"/>
    <xdr:sp macro="" textlink="">
      <xdr:nvSpPr>
        <xdr:cNvPr id="2" name="正方形/長方形 1">
          <a:extLst>
            <a:ext uri="{FF2B5EF4-FFF2-40B4-BE49-F238E27FC236}">
              <a16:creationId xmlns:a16="http://schemas.microsoft.com/office/drawing/2014/main" id="{00000000-0008-0000-0A00-000002000000}"/>
            </a:ext>
          </a:extLst>
        </xdr:cNvPr>
        <xdr:cNvSpPr/>
      </xdr:nvSpPr>
      <xdr:spPr>
        <a:xfrm>
          <a:off x="68482029"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37</xdr:col>
      <xdr:colOff>0</xdr:colOff>
      <xdr:row>0</xdr:row>
      <xdr:rowOff>0</xdr:rowOff>
    </xdr:from>
    <xdr:ext cx="4517571" cy="620486"/>
    <xdr:sp macro="" textlink="">
      <xdr:nvSpPr>
        <xdr:cNvPr id="2" name="正方形/長方形 1">
          <a:extLst>
            <a:ext uri="{FF2B5EF4-FFF2-40B4-BE49-F238E27FC236}">
              <a16:creationId xmlns:a16="http://schemas.microsoft.com/office/drawing/2014/main" id="{00000000-0008-0000-0B00-000002000000}"/>
            </a:ext>
          </a:extLst>
        </xdr:cNvPr>
        <xdr:cNvSpPr/>
      </xdr:nvSpPr>
      <xdr:spPr>
        <a:xfrm>
          <a:off x="59588400"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47</xdr:col>
      <xdr:colOff>0</xdr:colOff>
      <xdr:row>0</xdr:row>
      <xdr:rowOff>0</xdr:rowOff>
    </xdr:from>
    <xdr:ext cx="4517571" cy="620486"/>
    <xdr:sp macro="" textlink="">
      <xdr:nvSpPr>
        <xdr:cNvPr id="2" name="正方形/長方形 1">
          <a:extLst>
            <a:ext uri="{FF2B5EF4-FFF2-40B4-BE49-F238E27FC236}">
              <a16:creationId xmlns:a16="http://schemas.microsoft.com/office/drawing/2014/main" id="{00000000-0008-0000-0C00-000002000000}"/>
            </a:ext>
          </a:extLst>
        </xdr:cNvPr>
        <xdr:cNvSpPr/>
      </xdr:nvSpPr>
      <xdr:spPr>
        <a:xfrm>
          <a:off x="74371200"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39</xdr:col>
      <xdr:colOff>0</xdr:colOff>
      <xdr:row>0</xdr:row>
      <xdr:rowOff>0</xdr:rowOff>
    </xdr:from>
    <xdr:ext cx="4517571" cy="620486"/>
    <xdr:sp macro="" textlink="">
      <xdr:nvSpPr>
        <xdr:cNvPr id="2" name="正方形/長方形 1">
          <a:extLst>
            <a:ext uri="{FF2B5EF4-FFF2-40B4-BE49-F238E27FC236}">
              <a16:creationId xmlns:a16="http://schemas.microsoft.com/office/drawing/2014/main" id="{00000000-0008-0000-0D00-000002000000}"/>
            </a:ext>
          </a:extLst>
        </xdr:cNvPr>
        <xdr:cNvSpPr/>
      </xdr:nvSpPr>
      <xdr:spPr>
        <a:xfrm>
          <a:off x="59588400"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39</xdr:col>
      <xdr:colOff>0</xdr:colOff>
      <xdr:row>0</xdr:row>
      <xdr:rowOff>0</xdr:rowOff>
    </xdr:from>
    <xdr:ext cx="4517571" cy="620486"/>
    <xdr:sp macro="" textlink="">
      <xdr:nvSpPr>
        <xdr:cNvPr id="2" name="正方形/長方形 1">
          <a:extLst>
            <a:ext uri="{FF2B5EF4-FFF2-40B4-BE49-F238E27FC236}">
              <a16:creationId xmlns:a16="http://schemas.microsoft.com/office/drawing/2014/main" id="{00000000-0008-0000-0E00-000002000000}"/>
            </a:ext>
          </a:extLst>
        </xdr:cNvPr>
        <xdr:cNvSpPr/>
      </xdr:nvSpPr>
      <xdr:spPr>
        <a:xfrm>
          <a:off x="59588400" y="0"/>
          <a:ext cx="4517571" cy="62048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20</xdr:col>
      <xdr:colOff>0</xdr:colOff>
      <xdr:row>0</xdr:row>
      <xdr:rowOff>0</xdr:rowOff>
    </xdr:from>
    <xdr:ext cx="2503714" cy="642256"/>
    <xdr:sp macro="" textlink="">
      <xdr:nvSpPr>
        <xdr:cNvPr id="2" name="正方形/長方形 1">
          <a:extLst>
            <a:ext uri="{FF2B5EF4-FFF2-40B4-BE49-F238E27FC236}">
              <a16:creationId xmlns:a16="http://schemas.microsoft.com/office/drawing/2014/main" id="{00000000-0008-0000-0F00-000002000000}"/>
            </a:ext>
          </a:extLst>
        </xdr:cNvPr>
        <xdr:cNvSpPr/>
      </xdr:nvSpPr>
      <xdr:spPr>
        <a:xfrm>
          <a:off x="32744229" y="0"/>
          <a:ext cx="2503714" cy="64225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32</xdr:col>
      <xdr:colOff>1</xdr:colOff>
      <xdr:row>0</xdr:row>
      <xdr:rowOff>0</xdr:rowOff>
    </xdr:from>
    <xdr:ext cx="2503714" cy="642256"/>
    <xdr:sp macro="" textlink="">
      <xdr:nvSpPr>
        <xdr:cNvPr id="2" name="正方形/長方形 1">
          <a:extLst>
            <a:ext uri="{FF2B5EF4-FFF2-40B4-BE49-F238E27FC236}">
              <a16:creationId xmlns:a16="http://schemas.microsoft.com/office/drawing/2014/main" id="{00000000-0008-0000-1000-000002000000}"/>
            </a:ext>
          </a:extLst>
        </xdr:cNvPr>
        <xdr:cNvSpPr/>
      </xdr:nvSpPr>
      <xdr:spPr>
        <a:xfrm>
          <a:off x="36042601" y="0"/>
          <a:ext cx="2503714" cy="642256"/>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drawings/drawing18.xml><?xml version="1.0" encoding="utf-8"?>
<xdr:wsDr xmlns:xdr="http://schemas.openxmlformats.org/drawingml/2006/spreadsheetDrawing" xmlns:a="http://schemas.openxmlformats.org/drawingml/2006/main">
  <xdr:oneCellAnchor>
    <xdr:from>
      <xdr:col>3</xdr:col>
      <xdr:colOff>1</xdr:colOff>
      <xdr:row>0</xdr:row>
      <xdr:rowOff>0</xdr:rowOff>
    </xdr:from>
    <xdr:ext cx="3482340" cy="533400"/>
    <xdr:sp macro="" textlink="">
      <xdr:nvSpPr>
        <xdr:cNvPr id="2" name="正方形/長方形 1">
          <a:extLst>
            <a:ext uri="{FF2B5EF4-FFF2-40B4-BE49-F238E27FC236}">
              <a16:creationId xmlns:a16="http://schemas.microsoft.com/office/drawing/2014/main" id="{00000000-0008-0000-1100-000002000000}"/>
            </a:ext>
          </a:extLst>
        </xdr:cNvPr>
        <xdr:cNvSpPr/>
      </xdr:nvSpPr>
      <xdr:spPr>
        <a:xfrm>
          <a:off x="6469381" y="0"/>
          <a:ext cx="3482340" cy="533400"/>
        </a:xfrm>
        <a:prstGeom prst="rect">
          <a:avLst/>
        </a:prstGeom>
        <a:noFill/>
      </xdr:spPr>
      <xdr:txBody>
        <a:bodyPr wrap="square" lIns="91440" tIns="45720" rIns="91440" bIns="45720">
          <a:noAutofit/>
        </a:bodyPr>
        <a:lstStyle/>
        <a:p>
          <a:pPr algn="ctr"/>
          <a:r>
            <a:rPr lang="en-US" altLang="ja-JP" sz="3600" b="0" cap="none" spc="0">
              <a:ln w="0"/>
              <a:gradFill>
                <a:gsLst>
                  <a:gs pos="21000">
                    <a:srgbClr val="53575C"/>
                  </a:gs>
                  <a:gs pos="88000">
                    <a:srgbClr val="C5C7CA"/>
                  </a:gs>
                </a:gsLst>
                <a:lin ang="5400000"/>
              </a:gradFill>
              <a:effectLst/>
            </a:rPr>
            <a:t>Confidential</a:t>
          </a:r>
          <a:endParaRPr lang="ja-JP" altLang="en-US" sz="3600" b="0" cap="none" spc="0">
            <a:ln w="0"/>
            <a:gradFill>
              <a:gsLst>
                <a:gs pos="21000">
                  <a:srgbClr val="53575C"/>
                </a:gs>
                <a:gs pos="88000">
                  <a:srgbClr val="C5C7CA"/>
                </a:gs>
              </a:gsLst>
              <a:lin ang="5400000"/>
            </a:gradFill>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mnfoffice365-my.sharepoint.com/WINDOWS/TEMP/Yes&#65429;&#65412;&#65432;(99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全体表"/>
      <sheetName val="課別表"/>
      <sheetName val="ゆとりシート"/>
      <sheetName val="重大ﾄﾗﾌﾞﾙ資料"/>
      <sheetName val="重大ﾄﾗﾌﾞﾙまとめ"/>
      <sheetName val="重大ﾄﾗﾌﾞﾙ"/>
      <sheetName val="トラブル報告DB"/>
      <sheetName val="入出力シート"/>
      <sheetName val="PRM"/>
      <sheetName val="マクロ"/>
      <sheetName val="集計全体"/>
      <sheetName val="集計企１"/>
      <sheetName val="集計企２"/>
      <sheetName val="集計企３"/>
      <sheetName val="集計企４"/>
      <sheetName val="集計企５"/>
      <sheetName val="集計企６"/>
      <sheetName val="集計海シ"/>
      <sheetName val="集計団体"/>
      <sheetName val="集計Ｓ１"/>
      <sheetName val="集計Ｓ２"/>
      <sheetName val="集計運企"/>
      <sheetName val="集計シ技"/>
      <sheetName val="集計ＮＷ"/>
      <sheetName val="集計TSK1"/>
      <sheetName val="集計TSK2"/>
      <sheetName val="集計TSK3"/>
      <sheetName val="集計TSK4"/>
      <sheetName val="集計TSK技"/>
      <sheetName val="集計TSK"/>
      <sheetName val="Sheet1"/>
      <sheetName val="ゆとりシート旧"/>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ow r="8">
          <cell r="E8">
            <v>80</v>
          </cell>
        </row>
        <row r="27">
          <cell r="B27" t="str">
            <v>項目番号</v>
          </cell>
          <cell r="C27" t="str">
            <v>項目番号</v>
          </cell>
          <cell r="D27">
            <v>2</v>
          </cell>
          <cell r="E27">
            <v>3</v>
          </cell>
          <cell r="F27">
            <v>4</v>
          </cell>
          <cell r="G27">
            <v>5</v>
          </cell>
          <cell r="H27">
            <v>6</v>
          </cell>
          <cell r="I27">
            <v>7</v>
          </cell>
          <cell r="J27">
            <v>8</v>
          </cell>
          <cell r="K27">
            <v>9</v>
          </cell>
          <cell r="L27">
            <v>10</v>
          </cell>
          <cell r="M27">
            <v>11</v>
          </cell>
          <cell r="N27">
            <v>12</v>
          </cell>
          <cell r="O27">
            <v>13</v>
          </cell>
          <cell r="P27">
            <v>14</v>
          </cell>
          <cell r="Q27">
            <v>15</v>
          </cell>
          <cell r="R27">
            <v>16</v>
          </cell>
          <cell r="S27">
            <v>17</v>
          </cell>
          <cell r="T27">
            <v>18</v>
          </cell>
          <cell r="U27">
            <v>19</v>
          </cell>
          <cell r="V27">
            <v>20</v>
          </cell>
          <cell r="W27">
            <v>21</v>
          </cell>
          <cell r="X27">
            <v>22</v>
          </cell>
          <cell r="Y27">
            <v>23</v>
          </cell>
        </row>
        <row r="28">
          <cell r="B28" t="str">
            <v>&gt;=35886</v>
          </cell>
          <cell r="C28" t="str">
            <v>&lt;36251</v>
          </cell>
        </row>
        <row r="35">
          <cell r="B35" t="str">
            <v>項目番号</v>
          </cell>
          <cell r="C35" t="str">
            <v>項目番号</v>
          </cell>
          <cell r="D35">
            <v>2</v>
          </cell>
          <cell r="E35">
            <v>3</v>
          </cell>
          <cell r="F35">
            <v>4</v>
          </cell>
          <cell r="G35">
            <v>5</v>
          </cell>
          <cell r="H35">
            <v>6</v>
          </cell>
          <cell r="I35">
            <v>7</v>
          </cell>
          <cell r="J35">
            <v>8</v>
          </cell>
          <cell r="K35">
            <v>9</v>
          </cell>
          <cell r="L35">
            <v>10</v>
          </cell>
          <cell r="M35">
            <v>11</v>
          </cell>
          <cell r="N35">
            <v>12</v>
          </cell>
          <cell r="O35">
            <v>13</v>
          </cell>
          <cell r="P35">
            <v>14</v>
          </cell>
          <cell r="Q35">
            <v>15</v>
          </cell>
          <cell r="R35">
            <v>16</v>
          </cell>
          <cell r="S35">
            <v>17</v>
          </cell>
          <cell r="T35">
            <v>18</v>
          </cell>
          <cell r="U35">
            <v>19</v>
          </cell>
          <cell r="V35">
            <v>20</v>
          </cell>
          <cell r="W35">
            <v>21</v>
          </cell>
          <cell r="X35">
            <v>22</v>
          </cell>
          <cell r="Y35">
            <v>23</v>
          </cell>
        </row>
        <row r="36">
          <cell r="B36" t="str">
            <v>&gt;=36251</v>
          </cell>
          <cell r="C36" t="str">
            <v>&lt;=36342</v>
          </cell>
        </row>
        <row r="43">
          <cell r="B43" t="str">
            <v>項目番号</v>
          </cell>
          <cell r="C43" t="str">
            <v>項目番号</v>
          </cell>
          <cell r="D43">
            <v>2</v>
          </cell>
          <cell r="E43">
            <v>3</v>
          </cell>
          <cell r="F43">
            <v>4</v>
          </cell>
          <cell r="G43">
            <v>5</v>
          </cell>
          <cell r="H43">
            <v>6</v>
          </cell>
          <cell r="I43">
            <v>7</v>
          </cell>
          <cell r="J43">
            <v>8</v>
          </cell>
          <cell r="K43">
            <v>9</v>
          </cell>
          <cell r="L43">
            <v>10</v>
          </cell>
          <cell r="M43">
            <v>11</v>
          </cell>
          <cell r="N43">
            <v>12</v>
          </cell>
          <cell r="O43">
            <v>13</v>
          </cell>
          <cell r="P43">
            <v>14</v>
          </cell>
          <cell r="Q43">
            <v>15</v>
          </cell>
          <cell r="R43">
            <v>16</v>
          </cell>
          <cell r="S43">
            <v>17</v>
          </cell>
          <cell r="T43">
            <v>18</v>
          </cell>
          <cell r="U43">
            <v>19</v>
          </cell>
          <cell r="V43">
            <v>20</v>
          </cell>
          <cell r="W43">
            <v>21</v>
          </cell>
          <cell r="X43">
            <v>22</v>
          </cell>
          <cell r="Y43">
            <v>23</v>
          </cell>
        </row>
        <row r="44">
          <cell r="B44" t="str">
            <v>&gt;=35886</v>
          </cell>
          <cell r="C44" t="str">
            <v>&lt;=35977</v>
          </cell>
        </row>
      </sheetData>
      <sheetData sheetId="10" refreshError="1"/>
      <sheetData sheetId="11">
        <row r="4">
          <cell r="A4" t="str">
            <v>項目番号</v>
          </cell>
          <cell r="B4">
            <v>2</v>
          </cell>
          <cell r="C4">
            <v>3</v>
          </cell>
          <cell r="D4">
            <v>4</v>
          </cell>
          <cell r="E4">
            <v>5</v>
          </cell>
          <cell r="F4">
            <v>6</v>
          </cell>
          <cell r="G4">
            <v>7</v>
          </cell>
          <cell r="H4">
            <v>8</v>
          </cell>
          <cell r="I4">
            <v>9</v>
          </cell>
          <cell r="J4">
            <v>10</v>
          </cell>
          <cell r="K4">
            <v>11</v>
          </cell>
          <cell r="L4">
            <v>12</v>
          </cell>
          <cell r="M4">
            <v>13</v>
          </cell>
          <cell r="N4">
            <v>14</v>
          </cell>
          <cell r="O4">
            <v>15</v>
          </cell>
          <cell r="P4">
            <v>16</v>
          </cell>
          <cell r="Q4">
            <v>17</v>
          </cell>
          <cell r="R4">
            <v>18</v>
          </cell>
          <cell r="S4">
            <v>19</v>
          </cell>
          <cell r="T4">
            <v>20</v>
          </cell>
          <cell r="U4">
            <v>21</v>
          </cell>
          <cell r="V4">
            <v>22</v>
          </cell>
          <cell r="W4">
            <v>23</v>
          </cell>
        </row>
        <row r="5">
          <cell r="A5">
            <v>33970</v>
          </cell>
          <cell r="B5">
            <v>85217</v>
          </cell>
          <cell r="D5">
            <v>85217</v>
          </cell>
          <cell r="E5">
            <v>965</v>
          </cell>
          <cell r="G5">
            <v>965</v>
          </cell>
          <cell r="J5">
            <v>391</v>
          </cell>
          <cell r="Q5">
            <v>84</v>
          </cell>
          <cell r="R5">
            <v>26</v>
          </cell>
          <cell r="U5">
            <v>113</v>
          </cell>
          <cell r="W5">
            <v>113</v>
          </cell>
        </row>
        <row r="6">
          <cell r="A6">
            <v>34001</v>
          </cell>
          <cell r="B6">
            <v>85425</v>
          </cell>
          <cell r="D6">
            <v>85425</v>
          </cell>
          <cell r="E6">
            <v>878</v>
          </cell>
          <cell r="G6">
            <v>878</v>
          </cell>
          <cell r="J6">
            <v>311</v>
          </cell>
          <cell r="P6">
            <v>137559</v>
          </cell>
          <cell r="Q6">
            <v>175</v>
          </cell>
          <cell r="R6">
            <v>20</v>
          </cell>
          <cell r="U6">
            <v>85</v>
          </cell>
          <cell r="W6">
            <v>85</v>
          </cell>
        </row>
        <row r="7">
          <cell r="A7">
            <v>34029</v>
          </cell>
          <cell r="B7">
            <v>99236</v>
          </cell>
          <cell r="D7">
            <v>99236</v>
          </cell>
          <cell r="E7">
            <v>1076</v>
          </cell>
          <cell r="G7">
            <v>1076</v>
          </cell>
          <cell r="J7">
            <v>345</v>
          </cell>
          <cell r="Q7">
            <v>172</v>
          </cell>
          <cell r="R7">
            <v>41</v>
          </cell>
          <cell r="U7">
            <v>110</v>
          </cell>
          <cell r="W7">
            <v>110</v>
          </cell>
        </row>
        <row r="8">
          <cell r="A8">
            <v>34060</v>
          </cell>
          <cell r="B8">
            <v>98712</v>
          </cell>
          <cell r="D8">
            <v>98712</v>
          </cell>
          <cell r="E8">
            <v>1052</v>
          </cell>
          <cell r="G8">
            <v>1052</v>
          </cell>
          <cell r="J8">
            <v>516</v>
          </cell>
          <cell r="M8">
            <v>41430</v>
          </cell>
          <cell r="P8">
            <v>382761</v>
          </cell>
          <cell r="Q8">
            <v>192</v>
          </cell>
          <cell r="R8">
            <v>7</v>
          </cell>
          <cell r="T8">
            <v>89</v>
          </cell>
          <cell r="U8">
            <v>116</v>
          </cell>
          <cell r="W8">
            <v>116</v>
          </cell>
        </row>
        <row r="9">
          <cell r="A9">
            <v>34090</v>
          </cell>
          <cell r="B9">
            <v>87730</v>
          </cell>
          <cell r="D9">
            <v>87730</v>
          </cell>
          <cell r="E9">
            <v>839</v>
          </cell>
          <cell r="G9">
            <v>839</v>
          </cell>
          <cell r="J9">
            <v>222</v>
          </cell>
          <cell r="M9">
            <v>97430</v>
          </cell>
          <cell r="P9">
            <v>938325</v>
          </cell>
          <cell r="Q9">
            <v>159</v>
          </cell>
          <cell r="R9">
            <v>12</v>
          </cell>
          <cell r="T9">
            <v>42</v>
          </cell>
          <cell r="U9">
            <v>81</v>
          </cell>
          <cell r="W9">
            <v>81</v>
          </cell>
        </row>
        <row r="10">
          <cell r="A10">
            <v>34121</v>
          </cell>
          <cell r="B10">
            <v>97711</v>
          </cell>
          <cell r="D10">
            <v>97711</v>
          </cell>
          <cell r="E10">
            <v>864</v>
          </cell>
          <cell r="G10">
            <v>864</v>
          </cell>
          <cell r="J10">
            <v>225</v>
          </cell>
          <cell r="M10">
            <v>99800</v>
          </cell>
          <cell r="P10">
            <v>350858</v>
          </cell>
          <cell r="Q10">
            <v>177</v>
          </cell>
          <cell r="R10">
            <v>14</v>
          </cell>
          <cell r="T10">
            <v>58</v>
          </cell>
          <cell r="U10">
            <v>82</v>
          </cell>
          <cell r="W10">
            <v>82</v>
          </cell>
        </row>
        <row r="11">
          <cell r="A11">
            <v>34151</v>
          </cell>
          <cell r="B11">
            <v>103169</v>
          </cell>
          <cell r="D11">
            <v>103169</v>
          </cell>
          <cell r="E11">
            <v>766</v>
          </cell>
          <cell r="G11">
            <v>766</v>
          </cell>
          <cell r="J11">
            <v>303</v>
          </cell>
          <cell r="M11">
            <v>12170</v>
          </cell>
          <cell r="P11">
            <v>89498</v>
          </cell>
          <cell r="Q11">
            <v>100</v>
          </cell>
          <cell r="R11">
            <v>10</v>
          </cell>
          <cell r="T11">
            <v>68</v>
          </cell>
          <cell r="U11">
            <v>60</v>
          </cell>
          <cell r="W11">
            <v>60</v>
          </cell>
        </row>
        <row r="12">
          <cell r="A12">
            <v>34182</v>
          </cell>
          <cell r="B12">
            <v>99761</v>
          </cell>
          <cell r="D12">
            <v>99761</v>
          </cell>
          <cell r="E12">
            <v>694</v>
          </cell>
          <cell r="G12">
            <v>694</v>
          </cell>
          <cell r="J12">
            <v>351</v>
          </cell>
          <cell r="M12">
            <v>53010</v>
          </cell>
          <cell r="P12">
            <v>181075</v>
          </cell>
          <cell r="Q12">
            <v>194</v>
          </cell>
          <cell r="R12">
            <v>8</v>
          </cell>
          <cell r="T12">
            <v>44</v>
          </cell>
          <cell r="U12">
            <v>59</v>
          </cell>
          <cell r="W12">
            <v>59</v>
          </cell>
        </row>
        <row r="13">
          <cell r="A13">
            <v>34213</v>
          </cell>
          <cell r="B13">
            <v>94908</v>
          </cell>
          <cell r="D13">
            <v>94908</v>
          </cell>
          <cell r="E13">
            <v>577</v>
          </cell>
          <cell r="G13">
            <v>577</v>
          </cell>
          <cell r="J13">
            <v>121</v>
          </cell>
          <cell r="M13">
            <v>82560</v>
          </cell>
          <cell r="P13">
            <v>378639</v>
          </cell>
          <cell r="Q13">
            <v>47</v>
          </cell>
          <cell r="R13">
            <v>7</v>
          </cell>
          <cell r="T13">
            <v>50</v>
          </cell>
          <cell r="U13">
            <v>61</v>
          </cell>
          <cell r="W13">
            <v>61</v>
          </cell>
        </row>
        <row r="14">
          <cell r="A14">
            <v>34243</v>
          </cell>
          <cell r="B14">
            <v>98541</v>
          </cell>
          <cell r="D14">
            <v>98541</v>
          </cell>
          <cell r="E14">
            <v>681</v>
          </cell>
          <cell r="G14">
            <v>681</v>
          </cell>
          <cell r="J14">
            <v>252</v>
          </cell>
          <cell r="M14">
            <v>51688</v>
          </cell>
          <cell r="P14">
            <v>304275</v>
          </cell>
          <cell r="Q14">
            <v>123</v>
          </cell>
          <cell r="R14">
            <v>9</v>
          </cell>
          <cell r="T14">
            <v>34</v>
          </cell>
          <cell r="U14">
            <v>94</v>
          </cell>
          <cell r="W14">
            <v>94</v>
          </cell>
        </row>
        <row r="15">
          <cell r="A15">
            <v>34274</v>
          </cell>
          <cell r="B15">
            <v>93926</v>
          </cell>
          <cell r="C15">
            <v>37963</v>
          </cell>
          <cell r="D15">
            <v>131889</v>
          </cell>
          <cell r="E15">
            <v>618</v>
          </cell>
          <cell r="F15">
            <v>209</v>
          </cell>
          <cell r="G15">
            <v>827</v>
          </cell>
          <cell r="J15">
            <v>289</v>
          </cell>
          <cell r="K15">
            <v>12670537</v>
          </cell>
          <cell r="M15">
            <v>109244</v>
          </cell>
          <cell r="P15">
            <v>485865</v>
          </cell>
          <cell r="Q15">
            <v>62</v>
          </cell>
          <cell r="R15">
            <v>13</v>
          </cell>
          <cell r="T15">
            <v>42</v>
          </cell>
          <cell r="U15">
            <v>97</v>
          </cell>
          <cell r="W15">
            <v>97</v>
          </cell>
        </row>
        <row r="16">
          <cell r="A16">
            <v>34304</v>
          </cell>
          <cell r="B16">
            <v>103584</v>
          </cell>
          <cell r="C16">
            <v>41507</v>
          </cell>
          <cell r="D16">
            <v>145091</v>
          </cell>
          <cell r="E16">
            <v>701</v>
          </cell>
          <cell r="F16">
            <v>143</v>
          </cell>
          <cell r="G16">
            <v>844</v>
          </cell>
          <cell r="J16">
            <v>257</v>
          </cell>
          <cell r="K16">
            <v>14525619</v>
          </cell>
          <cell r="M16">
            <v>11400</v>
          </cell>
          <cell r="P16">
            <v>93510</v>
          </cell>
          <cell r="Q16">
            <v>93</v>
          </cell>
          <cell r="R16">
            <v>7</v>
          </cell>
          <cell r="T16">
            <v>58</v>
          </cell>
          <cell r="U16">
            <v>69</v>
          </cell>
          <cell r="W16">
            <v>69</v>
          </cell>
        </row>
        <row r="17">
          <cell r="A17">
            <v>34335</v>
          </cell>
          <cell r="B17">
            <v>95382</v>
          </cell>
          <cell r="C17">
            <v>38549</v>
          </cell>
          <cell r="D17">
            <v>133931</v>
          </cell>
          <cell r="E17">
            <v>823</v>
          </cell>
          <cell r="F17">
            <v>138</v>
          </cell>
          <cell r="G17">
            <v>961</v>
          </cell>
          <cell r="J17">
            <v>552</v>
          </cell>
          <cell r="M17">
            <v>39640</v>
          </cell>
          <cell r="P17">
            <v>269832</v>
          </cell>
          <cell r="Q17">
            <v>144</v>
          </cell>
          <cell r="R17">
            <v>13</v>
          </cell>
          <cell r="T17">
            <v>32</v>
          </cell>
          <cell r="U17">
            <v>63</v>
          </cell>
          <cell r="W17">
            <v>63</v>
          </cell>
        </row>
        <row r="18">
          <cell r="A18">
            <v>34366</v>
          </cell>
          <cell r="B18">
            <v>93998</v>
          </cell>
          <cell r="C18">
            <v>38152</v>
          </cell>
          <cell r="D18">
            <v>132150</v>
          </cell>
          <cell r="E18">
            <v>747</v>
          </cell>
          <cell r="F18">
            <v>200</v>
          </cell>
          <cell r="G18">
            <v>947</v>
          </cell>
          <cell r="J18">
            <v>289</v>
          </cell>
          <cell r="M18">
            <v>540073</v>
          </cell>
          <cell r="P18">
            <v>4160609</v>
          </cell>
          <cell r="Q18">
            <v>82</v>
          </cell>
          <cell r="R18">
            <v>20</v>
          </cell>
          <cell r="T18">
            <v>43</v>
          </cell>
          <cell r="U18">
            <v>82</v>
          </cell>
          <cell r="W18">
            <v>82</v>
          </cell>
        </row>
        <row r="19">
          <cell r="A19">
            <v>34394</v>
          </cell>
          <cell r="B19">
            <v>106983</v>
          </cell>
          <cell r="C19">
            <v>41491</v>
          </cell>
          <cell r="D19">
            <v>148474</v>
          </cell>
          <cell r="E19">
            <v>816</v>
          </cell>
          <cell r="F19">
            <v>131</v>
          </cell>
          <cell r="G19">
            <v>947</v>
          </cell>
          <cell r="J19">
            <v>541</v>
          </cell>
          <cell r="K19">
            <v>15212094</v>
          </cell>
          <cell r="M19">
            <v>73428</v>
          </cell>
          <cell r="P19">
            <v>463473</v>
          </cell>
          <cell r="Q19">
            <v>60</v>
          </cell>
          <cell r="R19">
            <v>14</v>
          </cell>
          <cell r="T19">
            <v>46</v>
          </cell>
          <cell r="U19">
            <v>107</v>
          </cell>
          <cell r="W19">
            <v>107</v>
          </cell>
        </row>
        <row r="20">
          <cell r="A20">
            <v>34425</v>
          </cell>
          <cell r="B20">
            <v>104294</v>
          </cell>
          <cell r="C20">
            <v>40180</v>
          </cell>
          <cell r="D20">
            <v>144474</v>
          </cell>
          <cell r="E20">
            <v>892</v>
          </cell>
          <cell r="F20">
            <v>75</v>
          </cell>
          <cell r="G20">
            <v>967</v>
          </cell>
          <cell r="J20">
            <v>371</v>
          </cell>
          <cell r="K20">
            <v>16076236</v>
          </cell>
          <cell r="M20">
            <v>57162</v>
          </cell>
          <cell r="P20">
            <v>406640</v>
          </cell>
          <cell r="Q20">
            <v>84</v>
          </cell>
          <cell r="R20">
            <v>8</v>
          </cell>
          <cell r="T20">
            <v>35</v>
          </cell>
          <cell r="U20">
            <v>87</v>
          </cell>
          <cell r="W20">
            <v>87</v>
          </cell>
        </row>
        <row r="21">
          <cell r="A21">
            <v>34455</v>
          </cell>
          <cell r="B21">
            <v>94334</v>
          </cell>
          <cell r="C21">
            <v>37690</v>
          </cell>
          <cell r="D21">
            <v>132024</v>
          </cell>
          <cell r="E21">
            <v>732</v>
          </cell>
          <cell r="F21">
            <v>130</v>
          </cell>
          <cell r="G21">
            <v>862</v>
          </cell>
          <cell r="J21">
            <v>517</v>
          </cell>
          <cell r="K21">
            <v>16330433</v>
          </cell>
          <cell r="M21">
            <v>193390</v>
          </cell>
          <cell r="P21">
            <v>933840</v>
          </cell>
          <cell r="Q21">
            <v>90</v>
          </cell>
          <cell r="R21">
            <v>14</v>
          </cell>
          <cell r="T21">
            <v>36</v>
          </cell>
          <cell r="U21">
            <v>87</v>
          </cell>
          <cell r="W21">
            <v>87</v>
          </cell>
        </row>
        <row r="22">
          <cell r="A22">
            <v>34486</v>
          </cell>
          <cell r="B22">
            <v>108474</v>
          </cell>
          <cell r="C22">
            <v>42247</v>
          </cell>
          <cell r="D22">
            <v>150721</v>
          </cell>
          <cell r="E22">
            <v>690</v>
          </cell>
          <cell r="F22">
            <v>111</v>
          </cell>
          <cell r="G22">
            <v>801</v>
          </cell>
          <cell r="J22">
            <v>291</v>
          </cell>
          <cell r="K22">
            <v>15237670</v>
          </cell>
          <cell r="M22">
            <v>20841</v>
          </cell>
          <cell r="P22">
            <v>247478</v>
          </cell>
          <cell r="Q22">
            <v>193</v>
          </cell>
          <cell r="R22">
            <v>20</v>
          </cell>
          <cell r="T22">
            <v>38</v>
          </cell>
          <cell r="U22">
            <v>128</v>
          </cell>
          <cell r="W22">
            <v>128</v>
          </cell>
        </row>
        <row r="23">
          <cell r="A23">
            <v>34516</v>
          </cell>
          <cell r="B23">
            <v>106833</v>
          </cell>
          <cell r="C23">
            <v>43087</v>
          </cell>
          <cell r="D23">
            <v>149920</v>
          </cell>
          <cell r="E23">
            <v>654</v>
          </cell>
          <cell r="F23">
            <v>85</v>
          </cell>
          <cell r="G23">
            <v>739</v>
          </cell>
          <cell r="J23">
            <v>374</v>
          </cell>
          <cell r="K23">
            <v>15146978</v>
          </cell>
          <cell r="M23">
            <v>34633</v>
          </cell>
          <cell r="P23">
            <v>151850</v>
          </cell>
          <cell r="Q23">
            <v>68</v>
          </cell>
          <cell r="R23">
            <v>11</v>
          </cell>
          <cell r="T23">
            <v>55</v>
          </cell>
          <cell r="U23">
            <v>94</v>
          </cell>
          <cell r="W23">
            <v>94</v>
          </cell>
        </row>
        <row r="24">
          <cell r="A24">
            <v>34547</v>
          </cell>
          <cell r="B24">
            <v>112399</v>
          </cell>
          <cell r="C24">
            <v>42578</v>
          </cell>
          <cell r="D24">
            <v>154977</v>
          </cell>
          <cell r="E24">
            <v>762</v>
          </cell>
          <cell r="F24">
            <v>60</v>
          </cell>
          <cell r="G24">
            <v>822</v>
          </cell>
          <cell r="J24">
            <v>247</v>
          </cell>
          <cell r="K24">
            <v>16247668</v>
          </cell>
          <cell r="M24">
            <v>36270</v>
          </cell>
          <cell r="P24">
            <v>195974</v>
          </cell>
          <cell r="Q24">
            <v>57</v>
          </cell>
          <cell r="R24">
            <v>9</v>
          </cell>
          <cell r="T24">
            <v>32</v>
          </cell>
          <cell r="U24">
            <v>71</v>
          </cell>
          <cell r="W24">
            <v>71</v>
          </cell>
        </row>
        <row r="25">
          <cell r="A25">
            <v>34578</v>
          </cell>
          <cell r="B25">
            <v>101541</v>
          </cell>
          <cell r="C25">
            <v>40972</v>
          </cell>
          <cell r="D25">
            <v>142513</v>
          </cell>
          <cell r="E25">
            <v>532</v>
          </cell>
          <cell r="F25">
            <v>239</v>
          </cell>
          <cell r="G25">
            <v>771</v>
          </cell>
          <cell r="J25">
            <v>256</v>
          </cell>
          <cell r="K25">
            <v>16676165</v>
          </cell>
          <cell r="M25">
            <v>26520</v>
          </cell>
          <cell r="P25">
            <v>119961</v>
          </cell>
          <cell r="Q25">
            <v>22</v>
          </cell>
          <cell r="R25">
            <v>6</v>
          </cell>
          <cell r="T25">
            <v>38</v>
          </cell>
          <cell r="U25">
            <v>76</v>
          </cell>
          <cell r="W25">
            <v>76</v>
          </cell>
        </row>
        <row r="26">
          <cell r="A26">
            <v>34608</v>
          </cell>
          <cell r="B26">
            <v>108079</v>
          </cell>
          <cell r="C26">
            <v>43872</v>
          </cell>
          <cell r="D26">
            <v>151951</v>
          </cell>
          <cell r="E26">
            <v>665</v>
          </cell>
          <cell r="F26">
            <v>188</v>
          </cell>
          <cell r="G26">
            <v>853</v>
          </cell>
          <cell r="J26">
            <v>340</v>
          </cell>
          <cell r="K26">
            <v>15898305</v>
          </cell>
          <cell r="M26">
            <v>40481</v>
          </cell>
          <cell r="P26">
            <v>264729</v>
          </cell>
          <cell r="Q26">
            <v>29</v>
          </cell>
          <cell r="R26">
            <v>23</v>
          </cell>
          <cell r="T26">
            <v>45</v>
          </cell>
          <cell r="U26">
            <v>92</v>
          </cell>
          <cell r="W26">
            <v>92</v>
          </cell>
        </row>
        <row r="27">
          <cell r="A27">
            <v>34639</v>
          </cell>
          <cell r="B27">
            <v>106750</v>
          </cell>
          <cell r="C27">
            <v>47768</v>
          </cell>
          <cell r="D27">
            <v>154518</v>
          </cell>
          <cell r="E27">
            <v>453</v>
          </cell>
          <cell r="F27">
            <v>261</v>
          </cell>
          <cell r="G27">
            <v>714</v>
          </cell>
          <cell r="J27">
            <v>220</v>
          </cell>
          <cell r="K27">
            <v>13672186</v>
          </cell>
          <cell r="M27">
            <v>9555</v>
          </cell>
          <cell r="P27">
            <v>56516</v>
          </cell>
          <cell r="Q27">
            <v>64</v>
          </cell>
          <cell r="R27">
            <v>15</v>
          </cell>
          <cell r="T27">
            <v>44</v>
          </cell>
          <cell r="U27">
            <v>76</v>
          </cell>
          <cell r="W27">
            <v>76</v>
          </cell>
        </row>
        <row r="28">
          <cell r="A28">
            <v>34669</v>
          </cell>
          <cell r="B28">
            <v>111460</v>
          </cell>
          <cell r="C28">
            <v>40175</v>
          </cell>
          <cell r="D28">
            <v>151635</v>
          </cell>
          <cell r="E28">
            <v>547</v>
          </cell>
          <cell r="F28">
            <v>234</v>
          </cell>
          <cell r="G28">
            <v>781</v>
          </cell>
          <cell r="J28">
            <v>264</v>
          </cell>
          <cell r="K28">
            <v>15563867</v>
          </cell>
          <cell r="M28">
            <v>188250</v>
          </cell>
          <cell r="P28">
            <v>1071940</v>
          </cell>
          <cell r="Q28">
            <v>76</v>
          </cell>
          <cell r="R28">
            <v>9</v>
          </cell>
          <cell r="T28">
            <v>45</v>
          </cell>
          <cell r="U28">
            <v>72</v>
          </cell>
          <cell r="W28">
            <v>72</v>
          </cell>
        </row>
        <row r="29">
          <cell r="A29">
            <v>34700</v>
          </cell>
          <cell r="B29">
            <v>102962</v>
          </cell>
          <cell r="C29">
            <v>44825</v>
          </cell>
          <cell r="D29">
            <v>147787</v>
          </cell>
          <cell r="E29">
            <v>658</v>
          </cell>
          <cell r="F29">
            <v>189</v>
          </cell>
          <cell r="G29">
            <v>847</v>
          </cell>
          <cell r="J29">
            <v>311</v>
          </cell>
          <cell r="K29">
            <v>15398431</v>
          </cell>
          <cell r="M29">
            <v>204690</v>
          </cell>
          <cell r="P29">
            <v>1585147</v>
          </cell>
          <cell r="Q29">
            <v>100</v>
          </cell>
          <cell r="R29">
            <v>20</v>
          </cell>
          <cell r="T29">
            <v>42</v>
          </cell>
          <cell r="U29">
            <v>82</v>
          </cell>
          <cell r="W29">
            <v>82</v>
          </cell>
        </row>
        <row r="30">
          <cell r="A30">
            <v>34731</v>
          </cell>
          <cell r="B30">
            <v>108503</v>
          </cell>
          <cell r="C30">
            <v>47267</v>
          </cell>
          <cell r="D30">
            <v>155770</v>
          </cell>
          <cell r="E30">
            <v>565</v>
          </cell>
          <cell r="F30">
            <v>211</v>
          </cell>
          <cell r="G30">
            <v>776</v>
          </cell>
          <cell r="J30">
            <v>400</v>
          </cell>
          <cell r="K30">
            <v>15272784</v>
          </cell>
          <cell r="M30">
            <v>51700</v>
          </cell>
          <cell r="P30">
            <v>250021</v>
          </cell>
          <cell r="Q30">
            <v>69</v>
          </cell>
          <cell r="R30">
            <v>3</v>
          </cell>
          <cell r="T30">
            <v>52</v>
          </cell>
          <cell r="U30">
            <v>83</v>
          </cell>
          <cell r="W30">
            <v>83</v>
          </cell>
        </row>
        <row r="31">
          <cell r="A31">
            <v>34759</v>
          </cell>
          <cell r="B31">
            <v>119113</v>
          </cell>
          <cell r="C31">
            <v>52442</v>
          </cell>
          <cell r="D31">
            <v>171555</v>
          </cell>
          <cell r="E31">
            <v>737</v>
          </cell>
          <cell r="F31">
            <v>119</v>
          </cell>
          <cell r="G31">
            <v>856</v>
          </cell>
          <cell r="J31">
            <v>259</v>
          </cell>
          <cell r="K31">
            <v>17032444</v>
          </cell>
          <cell r="M31">
            <v>66719</v>
          </cell>
          <cell r="P31">
            <v>204350</v>
          </cell>
          <cell r="Q31">
            <v>414</v>
          </cell>
          <cell r="R31">
            <v>11</v>
          </cell>
          <cell r="T31">
            <v>41</v>
          </cell>
          <cell r="U31">
            <v>109</v>
          </cell>
          <cell r="W31">
            <v>109</v>
          </cell>
        </row>
        <row r="32">
          <cell r="A32">
            <v>34790</v>
          </cell>
          <cell r="B32">
            <v>117965</v>
          </cell>
          <cell r="C32">
            <v>48952</v>
          </cell>
          <cell r="D32">
            <v>166917</v>
          </cell>
          <cell r="E32">
            <v>1062</v>
          </cell>
          <cell r="F32">
            <v>102</v>
          </cell>
          <cell r="G32">
            <v>1164</v>
          </cell>
          <cell r="J32">
            <v>508</v>
          </cell>
          <cell r="K32">
            <v>16139200</v>
          </cell>
          <cell r="M32">
            <v>471970</v>
          </cell>
          <cell r="P32">
            <v>845552</v>
          </cell>
          <cell r="Q32">
            <v>600</v>
          </cell>
          <cell r="R32">
            <v>13</v>
          </cell>
          <cell r="T32">
            <v>35</v>
          </cell>
          <cell r="U32">
            <v>89</v>
          </cell>
          <cell r="W32">
            <v>89</v>
          </cell>
        </row>
        <row r="33">
          <cell r="A33">
            <v>34820</v>
          </cell>
          <cell r="B33">
            <v>111838</v>
          </cell>
          <cell r="C33">
            <v>47827</v>
          </cell>
          <cell r="D33">
            <v>159665</v>
          </cell>
          <cell r="E33">
            <v>861</v>
          </cell>
          <cell r="F33">
            <v>126</v>
          </cell>
          <cell r="G33">
            <v>987</v>
          </cell>
          <cell r="J33">
            <v>298</v>
          </cell>
          <cell r="K33">
            <v>15456851</v>
          </cell>
          <cell r="M33">
            <v>34140</v>
          </cell>
          <cell r="P33">
            <v>215428</v>
          </cell>
          <cell r="Q33">
            <v>522</v>
          </cell>
          <cell r="R33">
            <v>13</v>
          </cell>
          <cell r="T33">
            <v>50</v>
          </cell>
          <cell r="U33">
            <v>96</v>
          </cell>
          <cell r="W33">
            <v>96</v>
          </cell>
        </row>
        <row r="34">
          <cell r="A34">
            <v>34851</v>
          </cell>
          <cell r="B34">
            <v>121854</v>
          </cell>
          <cell r="C34">
            <v>53314</v>
          </cell>
          <cell r="D34">
            <v>175168</v>
          </cell>
          <cell r="E34">
            <v>847</v>
          </cell>
          <cell r="F34">
            <v>122</v>
          </cell>
          <cell r="G34">
            <v>969</v>
          </cell>
          <cell r="J34">
            <v>377</v>
          </cell>
          <cell r="K34">
            <v>15255345</v>
          </cell>
          <cell r="M34">
            <v>21530</v>
          </cell>
          <cell r="P34">
            <v>84881</v>
          </cell>
          <cell r="Q34">
            <v>200</v>
          </cell>
          <cell r="R34">
            <v>9</v>
          </cell>
          <cell r="T34">
            <v>37</v>
          </cell>
          <cell r="U34">
            <v>106</v>
          </cell>
          <cell r="W34">
            <v>106</v>
          </cell>
        </row>
        <row r="35">
          <cell r="A35">
            <v>34881</v>
          </cell>
          <cell r="B35">
            <v>117570</v>
          </cell>
          <cell r="C35">
            <v>50943</v>
          </cell>
          <cell r="D35">
            <v>168513</v>
          </cell>
          <cell r="E35">
            <v>774</v>
          </cell>
          <cell r="F35">
            <v>138</v>
          </cell>
          <cell r="G35">
            <v>912</v>
          </cell>
          <cell r="J35">
            <v>423</v>
          </cell>
          <cell r="M35">
            <v>25600</v>
          </cell>
          <cell r="P35">
            <v>243822</v>
          </cell>
          <cell r="Q35">
            <v>71</v>
          </cell>
          <cell r="R35">
            <v>13</v>
          </cell>
          <cell r="T35">
            <v>35</v>
          </cell>
          <cell r="U35">
            <v>82</v>
          </cell>
          <cell r="V35">
            <v>7</v>
          </cell>
          <cell r="W35">
            <v>89</v>
          </cell>
        </row>
        <row r="36">
          <cell r="A36">
            <v>34912</v>
          </cell>
          <cell r="B36">
            <v>125227</v>
          </cell>
          <cell r="C36">
            <v>54470</v>
          </cell>
          <cell r="D36">
            <v>179697</v>
          </cell>
          <cell r="E36">
            <v>540</v>
          </cell>
          <cell r="F36">
            <v>73</v>
          </cell>
          <cell r="G36">
            <v>613</v>
          </cell>
          <cell r="J36">
            <v>280</v>
          </cell>
          <cell r="M36">
            <v>16430</v>
          </cell>
          <cell r="P36">
            <v>113149</v>
          </cell>
          <cell r="Q36">
            <v>434</v>
          </cell>
          <cell r="R36">
            <v>11</v>
          </cell>
          <cell r="S36">
            <v>4</v>
          </cell>
          <cell r="T36">
            <v>26</v>
          </cell>
          <cell r="U36">
            <v>89</v>
          </cell>
          <cell r="V36">
            <v>9</v>
          </cell>
          <cell r="W36">
            <v>98</v>
          </cell>
        </row>
        <row r="37">
          <cell r="A37">
            <v>34943</v>
          </cell>
          <cell r="B37">
            <v>115697</v>
          </cell>
          <cell r="C37">
            <v>49256</v>
          </cell>
          <cell r="D37">
            <v>164953</v>
          </cell>
          <cell r="E37">
            <v>660</v>
          </cell>
          <cell r="F37">
            <v>55</v>
          </cell>
          <cell r="G37">
            <v>715</v>
          </cell>
          <cell r="J37">
            <v>276</v>
          </cell>
          <cell r="K37">
            <v>16962869</v>
          </cell>
          <cell r="M37">
            <v>89870</v>
          </cell>
          <cell r="P37">
            <v>238450</v>
          </cell>
          <cell r="Q37">
            <v>78</v>
          </cell>
          <cell r="R37">
            <v>16</v>
          </cell>
          <cell r="S37">
            <v>5</v>
          </cell>
          <cell r="T37">
            <v>33</v>
          </cell>
          <cell r="U37">
            <v>81</v>
          </cell>
          <cell r="V37">
            <v>5</v>
          </cell>
          <cell r="W37">
            <v>86</v>
          </cell>
        </row>
        <row r="38">
          <cell r="A38">
            <v>34973</v>
          </cell>
          <cell r="B38">
            <v>118487</v>
          </cell>
          <cell r="C38">
            <v>49449</v>
          </cell>
          <cell r="D38">
            <v>167936</v>
          </cell>
          <cell r="E38">
            <v>827</v>
          </cell>
          <cell r="F38">
            <v>94</v>
          </cell>
          <cell r="G38">
            <v>921</v>
          </cell>
          <cell r="J38">
            <v>234</v>
          </cell>
          <cell r="K38">
            <v>16296636</v>
          </cell>
          <cell r="M38">
            <v>180741</v>
          </cell>
          <cell r="P38">
            <v>1237763</v>
          </cell>
          <cell r="Q38">
            <v>499</v>
          </cell>
          <cell r="R38">
            <v>18</v>
          </cell>
          <cell r="S38">
            <v>20</v>
          </cell>
          <cell r="T38">
            <v>53</v>
          </cell>
          <cell r="U38">
            <v>107</v>
          </cell>
          <cell r="V38">
            <v>4</v>
          </cell>
          <cell r="W38">
            <v>111</v>
          </cell>
        </row>
        <row r="39">
          <cell r="A39">
            <v>35004</v>
          </cell>
          <cell r="B39">
            <v>115413</v>
          </cell>
          <cell r="C39">
            <v>49367</v>
          </cell>
          <cell r="D39">
            <v>164780</v>
          </cell>
          <cell r="E39">
            <v>597</v>
          </cell>
          <cell r="F39">
            <v>83</v>
          </cell>
          <cell r="G39">
            <v>680</v>
          </cell>
          <cell r="J39">
            <v>235</v>
          </cell>
          <cell r="K39">
            <v>13611832</v>
          </cell>
          <cell r="M39">
            <v>579656</v>
          </cell>
          <cell r="P39">
            <v>5034162</v>
          </cell>
          <cell r="Q39">
            <v>320</v>
          </cell>
          <cell r="R39">
            <v>15</v>
          </cell>
          <cell r="S39">
            <v>11</v>
          </cell>
          <cell r="T39">
            <v>47</v>
          </cell>
          <cell r="U39">
            <v>102</v>
          </cell>
          <cell r="V39">
            <v>5</v>
          </cell>
          <cell r="W39">
            <v>107</v>
          </cell>
        </row>
        <row r="40">
          <cell r="A40">
            <v>35034</v>
          </cell>
          <cell r="B40">
            <v>122170</v>
          </cell>
          <cell r="C40">
            <v>50480</v>
          </cell>
          <cell r="D40">
            <v>172650</v>
          </cell>
          <cell r="E40">
            <v>570</v>
          </cell>
          <cell r="F40">
            <v>148</v>
          </cell>
          <cell r="G40">
            <v>718</v>
          </cell>
          <cell r="J40">
            <v>249</v>
          </cell>
          <cell r="M40">
            <v>907796</v>
          </cell>
          <cell r="P40">
            <v>4665391</v>
          </cell>
          <cell r="Q40">
            <v>95</v>
          </cell>
          <cell r="R40">
            <v>13</v>
          </cell>
          <cell r="S40">
            <v>6</v>
          </cell>
          <cell r="T40">
            <v>34</v>
          </cell>
          <cell r="U40">
            <v>79</v>
          </cell>
          <cell r="V40">
            <v>4</v>
          </cell>
          <cell r="W40">
            <v>83</v>
          </cell>
        </row>
        <row r="41">
          <cell r="A41">
            <v>35065</v>
          </cell>
          <cell r="B41">
            <v>111075</v>
          </cell>
          <cell r="C41">
            <v>46598</v>
          </cell>
          <cell r="D41">
            <v>157673</v>
          </cell>
          <cell r="E41">
            <v>678</v>
          </cell>
          <cell r="F41">
            <v>198</v>
          </cell>
          <cell r="G41">
            <v>876</v>
          </cell>
          <cell r="J41">
            <v>498</v>
          </cell>
          <cell r="M41">
            <v>476444</v>
          </cell>
          <cell r="P41">
            <v>3082507</v>
          </cell>
          <cell r="Q41">
            <v>108</v>
          </cell>
          <cell r="R41">
            <v>10</v>
          </cell>
          <cell r="S41">
            <v>4</v>
          </cell>
          <cell r="T41">
            <v>33</v>
          </cell>
          <cell r="U41">
            <v>88</v>
          </cell>
          <cell r="V41">
            <v>2</v>
          </cell>
          <cell r="W41">
            <v>90</v>
          </cell>
        </row>
        <row r="42">
          <cell r="A42">
            <v>35096</v>
          </cell>
          <cell r="B42">
            <v>118197</v>
          </cell>
          <cell r="C42">
            <v>51125</v>
          </cell>
          <cell r="D42">
            <v>169322</v>
          </cell>
          <cell r="E42">
            <v>1016</v>
          </cell>
          <cell r="F42">
            <v>185</v>
          </cell>
          <cell r="G42">
            <v>1201</v>
          </cell>
          <cell r="J42">
            <v>409</v>
          </cell>
          <cell r="K42">
            <v>15241993</v>
          </cell>
          <cell r="M42">
            <v>189899</v>
          </cell>
          <cell r="P42">
            <v>2628361</v>
          </cell>
          <cell r="Q42">
            <v>157</v>
          </cell>
          <cell r="R42">
            <v>25</v>
          </cell>
          <cell r="S42">
            <v>5</v>
          </cell>
          <cell r="T42">
            <v>56</v>
          </cell>
          <cell r="U42">
            <v>130</v>
          </cell>
          <cell r="V42">
            <v>2</v>
          </cell>
          <cell r="W42">
            <v>132</v>
          </cell>
        </row>
        <row r="43">
          <cell r="A43">
            <v>35125</v>
          </cell>
          <cell r="B43">
            <v>123029</v>
          </cell>
          <cell r="C43">
            <v>51575</v>
          </cell>
          <cell r="D43">
            <v>174604</v>
          </cell>
          <cell r="E43">
            <v>729</v>
          </cell>
          <cell r="F43">
            <v>124</v>
          </cell>
          <cell r="G43">
            <v>853</v>
          </cell>
          <cell r="J43">
            <v>280</v>
          </cell>
          <cell r="K43">
            <v>18407718</v>
          </cell>
          <cell r="M43">
            <v>2044382</v>
          </cell>
          <cell r="P43">
            <v>6479195</v>
          </cell>
          <cell r="Q43">
            <v>31</v>
          </cell>
          <cell r="R43">
            <v>15</v>
          </cell>
          <cell r="S43">
            <v>12</v>
          </cell>
          <cell r="T43">
            <v>73</v>
          </cell>
          <cell r="U43">
            <v>115</v>
          </cell>
          <cell r="V43">
            <v>7</v>
          </cell>
          <cell r="W43">
            <v>122</v>
          </cell>
        </row>
        <row r="44">
          <cell r="A44">
            <v>35156</v>
          </cell>
          <cell r="B44">
            <v>123344</v>
          </cell>
          <cell r="C44">
            <v>51356</v>
          </cell>
          <cell r="D44">
            <v>174700</v>
          </cell>
          <cell r="E44">
            <v>807</v>
          </cell>
          <cell r="F44">
            <v>138</v>
          </cell>
          <cell r="G44">
            <v>945</v>
          </cell>
          <cell r="J44">
            <v>441</v>
          </cell>
          <cell r="K44">
            <v>17015822</v>
          </cell>
          <cell r="M44">
            <v>724127</v>
          </cell>
          <cell r="P44">
            <v>5199011</v>
          </cell>
          <cell r="Q44">
            <v>97</v>
          </cell>
          <cell r="R44">
            <v>22</v>
          </cell>
          <cell r="S44">
            <v>10</v>
          </cell>
          <cell r="T44">
            <v>47</v>
          </cell>
          <cell r="U44">
            <v>129</v>
          </cell>
          <cell r="V44">
            <v>8</v>
          </cell>
          <cell r="W44">
            <v>137</v>
          </cell>
        </row>
        <row r="45">
          <cell r="A45">
            <v>35186</v>
          </cell>
          <cell r="B45">
            <v>123879</v>
          </cell>
          <cell r="C45">
            <v>52480</v>
          </cell>
          <cell r="D45">
            <v>176359</v>
          </cell>
          <cell r="E45">
            <v>853</v>
          </cell>
          <cell r="F45">
            <v>124</v>
          </cell>
          <cell r="G45">
            <v>977</v>
          </cell>
          <cell r="J45">
            <v>681</v>
          </cell>
          <cell r="M45">
            <v>519506</v>
          </cell>
          <cell r="P45">
            <v>5948933</v>
          </cell>
          <cell r="Q45">
            <v>26</v>
          </cell>
          <cell r="R45">
            <v>14</v>
          </cell>
          <cell r="S45">
            <v>25</v>
          </cell>
          <cell r="T45">
            <v>92</v>
          </cell>
          <cell r="U45">
            <v>155</v>
          </cell>
          <cell r="V45">
            <v>13</v>
          </cell>
          <cell r="W45">
            <v>168</v>
          </cell>
        </row>
        <row r="46">
          <cell r="A46">
            <v>35217</v>
          </cell>
          <cell r="B46">
            <v>123441</v>
          </cell>
          <cell r="C46">
            <v>52528</v>
          </cell>
          <cell r="D46">
            <v>175969</v>
          </cell>
          <cell r="E46">
            <v>694</v>
          </cell>
          <cell r="F46">
            <v>108</v>
          </cell>
          <cell r="G46">
            <v>802</v>
          </cell>
          <cell r="J46">
            <v>241</v>
          </cell>
          <cell r="K46">
            <v>25418634</v>
          </cell>
          <cell r="M46">
            <v>11330748</v>
          </cell>
          <cell r="P46">
            <v>3804895</v>
          </cell>
          <cell r="Q46">
            <v>96</v>
          </cell>
          <cell r="R46">
            <v>20</v>
          </cell>
          <cell r="S46">
            <v>15</v>
          </cell>
          <cell r="T46">
            <v>66</v>
          </cell>
          <cell r="U46">
            <v>92</v>
          </cell>
          <cell r="V46">
            <v>5</v>
          </cell>
          <cell r="W46">
            <v>97</v>
          </cell>
        </row>
        <row r="47">
          <cell r="A47">
            <v>35247</v>
          </cell>
          <cell r="B47">
            <v>133239</v>
          </cell>
          <cell r="C47">
            <v>55991</v>
          </cell>
          <cell r="D47">
            <v>189230</v>
          </cell>
          <cell r="E47">
            <v>648</v>
          </cell>
          <cell r="F47">
            <v>119</v>
          </cell>
          <cell r="G47">
            <v>767</v>
          </cell>
          <cell r="J47">
            <v>496</v>
          </cell>
          <cell r="K47">
            <v>21876845</v>
          </cell>
          <cell r="M47">
            <v>6204105</v>
          </cell>
          <cell r="P47">
            <v>8140432</v>
          </cell>
          <cell r="Q47">
            <v>1199</v>
          </cell>
          <cell r="R47">
            <v>18</v>
          </cell>
          <cell r="S47">
            <v>9</v>
          </cell>
          <cell r="T47">
            <v>30</v>
          </cell>
          <cell r="U47">
            <v>94</v>
          </cell>
          <cell r="V47">
            <v>18</v>
          </cell>
          <cell r="W47">
            <v>112</v>
          </cell>
        </row>
        <row r="48">
          <cell r="A48">
            <v>35278</v>
          </cell>
          <cell r="B48">
            <v>136268</v>
          </cell>
          <cell r="C48">
            <v>57027</v>
          </cell>
          <cell r="D48">
            <v>193295</v>
          </cell>
          <cell r="E48">
            <v>859</v>
          </cell>
          <cell r="F48">
            <v>60</v>
          </cell>
          <cell r="G48">
            <v>919</v>
          </cell>
          <cell r="J48">
            <v>707</v>
          </cell>
          <cell r="M48">
            <v>4823639</v>
          </cell>
          <cell r="P48">
            <v>10060271</v>
          </cell>
          <cell r="Q48">
            <v>218</v>
          </cell>
          <cell r="R48">
            <v>15</v>
          </cell>
          <cell r="S48">
            <v>18</v>
          </cell>
          <cell r="T48">
            <v>72</v>
          </cell>
          <cell r="U48">
            <v>95</v>
          </cell>
          <cell r="V48">
            <v>3</v>
          </cell>
          <cell r="W48">
            <v>98</v>
          </cell>
        </row>
        <row r="49">
          <cell r="A49">
            <v>35309</v>
          </cell>
          <cell r="B49">
            <v>116968</v>
          </cell>
          <cell r="C49">
            <v>48381</v>
          </cell>
          <cell r="D49">
            <v>165349</v>
          </cell>
          <cell r="E49">
            <v>647</v>
          </cell>
          <cell r="F49">
            <v>59</v>
          </cell>
          <cell r="G49">
            <v>706</v>
          </cell>
          <cell r="J49">
            <v>255</v>
          </cell>
          <cell r="K49">
            <v>15512625</v>
          </cell>
          <cell r="M49">
            <v>648297</v>
          </cell>
          <cell r="P49">
            <v>3734430</v>
          </cell>
          <cell r="Q49">
            <v>188</v>
          </cell>
          <cell r="R49">
            <v>14</v>
          </cell>
          <cell r="S49">
            <v>17</v>
          </cell>
          <cell r="T49">
            <v>63</v>
          </cell>
          <cell r="U49">
            <v>98</v>
          </cell>
          <cell r="V49">
            <v>10</v>
          </cell>
          <cell r="W49">
            <v>108</v>
          </cell>
        </row>
        <row r="50">
          <cell r="A50">
            <v>35339</v>
          </cell>
          <cell r="B50">
            <v>135847</v>
          </cell>
          <cell r="C50">
            <v>56542</v>
          </cell>
          <cell r="D50">
            <v>192389</v>
          </cell>
          <cell r="E50">
            <v>596</v>
          </cell>
          <cell r="F50">
            <v>78</v>
          </cell>
          <cell r="G50">
            <v>674</v>
          </cell>
          <cell r="J50">
            <v>591</v>
          </cell>
          <cell r="K50">
            <v>23401176</v>
          </cell>
          <cell r="M50">
            <v>1092301</v>
          </cell>
          <cell r="P50">
            <v>7599664</v>
          </cell>
          <cell r="Q50">
            <v>217</v>
          </cell>
          <cell r="R50">
            <v>15</v>
          </cell>
          <cell r="S50">
            <v>16</v>
          </cell>
          <cell r="T50">
            <v>46</v>
          </cell>
          <cell r="U50">
            <v>94</v>
          </cell>
          <cell r="V50">
            <v>8</v>
          </cell>
          <cell r="W50">
            <v>102</v>
          </cell>
        </row>
        <row r="51">
          <cell r="A51">
            <v>35370</v>
          </cell>
          <cell r="B51">
            <v>130140</v>
          </cell>
          <cell r="C51">
            <v>53023</v>
          </cell>
          <cell r="D51">
            <v>183163</v>
          </cell>
          <cell r="E51">
            <v>590</v>
          </cell>
          <cell r="F51">
            <v>48</v>
          </cell>
          <cell r="G51">
            <v>638</v>
          </cell>
          <cell r="J51">
            <v>246</v>
          </cell>
          <cell r="K51">
            <v>18777166</v>
          </cell>
          <cell r="M51">
            <v>1111348</v>
          </cell>
          <cell r="P51">
            <v>8229169</v>
          </cell>
          <cell r="Q51">
            <v>116</v>
          </cell>
          <cell r="R51">
            <v>16</v>
          </cell>
          <cell r="S51">
            <v>16</v>
          </cell>
          <cell r="T51">
            <v>59</v>
          </cell>
          <cell r="U51">
            <v>71</v>
          </cell>
          <cell r="V51">
            <v>6</v>
          </cell>
          <cell r="W51">
            <v>77</v>
          </cell>
        </row>
        <row r="52">
          <cell r="A52">
            <v>35400</v>
          </cell>
          <cell r="B52">
            <v>130613</v>
          </cell>
          <cell r="C52">
            <v>52157</v>
          </cell>
          <cell r="D52">
            <v>182770</v>
          </cell>
          <cell r="E52">
            <v>773</v>
          </cell>
          <cell r="F52">
            <v>78</v>
          </cell>
          <cell r="G52">
            <v>851</v>
          </cell>
          <cell r="J52">
            <v>415</v>
          </cell>
          <cell r="K52">
            <v>21670421</v>
          </cell>
          <cell r="M52">
            <v>1784604</v>
          </cell>
          <cell r="P52">
            <v>4809816</v>
          </cell>
          <cell r="Q52">
            <v>12</v>
          </cell>
          <cell r="R52">
            <v>8</v>
          </cell>
          <cell r="S52">
            <v>8</v>
          </cell>
          <cell r="T52">
            <v>48</v>
          </cell>
          <cell r="U52">
            <v>44</v>
          </cell>
          <cell r="V52">
            <v>9</v>
          </cell>
          <cell r="W52">
            <v>53</v>
          </cell>
        </row>
        <row r="53">
          <cell r="A53">
            <v>35431</v>
          </cell>
          <cell r="B53">
            <v>120061</v>
          </cell>
          <cell r="C53">
            <v>49587</v>
          </cell>
          <cell r="D53">
            <v>169648</v>
          </cell>
          <cell r="E53">
            <v>621</v>
          </cell>
          <cell r="F53">
            <v>53</v>
          </cell>
          <cell r="G53">
            <v>674</v>
          </cell>
          <cell r="J53">
            <v>367</v>
          </cell>
          <cell r="K53">
            <v>16642577</v>
          </cell>
          <cell r="M53">
            <v>649265</v>
          </cell>
          <cell r="P53">
            <v>6631051</v>
          </cell>
          <cell r="Q53">
            <v>52</v>
          </cell>
          <cell r="R53">
            <v>18</v>
          </cell>
          <cell r="S53">
            <v>6</v>
          </cell>
          <cell r="T53">
            <v>38</v>
          </cell>
          <cell r="U53">
            <v>59</v>
          </cell>
          <cell r="V53">
            <v>21</v>
          </cell>
          <cell r="W53">
            <v>80</v>
          </cell>
        </row>
        <row r="54">
          <cell r="A54">
            <v>35462</v>
          </cell>
          <cell r="B54">
            <v>125042</v>
          </cell>
          <cell r="C54">
            <v>50448</v>
          </cell>
          <cell r="D54">
            <v>175490</v>
          </cell>
          <cell r="E54">
            <v>529</v>
          </cell>
          <cell r="F54">
            <v>62</v>
          </cell>
          <cell r="G54">
            <v>591</v>
          </cell>
          <cell r="J54">
            <v>271</v>
          </cell>
          <cell r="K54">
            <v>23897699</v>
          </cell>
          <cell r="M54">
            <v>900666</v>
          </cell>
          <cell r="P54">
            <v>6310617</v>
          </cell>
          <cell r="Q54">
            <v>3</v>
          </cell>
          <cell r="R54">
            <v>15</v>
          </cell>
          <cell r="S54">
            <v>11</v>
          </cell>
          <cell r="T54">
            <v>47</v>
          </cell>
          <cell r="U54">
            <v>48</v>
          </cell>
          <cell r="V54">
            <v>5</v>
          </cell>
          <cell r="W54">
            <v>53</v>
          </cell>
        </row>
        <row r="55">
          <cell r="A55">
            <v>35490</v>
          </cell>
          <cell r="B55">
            <v>137611</v>
          </cell>
          <cell r="C55">
            <v>55997</v>
          </cell>
          <cell r="D55">
            <v>193608</v>
          </cell>
          <cell r="E55">
            <v>529</v>
          </cell>
          <cell r="F55">
            <v>39</v>
          </cell>
          <cell r="G55">
            <v>568</v>
          </cell>
          <cell r="J55">
            <v>302</v>
          </cell>
          <cell r="K55">
            <v>24535773</v>
          </cell>
          <cell r="M55">
            <v>2357919</v>
          </cell>
          <cell r="P55">
            <v>10810077</v>
          </cell>
          <cell r="Q55">
            <v>43</v>
          </cell>
          <cell r="R55">
            <v>15</v>
          </cell>
          <cell r="S55">
            <v>5</v>
          </cell>
          <cell r="T55">
            <v>54</v>
          </cell>
          <cell r="U55">
            <v>53</v>
          </cell>
          <cell r="V55">
            <v>12</v>
          </cell>
          <cell r="W55">
            <v>65</v>
          </cell>
        </row>
        <row r="56">
          <cell r="A56">
            <v>35521</v>
          </cell>
          <cell r="B56">
            <v>141483</v>
          </cell>
          <cell r="C56">
            <v>55393</v>
          </cell>
          <cell r="D56">
            <v>196876</v>
          </cell>
          <cell r="E56">
            <v>682</v>
          </cell>
          <cell r="F56">
            <v>57</v>
          </cell>
          <cell r="G56">
            <v>739</v>
          </cell>
          <cell r="J56">
            <v>499</v>
          </cell>
          <cell r="K56">
            <v>17359076</v>
          </cell>
          <cell r="M56">
            <v>791569</v>
          </cell>
          <cell r="P56">
            <v>6307611</v>
          </cell>
          <cell r="Q56">
            <v>138</v>
          </cell>
          <cell r="R56">
            <v>8</v>
          </cell>
          <cell r="S56">
            <v>9</v>
          </cell>
          <cell r="T56">
            <v>52</v>
          </cell>
          <cell r="U56">
            <v>42</v>
          </cell>
          <cell r="V56">
            <v>11</v>
          </cell>
          <cell r="W56">
            <v>53</v>
          </cell>
        </row>
        <row r="57">
          <cell r="A57">
            <v>35551</v>
          </cell>
          <cell r="B57">
            <v>144521</v>
          </cell>
          <cell r="C57">
            <v>57045</v>
          </cell>
          <cell r="D57">
            <v>201566</v>
          </cell>
          <cell r="E57">
            <v>869</v>
          </cell>
          <cell r="F57">
            <v>154</v>
          </cell>
          <cell r="G57">
            <v>1023</v>
          </cell>
          <cell r="J57">
            <v>744</v>
          </cell>
          <cell r="K57">
            <v>16639552</v>
          </cell>
          <cell r="M57">
            <v>712884</v>
          </cell>
          <cell r="P57">
            <v>4306851</v>
          </cell>
          <cell r="Q57">
            <v>20</v>
          </cell>
          <cell r="R57">
            <v>10</v>
          </cell>
          <cell r="S57">
            <v>14</v>
          </cell>
          <cell r="T57">
            <v>78</v>
          </cell>
          <cell r="U57">
            <v>90</v>
          </cell>
          <cell r="V57">
            <v>6</v>
          </cell>
          <cell r="W57">
            <v>96</v>
          </cell>
        </row>
        <row r="58">
          <cell r="A58">
            <v>35582</v>
          </cell>
          <cell r="B58">
            <v>141980</v>
          </cell>
          <cell r="C58">
            <v>54355</v>
          </cell>
          <cell r="D58">
            <v>196335</v>
          </cell>
          <cell r="E58">
            <v>670</v>
          </cell>
          <cell r="F58">
            <v>52</v>
          </cell>
          <cell r="G58">
            <v>722</v>
          </cell>
          <cell r="J58">
            <v>402</v>
          </cell>
          <cell r="K58">
            <v>21423523</v>
          </cell>
          <cell r="M58">
            <v>429927</v>
          </cell>
          <cell r="P58">
            <v>2508600</v>
          </cell>
          <cell r="Q58">
            <v>32</v>
          </cell>
          <cell r="R58">
            <v>8</v>
          </cell>
          <cell r="S58">
            <v>14</v>
          </cell>
          <cell r="T58">
            <v>64</v>
          </cell>
          <cell r="U58">
            <v>52</v>
          </cell>
          <cell r="V58">
            <v>9</v>
          </cell>
          <cell r="W58">
            <v>61</v>
          </cell>
        </row>
        <row r="59">
          <cell r="A59">
            <v>35612</v>
          </cell>
          <cell r="B59">
            <v>151907</v>
          </cell>
          <cell r="C59">
            <v>57809</v>
          </cell>
          <cell r="D59">
            <v>209716</v>
          </cell>
          <cell r="E59">
            <v>811</v>
          </cell>
          <cell r="F59">
            <v>99</v>
          </cell>
          <cell r="G59">
            <v>910</v>
          </cell>
          <cell r="J59">
            <v>1284</v>
          </cell>
          <cell r="K59">
            <v>23723330</v>
          </cell>
          <cell r="M59">
            <v>794160</v>
          </cell>
          <cell r="P59">
            <v>6191822</v>
          </cell>
          <cell r="Q59">
            <v>467</v>
          </cell>
          <cell r="R59">
            <v>17</v>
          </cell>
          <cell r="S59">
            <v>14</v>
          </cell>
          <cell r="T59">
            <v>98</v>
          </cell>
          <cell r="U59">
            <v>116</v>
          </cell>
          <cell r="V59">
            <v>27</v>
          </cell>
          <cell r="W59">
            <v>143</v>
          </cell>
        </row>
        <row r="60">
          <cell r="A60">
            <v>35643</v>
          </cell>
          <cell r="B60">
            <v>151282</v>
          </cell>
          <cell r="C60">
            <v>58510</v>
          </cell>
          <cell r="D60">
            <v>209792</v>
          </cell>
          <cell r="E60">
            <v>802</v>
          </cell>
          <cell r="F60">
            <v>68</v>
          </cell>
          <cell r="G60">
            <v>870</v>
          </cell>
          <cell r="J60">
            <v>331</v>
          </cell>
          <cell r="K60">
            <v>15312324</v>
          </cell>
          <cell r="M60">
            <v>215858</v>
          </cell>
          <cell r="P60">
            <v>1679819</v>
          </cell>
          <cell r="Q60">
            <v>528</v>
          </cell>
          <cell r="R60">
            <v>9</v>
          </cell>
          <cell r="S60">
            <v>16</v>
          </cell>
          <cell r="T60">
            <v>88</v>
          </cell>
          <cell r="U60">
            <v>101</v>
          </cell>
          <cell r="V60">
            <v>4</v>
          </cell>
          <cell r="W60">
            <v>105</v>
          </cell>
        </row>
        <row r="61">
          <cell r="A61">
            <v>35674</v>
          </cell>
          <cell r="B61">
            <v>139962</v>
          </cell>
          <cell r="C61">
            <v>52057</v>
          </cell>
          <cell r="D61">
            <v>192019</v>
          </cell>
          <cell r="E61">
            <v>601</v>
          </cell>
          <cell r="F61">
            <v>98</v>
          </cell>
          <cell r="G61">
            <v>699</v>
          </cell>
          <cell r="J61">
            <v>377</v>
          </cell>
          <cell r="K61">
            <v>16396750</v>
          </cell>
          <cell r="M61">
            <v>847157</v>
          </cell>
          <cell r="P61">
            <v>4558448</v>
          </cell>
          <cell r="Q61">
            <v>635</v>
          </cell>
          <cell r="R61">
            <v>8</v>
          </cell>
          <cell r="S61">
            <v>13</v>
          </cell>
          <cell r="T61">
            <v>73</v>
          </cell>
          <cell r="U61">
            <v>70</v>
          </cell>
          <cell r="V61">
            <v>3</v>
          </cell>
          <cell r="W61">
            <v>73</v>
          </cell>
        </row>
        <row r="62">
          <cell r="A62">
            <v>35704</v>
          </cell>
          <cell r="B62">
            <v>155652</v>
          </cell>
          <cell r="C62">
            <v>60003</v>
          </cell>
          <cell r="D62">
            <v>215655</v>
          </cell>
          <cell r="E62">
            <v>635</v>
          </cell>
          <cell r="F62">
            <v>85</v>
          </cell>
          <cell r="G62">
            <v>720</v>
          </cell>
          <cell r="J62">
            <v>719</v>
          </cell>
          <cell r="K62">
            <v>25218314</v>
          </cell>
          <cell r="M62">
            <v>915050</v>
          </cell>
          <cell r="P62">
            <v>7256235</v>
          </cell>
          <cell r="Q62">
            <v>30</v>
          </cell>
          <cell r="R62">
            <v>5</v>
          </cell>
          <cell r="S62">
            <v>12</v>
          </cell>
          <cell r="T62">
            <v>57</v>
          </cell>
          <cell r="U62">
            <v>91</v>
          </cell>
          <cell r="V62">
            <v>6</v>
          </cell>
          <cell r="W62">
            <v>97</v>
          </cell>
        </row>
        <row r="63">
          <cell r="A63">
            <v>35735</v>
          </cell>
          <cell r="B63">
            <v>140378</v>
          </cell>
          <cell r="C63">
            <v>53736</v>
          </cell>
          <cell r="D63">
            <v>194114</v>
          </cell>
          <cell r="E63">
            <v>526</v>
          </cell>
          <cell r="F63">
            <v>58</v>
          </cell>
          <cell r="G63">
            <v>584</v>
          </cell>
          <cell r="J63">
            <v>421</v>
          </cell>
          <cell r="K63">
            <v>20578676</v>
          </cell>
          <cell r="M63">
            <v>851411</v>
          </cell>
          <cell r="P63">
            <v>7089212</v>
          </cell>
          <cell r="Q63">
            <v>120</v>
          </cell>
          <cell r="R63">
            <v>6</v>
          </cell>
          <cell r="S63">
            <v>11</v>
          </cell>
          <cell r="T63">
            <v>66</v>
          </cell>
          <cell r="U63">
            <v>60</v>
          </cell>
          <cell r="V63">
            <v>14</v>
          </cell>
          <cell r="W63">
            <v>74</v>
          </cell>
        </row>
        <row r="64">
          <cell r="A64">
            <v>35765</v>
          </cell>
          <cell r="B64">
            <v>154679</v>
          </cell>
          <cell r="C64">
            <v>59020</v>
          </cell>
          <cell r="D64">
            <v>213699</v>
          </cell>
          <cell r="E64">
            <v>721</v>
          </cell>
          <cell r="F64">
            <v>32</v>
          </cell>
          <cell r="G64">
            <v>753</v>
          </cell>
          <cell r="J64">
            <v>298</v>
          </cell>
          <cell r="K64">
            <v>19961437</v>
          </cell>
          <cell r="M64">
            <v>1330626</v>
          </cell>
          <cell r="P64">
            <v>9315015</v>
          </cell>
          <cell r="Q64">
            <v>15</v>
          </cell>
          <cell r="R64">
            <v>3</v>
          </cell>
          <cell r="S64">
            <v>7</v>
          </cell>
          <cell r="T64">
            <v>60</v>
          </cell>
          <cell r="U64">
            <v>65</v>
          </cell>
          <cell r="V64">
            <v>12</v>
          </cell>
          <cell r="W64">
            <v>77</v>
          </cell>
        </row>
        <row r="65">
          <cell r="A65">
            <v>35796</v>
          </cell>
          <cell r="B65">
            <v>141441</v>
          </cell>
          <cell r="C65">
            <v>55601</v>
          </cell>
          <cell r="D65">
            <v>197042</v>
          </cell>
          <cell r="E65">
            <v>520</v>
          </cell>
          <cell r="F65">
            <v>56</v>
          </cell>
          <cell r="G65">
            <v>576</v>
          </cell>
          <cell r="J65">
            <v>484</v>
          </cell>
          <cell r="K65">
            <v>16573788</v>
          </cell>
          <cell r="M65">
            <v>548613</v>
          </cell>
          <cell r="P65">
            <v>4982198</v>
          </cell>
          <cell r="Q65">
            <v>213</v>
          </cell>
          <cell r="R65">
            <v>10</v>
          </cell>
          <cell r="S65">
            <v>14</v>
          </cell>
          <cell r="T65">
            <v>61</v>
          </cell>
          <cell r="U65">
            <v>67</v>
          </cell>
          <cell r="V65">
            <v>9</v>
          </cell>
          <cell r="W65">
            <v>76</v>
          </cell>
        </row>
        <row r="66">
          <cell r="A66">
            <v>35827</v>
          </cell>
          <cell r="B66">
            <v>142199</v>
          </cell>
          <cell r="C66">
            <v>54220</v>
          </cell>
          <cell r="D66">
            <v>196419</v>
          </cell>
          <cell r="E66">
            <v>506</v>
          </cell>
          <cell r="F66">
            <v>82</v>
          </cell>
          <cell r="G66">
            <v>588</v>
          </cell>
          <cell r="J66">
            <v>676</v>
          </cell>
          <cell r="K66">
            <v>19284420</v>
          </cell>
          <cell r="M66">
            <v>959226</v>
          </cell>
          <cell r="P66">
            <v>6467848</v>
          </cell>
          <cell r="Q66">
            <v>12</v>
          </cell>
          <cell r="R66">
            <v>10</v>
          </cell>
          <cell r="S66">
            <v>16</v>
          </cell>
          <cell r="T66">
            <v>57</v>
          </cell>
          <cell r="U66">
            <v>54</v>
          </cell>
          <cell r="V66">
            <v>17</v>
          </cell>
          <cell r="W66">
            <v>71</v>
          </cell>
        </row>
        <row r="67">
          <cell r="A67">
            <v>35855</v>
          </cell>
          <cell r="B67">
            <v>160915</v>
          </cell>
          <cell r="C67">
            <v>61662</v>
          </cell>
          <cell r="D67">
            <v>222577</v>
          </cell>
          <cell r="E67">
            <v>594</v>
          </cell>
          <cell r="F67">
            <v>47</v>
          </cell>
          <cell r="G67">
            <v>641</v>
          </cell>
          <cell r="J67">
            <v>498</v>
          </cell>
          <cell r="K67">
            <v>20614218</v>
          </cell>
          <cell r="M67">
            <v>1610095</v>
          </cell>
          <cell r="P67">
            <v>8800601</v>
          </cell>
          <cell r="Q67">
            <v>17</v>
          </cell>
          <cell r="R67">
            <v>9</v>
          </cell>
          <cell r="S67">
            <v>9</v>
          </cell>
          <cell r="T67">
            <v>56</v>
          </cell>
          <cell r="U67">
            <v>62</v>
          </cell>
          <cell r="V67">
            <v>1</v>
          </cell>
          <cell r="W67">
            <v>63</v>
          </cell>
        </row>
        <row r="68">
          <cell r="A68">
            <v>35886</v>
          </cell>
          <cell r="B68">
            <v>157544</v>
          </cell>
          <cell r="C68">
            <v>60222</v>
          </cell>
          <cell r="D68">
            <v>217766</v>
          </cell>
          <cell r="E68">
            <v>608</v>
          </cell>
          <cell r="F68">
            <v>43</v>
          </cell>
          <cell r="G68">
            <v>651</v>
          </cell>
          <cell r="J68">
            <v>330</v>
          </cell>
          <cell r="K68">
            <v>16894757</v>
          </cell>
          <cell r="M68">
            <v>688632</v>
          </cell>
          <cell r="P68">
            <v>5385387</v>
          </cell>
          <cell r="Q68">
            <v>224</v>
          </cell>
          <cell r="R68">
            <v>11</v>
          </cell>
          <cell r="S68">
            <v>9</v>
          </cell>
          <cell r="T68">
            <v>38</v>
          </cell>
          <cell r="U68">
            <v>73</v>
          </cell>
          <cell r="V68">
            <v>5</v>
          </cell>
          <cell r="W68">
            <v>78</v>
          </cell>
        </row>
        <row r="69">
          <cell r="A69">
            <v>35916</v>
          </cell>
          <cell r="B69">
            <v>149655</v>
          </cell>
          <cell r="C69">
            <v>57349</v>
          </cell>
          <cell r="D69">
            <v>207004</v>
          </cell>
          <cell r="E69">
            <v>806</v>
          </cell>
          <cell r="F69">
            <v>42</v>
          </cell>
          <cell r="G69">
            <v>848</v>
          </cell>
          <cell r="J69">
            <v>831</v>
          </cell>
          <cell r="K69">
            <v>16437257</v>
          </cell>
          <cell r="M69">
            <v>1108931</v>
          </cell>
          <cell r="P69">
            <v>9415953</v>
          </cell>
          <cell r="Q69">
            <v>15</v>
          </cell>
          <cell r="R69">
            <v>13</v>
          </cell>
          <cell r="S69">
            <v>8</v>
          </cell>
          <cell r="T69">
            <v>39</v>
          </cell>
          <cell r="U69">
            <v>87</v>
          </cell>
          <cell r="V69">
            <v>5</v>
          </cell>
          <cell r="W69">
            <v>92</v>
          </cell>
        </row>
        <row r="70">
          <cell r="A70">
            <v>35947</v>
          </cell>
          <cell r="B70">
            <v>159047</v>
          </cell>
          <cell r="C70">
            <v>60818</v>
          </cell>
          <cell r="D70">
            <v>219865</v>
          </cell>
          <cell r="E70">
            <v>713</v>
          </cell>
          <cell r="F70">
            <v>43</v>
          </cell>
          <cell r="G70">
            <v>756</v>
          </cell>
          <cell r="J70">
            <v>338</v>
          </cell>
          <cell r="K70">
            <v>14812078</v>
          </cell>
          <cell r="M70">
            <v>265460</v>
          </cell>
          <cell r="P70">
            <v>2427769</v>
          </cell>
          <cell r="Q70">
            <v>177</v>
          </cell>
          <cell r="R70">
            <v>10</v>
          </cell>
          <cell r="S70">
            <v>6</v>
          </cell>
          <cell r="T70">
            <v>61</v>
          </cell>
          <cell r="U70">
            <v>75</v>
          </cell>
          <cell r="V70">
            <v>8</v>
          </cell>
          <cell r="W70">
            <v>83</v>
          </cell>
        </row>
        <row r="71">
          <cell r="A71">
            <v>35977</v>
          </cell>
          <cell r="B71">
            <v>162331</v>
          </cell>
          <cell r="C71">
            <v>61810</v>
          </cell>
          <cell r="D71">
            <v>224141</v>
          </cell>
          <cell r="E71">
            <v>766</v>
          </cell>
          <cell r="F71">
            <v>95</v>
          </cell>
          <cell r="G71">
            <v>861</v>
          </cell>
          <cell r="J71">
            <v>848</v>
          </cell>
          <cell r="K71">
            <v>15144438</v>
          </cell>
          <cell r="M71">
            <v>997404</v>
          </cell>
          <cell r="P71">
            <v>5935847</v>
          </cell>
          <cell r="Q71">
            <v>45</v>
          </cell>
          <cell r="R71">
            <v>6</v>
          </cell>
          <cell r="S71">
            <v>9</v>
          </cell>
          <cell r="T71">
            <v>57</v>
          </cell>
          <cell r="U71">
            <v>96</v>
          </cell>
          <cell r="V71">
            <v>5</v>
          </cell>
          <cell r="W71">
            <v>101</v>
          </cell>
        </row>
        <row r="72">
          <cell r="A72">
            <v>36008</v>
          </cell>
          <cell r="B72">
            <v>159459</v>
          </cell>
          <cell r="C72">
            <v>59915</v>
          </cell>
          <cell r="D72">
            <v>219374</v>
          </cell>
          <cell r="E72">
            <v>789</v>
          </cell>
          <cell r="F72">
            <v>75</v>
          </cell>
          <cell r="G72">
            <v>864</v>
          </cell>
          <cell r="J72">
            <v>455</v>
          </cell>
          <cell r="K72">
            <v>15639816</v>
          </cell>
          <cell r="M72">
            <v>1765912</v>
          </cell>
          <cell r="P72">
            <v>7692991</v>
          </cell>
          <cell r="Q72">
            <v>70</v>
          </cell>
          <cell r="R72">
            <v>15</v>
          </cell>
          <cell r="S72">
            <v>9</v>
          </cell>
          <cell r="T72">
            <v>74</v>
          </cell>
          <cell r="U72">
            <v>68</v>
          </cell>
          <cell r="V72">
            <v>7</v>
          </cell>
          <cell r="W72">
            <v>75</v>
          </cell>
        </row>
        <row r="73">
          <cell r="A73">
            <v>36039</v>
          </cell>
          <cell r="B73">
            <v>151675</v>
          </cell>
          <cell r="C73">
            <v>56770</v>
          </cell>
          <cell r="D73">
            <v>208445</v>
          </cell>
          <cell r="E73">
            <v>542</v>
          </cell>
          <cell r="F73">
            <v>47</v>
          </cell>
          <cell r="G73">
            <v>589</v>
          </cell>
          <cell r="J73">
            <v>310</v>
          </cell>
          <cell r="K73">
            <v>16149313</v>
          </cell>
          <cell r="M73">
            <v>1434720</v>
          </cell>
          <cell r="P73">
            <v>9794320</v>
          </cell>
          <cell r="Q73">
            <v>73</v>
          </cell>
          <cell r="R73">
            <v>13</v>
          </cell>
          <cell r="S73">
            <v>8</v>
          </cell>
          <cell r="T73">
            <v>67</v>
          </cell>
          <cell r="U73">
            <v>61</v>
          </cell>
          <cell r="V73">
            <v>12</v>
          </cell>
          <cell r="W73">
            <v>73</v>
          </cell>
        </row>
        <row r="74">
          <cell r="A74">
            <v>36069</v>
          </cell>
          <cell r="B74">
            <v>171251</v>
          </cell>
          <cell r="C74">
            <v>65914</v>
          </cell>
          <cell r="D74">
            <v>237165</v>
          </cell>
          <cell r="E74">
            <v>624</v>
          </cell>
          <cell r="F74">
            <v>55</v>
          </cell>
          <cell r="G74">
            <v>679</v>
          </cell>
          <cell r="J74">
            <v>1192</v>
          </cell>
          <cell r="K74">
            <v>15825257</v>
          </cell>
          <cell r="M74">
            <v>1813992</v>
          </cell>
          <cell r="P74">
            <v>6088413</v>
          </cell>
          <cell r="Q74">
            <v>27</v>
          </cell>
          <cell r="R74">
            <v>10</v>
          </cell>
          <cell r="S74">
            <v>10</v>
          </cell>
          <cell r="T74">
            <v>92</v>
          </cell>
          <cell r="U74">
            <v>110</v>
          </cell>
          <cell r="V74">
            <v>11</v>
          </cell>
          <cell r="W74">
            <v>121</v>
          </cell>
        </row>
        <row r="75">
          <cell r="A75">
            <v>36100</v>
          </cell>
          <cell r="B75">
            <v>148359</v>
          </cell>
          <cell r="C75">
            <v>56667</v>
          </cell>
          <cell r="D75">
            <v>205026</v>
          </cell>
          <cell r="E75">
            <v>661</v>
          </cell>
          <cell r="F75">
            <v>59</v>
          </cell>
          <cell r="G75">
            <v>720</v>
          </cell>
          <cell r="J75">
            <v>247</v>
          </cell>
          <cell r="K75">
            <v>14233550</v>
          </cell>
          <cell r="M75">
            <v>481058</v>
          </cell>
          <cell r="P75">
            <v>5340720</v>
          </cell>
          <cell r="Q75">
            <v>35</v>
          </cell>
          <cell r="R75">
            <v>9</v>
          </cell>
          <cell r="S75">
            <v>15</v>
          </cell>
          <cell r="T75">
            <v>79</v>
          </cell>
          <cell r="U75">
            <v>79</v>
          </cell>
          <cell r="V75">
            <v>6</v>
          </cell>
          <cell r="W75">
            <v>85</v>
          </cell>
        </row>
        <row r="76">
          <cell r="A76">
            <v>36130</v>
          </cell>
          <cell r="B76">
            <v>165250</v>
          </cell>
          <cell r="C76">
            <v>62401</v>
          </cell>
          <cell r="D76">
            <v>227651</v>
          </cell>
          <cell r="E76">
            <v>605</v>
          </cell>
          <cell r="F76">
            <v>88</v>
          </cell>
          <cell r="G76">
            <v>693</v>
          </cell>
          <cell r="J76">
            <v>1052</v>
          </cell>
          <cell r="K76">
            <v>17981400</v>
          </cell>
          <cell r="M76">
            <v>1688567</v>
          </cell>
          <cell r="P76">
            <v>7397420</v>
          </cell>
          <cell r="Q76">
            <v>46</v>
          </cell>
          <cell r="R76">
            <v>10</v>
          </cell>
          <cell r="S76">
            <v>10</v>
          </cell>
          <cell r="T76">
            <v>60</v>
          </cell>
          <cell r="U76">
            <v>110</v>
          </cell>
          <cell r="V76">
            <v>35</v>
          </cell>
          <cell r="W76">
            <v>145</v>
          </cell>
        </row>
        <row r="77">
          <cell r="A77">
            <v>36161</v>
          </cell>
          <cell r="B77">
            <v>150914</v>
          </cell>
          <cell r="C77">
            <v>55099</v>
          </cell>
          <cell r="D77">
            <v>206013</v>
          </cell>
          <cell r="E77">
            <v>702</v>
          </cell>
          <cell r="F77">
            <v>92</v>
          </cell>
          <cell r="G77">
            <v>794</v>
          </cell>
          <cell r="J77">
            <v>419</v>
          </cell>
          <cell r="K77">
            <v>15733003</v>
          </cell>
          <cell r="M77">
            <v>795639</v>
          </cell>
          <cell r="P77">
            <v>7949985</v>
          </cell>
          <cell r="Q77">
            <v>6</v>
          </cell>
          <cell r="R77">
            <v>9</v>
          </cell>
          <cell r="S77">
            <v>8</v>
          </cell>
          <cell r="T77">
            <v>46</v>
          </cell>
          <cell r="U77">
            <v>119</v>
          </cell>
          <cell r="V77">
            <v>24</v>
          </cell>
          <cell r="W77">
            <v>143</v>
          </cell>
        </row>
        <row r="78">
          <cell r="A78">
            <v>36192</v>
          </cell>
          <cell r="B78">
            <v>153979</v>
          </cell>
          <cell r="C78">
            <v>58500</v>
          </cell>
          <cell r="D78">
            <v>212479</v>
          </cell>
          <cell r="E78">
            <v>610</v>
          </cell>
          <cell r="F78">
            <v>48</v>
          </cell>
          <cell r="G78">
            <v>658</v>
          </cell>
          <cell r="J78">
            <v>364</v>
          </cell>
          <cell r="K78">
            <v>16015822</v>
          </cell>
          <cell r="M78">
            <v>1236155</v>
          </cell>
          <cell r="P78">
            <v>8317926</v>
          </cell>
          <cell r="Q78">
            <v>13</v>
          </cell>
          <cell r="R78">
            <v>10</v>
          </cell>
          <cell r="S78">
            <v>14</v>
          </cell>
          <cell r="T78">
            <v>66</v>
          </cell>
          <cell r="U78">
            <v>83</v>
          </cell>
          <cell r="V78">
            <v>11</v>
          </cell>
          <cell r="W78">
            <v>94</v>
          </cell>
        </row>
        <row r="79">
          <cell r="A79">
            <v>36220</v>
          </cell>
          <cell r="B79">
            <v>170774</v>
          </cell>
          <cell r="C79">
            <v>61474</v>
          </cell>
          <cell r="D79">
            <v>232248</v>
          </cell>
          <cell r="E79">
            <v>625</v>
          </cell>
          <cell r="F79">
            <v>77</v>
          </cell>
          <cell r="G79">
            <v>702</v>
          </cell>
          <cell r="J79">
            <v>226</v>
          </cell>
          <cell r="M79">
            <v>4417323</v>
          </cell>
          <cell r="P79">
            <v>12710992</v>
          </cell>
          <cell r="Q79">
            <v>26</v>
          </cell>
          <cell r="R79">
            <v>16</v>
          </cell>
          <cell r="S79">
            <v>11</v>
          </cell>
          <cell r="T79">
            <v>67</v>
          </cell>
          <cell r="U79">
            <v>113</v>
          </cell>
          <cell r="V79">
            <v>9</v>
          </cell>
          <cell r="W79">
            <v>122</v>
          </cell>
        </row>
        <row r="80">
          <cell r="A80">
            <v>36251</v>
          </cell>
          <cell r="B80">
            <v>170370</v>
          </cell>
          <cell r="C80">
            <v>61265</v>
          </cell>
          <cell r="D80">
            <v>231635</v>
          </cell>
          <cell r="E80">
            <v>607</v>
          </cell>
          <cell r="F80">
            <v>30</v>
          </cell>
          <cell r="G80">
            <v>637</v>
          </cell>
          <cell r="J80">
            <v>516</v>
          </cell>
          <cell r="K80">
            <v>17191302</v>
          </cell>
          <cell r="M80">
            <v>6988796</v>
          </cell>
          <cell r="P80">
            <v>11390859</v>
          </cell>
          <cell r="Q80">
            <v>5</v>
          </cell>
          <cell r="R80">
            <v>10</v>
          </cell>
          <cell r="S80">
            <v>14</v>
          </cell>
          <cell r="T80">
            <v>69</v>
          </cell>
          <cell r="U80">
            <v>120</v>
          </cell>
          <cell r="V80">
            <v>7</v>
          </cell>
          <cell r="W80">
            <v>127</v>
          </cell>
        </row>
        <row r="81">
          <cell r="A81">
            <v>36281</v>
          </cell>
          <cell r="B81">
            <v>155505</v>
          </cell>
          <cell r="C81">
            <v>56749</v>
          </cell>
          <cell r="D81">
            <v>212254</v>
          </cell>
          <cell r="E81">
            <v>565</v>
          </cell>
          <cell r="F81">
            <v>73</v>
          </cell>
          <cell r="G81">
            <v>638</v>
          </cell>
          <cell r="J81">
            <v>951</v>
          </cell>
          <cell r="M81">
            <v>416219</v>
          </cell>
          <cell r="P81">
            <v>2301783</v>
          </cell>
          <cell r="Q81">
            <v>15</v>
          </cell>
          <cell r="R81">
            <v>12</v>
          </cell>
          <cell r="S81">
            <v>12</v>
          </cell>
          <cell r="T81">
            <v>80</v>
          </cell>
          <cell r="W81">
            <v>0</v>
          </cell>
        </row>
        <row r="82">
          <cell r="A82">
            <v>36312</v>
          </cell>
          <cell r="B82">
            <v>173685</v>
          </cell>
          <cell r="C82">
            <v>63789</v>
          </cell>
          <cell r="D82">
            <v>237474</v>
          </cell>
          <cell r="E82">
            <v>370</v>
          </cell>
          <cell r="F82">
            <v>33</v>
          </cell>
          <cell r="G82">
            <v>403</v>
          </cell>
          <cell r="J82">
            <v>212</v>
          </cell>
          <cell r="M82">
            <v>0</v>
          </cell>
          <cell r="P82">
            <v>0</v>
          </cell>
          <cell r="Q82">
            <v>53</v>
          </cell>
          <cell r="R82">
            <v>13</v>
          </cell>
          <cell r="S82">
            <v>1</v>
          </cell>
          <cell r="T82">
            <v>56</v>
          </cell>
          <cell r="U82">
            <v>64</v>
          </cell>
          <cell r="V82">
            <v>9</v>
          </cell>
          <cell r="W82">
            <v>73</v>
          </cell>
        </row>
        <row r="83">
          <cell r="A83">
            <v>36342</v>
          </cell>
          <cell r="B83">
            <v>174801</v>
          </cell>
          <cell r="C83">
            <v>65307</v>
          </cell>
          <cell r="D83">
            <v>240108</v>
          </cell>
          <cell r="E83">
            <v>495</v>
          </cell>
          <cell r="F83">
            <v>69</v>
          </cell>
          <cell r="G83">
            <v>564</v>
          </cell>
          <cell r="J83">
            <v>492</v>
          </cell>
          <cell r="K83" t="str">
            <v>-</v>
          </cell>
          <cell r="M83" t="str">
            <v>-</v>
          </cell>
          <cell r="P83">
            <v>0</v>
          </cell>
          <cell r="Q83">
            <v>108</v>
          </cell>
          <cell r="R83">
            <v>11</v>
          </cell>
          <cell r="S83">
            <v>4</v>
          </cell>
          <cell r="T83">
            <v>83</v>
          </cell>
          <cell r="U83">
            <v>112</v>
          </cell>
          <cell r="V83">
            <v>1</v>
          </cell>
          <cell r="W83">
            <v>113</v>
          </cell>
        </row>
        <row r="84">
          <cell r="A84">
            <v>36373</v>
          </cell>
          <cell r="D84">
            <v>0</v>
          </cell>
          <cell r="G84">
            <v>0</v>
          </cell>
          <cell r="W84">
            <v>0</v>
          </cell>
        </row>
        <row r="85">
          <cell r="A85">
            <v>36404</v>
          </cell>
          <cell r="D85">
            <v>0</v>
          </cell>
          <cell r="G85">
            <v>0</v>
          </cell>
          <cell r="W85">
            <v>0</v>
          </cell>
        </row>
        <row r="86">
          <cell r="A86">
            <v>36434</v>
          </cell>
          <cell r="D86">
            <v>0</v>
          </cell>
          <cell r="G86">
            <v>0</v>
          </cell>
          <cell r="W86">
            <v>0</v>
          </cell>
        </row>
        <row r="87">
          <cell r="A87">
            <v>36465</v>
          </cell>
          <cell r="D87">
            <v>0</v>
          </cell>
          <cell r="G87">
            <v>0</v>
          </cell>
          <cell r="W87">
            <v>0</v>
          </cell>
        </row>
        <row r="88">
          <cell r="A88">
            <v>36495</v>
          </cell>
          <cell r="D88">
            <v>0</v>
          </cell>
          <cell r="G88">
            <v>0</v>
          </cell>
          <cell r="W88">
            <v>0</v>
          </cell>
        </row>
        <row r="89">
          <cell r="A89">
            <v>36526</v>
          </cell>
          <cell r="D89">
            <v>0</v>
          </cell>
          <cell r="G89">
            <v>0</v>
          </cell>
          <cell r="W89">
            <v>0</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 sheetId="3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omments" Target="../comments1.xml"/><Relationship Id="rId5" Type="http://schemas.openxmlformats.org/officeDocument/2006/relationships/ctrlProp" Target="../ctrlProps/ctrlProp2.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18" Type="http://schemas.openxmlformats.org/officeDocument/2006/relationships/ctrlProp" Target="../ctrlProps/ctrlProp90.xml"/><Relationship Id="rId26" Type="http://schemas.openxmlformats.org/officeDocument/2006/relationships/ctrlProp" Target="../ctrlProps/ctrlProp98.xml"/><Relationship Id="rId3" Type="http://schemas.openxmlformats.org/officeDocument/2006/relationships/vmlDrawing" Target="../drawings/vmlDrawing3.vml"/><Relationship Id="rId21" Type="http://schemas.openxmlformats.org/officeDocument/2006/relationships/ctrlProp" Target="../ctrlProps/ctrlProp93.xml"/><Relationship Id="rId7" Type="http://schemas.openxmlformats.org/officeDocument/2006/relationships/ctrlProp" Target="../ctrlProps/ctrlProp79.xml"/><Relationship Id="rId12" Type="http://schemas.openxmlformats.org/officeDocument/2006/relationships/ctrlProp" Target="../ctrlProps/ctrlProp84.xml"/><Relationship Id="rId17" Type="http://schemas.openxmlformats.org/officeDocument/2006/relationships/ctrlProp" Target="../ctrlProps/ctrlProp89.xml"/><Relationship Id="rId25" Type="http://schemas.openxmlformats.org/officeDocument/2006/relationships/ctrlProp" Target="../ctrlProps/ctrlProp97.xml"/><Relationship Id="rId2" Type="http://schemas.openxmlformats.org/officeDocument/2006/relationships/drawing" Target="../drawings/drawing4.xml"/><Relationship Id="rId16" Type="http://schemas.openxmlformats.org/officeDocument/2006/relationships/ctrlProp" Target="../ctrlProps/ctrlProp88.xml"/><Relationship Id="rId20" Type="http://schemas.openxmlformats.org/officeDocument/2006/relationships/ctrlProp" Target="../ctrlProps/ctrlProp92.xml"/><Relationship Id="rId1" Type="http://schemas.openxmlformats.org/officeDocument/2006/relationships/printerSettings" Target="../printerSettings/printerSettings3.bin"/><Relationship Id="rId6" Type="http://schemas.openxmlformats.org/officeDocument/2006/relationships/ctrlProp" Target="../ctrlProps/ctrlProp78.xml"/><Relationship Id="rId11" Type="http://schemas.openxmlformats.org/officeDocument/2006/relationships/ctrlProp" Target="../ctrlProps/ctrlProp83.xml"/><Relationship Id="rId24" Type="http://schemas.openxmlformats.org/officeDocument/2006/relationships/ctrlProp" Target="../ctrlProps/ctrlProp96.xml"/><Relationship Id="rId5" Type="http://schemas.openxmlformats.org/officeDocument/2006/relationships/ctrlProp" Target="../ctrlProps/ctrlProp77.xml"/><Relationship Id="rId15" Type="http://schemas.openxmlformats.org/officeDocument/2006/relationships/ctrlProp" Target="../ctrlProps/ctrlProp87.xml"/><Relationship Id="rId23" Type="http://schemas.openxmlformats.org/officeDocument/2006/relationships/ctrlProp" Target="../ctrlProps/ctrlProp95.xml"/><Relationship Id="rId28" Type="http://schemas.openxmlformats.org/officeDocument/2006/relationships/ctrlProp" Target="../ctrlProps/ctrlProp100.xml"/><Relationship Id="rId10" Type="http://schemas.openxmlformats.org/officeDocument/2006/relationships/ctrlProp" Target="../ctrlProps/ctrlProp82.xml"/><Relationship Id="rId19" Type="http://schemas.openxmlformats.org/officeDocument/2006/relationships/ctrlProp" Target="../ctrlProps/ctrlProp91.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 Id="rId22" Type="http://schemas.openxmlformats.org/officeDocument/2006/relationships/ctrlProp" Target="../ctrlProps/ctrlProp94.xml"/><Relationship Id="rId27" Type="http://schemas.openxmlformats.org/officeDocument/2006/relationships/ctrlProp" Target="../ctrlProps/ctrlProp9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B3:B12"/>
  <sheetViews>
    <sheetView showGridLines="0" tabSelected="1" zoomScaleNormal="100" zoomScaleSheetLayoutView="100" workbookViewId="0">
      <selection activeCell="B3" sqref="B3"/>
    </sheetView>
  </sheetViews>
  <sheetFormatPr defaultColWidth="8.75" defaultRowHeight="18"/>
  <cols>
    <col min="1" max="1" width="3.08203125" style="187" customWidth="1"/>
    <col min="2" max="2" width="115.33203125" style="187" customWidth="1"/>
    <col min="3" max="16384" width="8.75" style="187"/>
  </cols>
  <sheetData>
    <row r="3" spans="2:2" ht="24.5">
      <c r="B3" s="186" t="s">
        <v>0</v>
      </c>
    </row>
    <row r="6" spans="2:2" ht="24.5">
      <c r="B6" s="186" t="s">
        <v>1</v>
      </c>
    </row>
    <row r="7" spans="2:2" ht="120">
      <c r="B7" s="188" t="s">
        <v>2</v>
      </c>
    </row>
    <row r="8" spans="2:2" ht="158">
      <c r="B8" s="189" t="s">
        <v>3</v>
      </c>
    </row>
    <row r="9" spans="2:2" ht="49">
      <c r="B9" s="190" t="s">
        <v>4</v>
      </c>
    </row>
    <row r="10" spans="2:2">
      <c r="B10" s="191"/>
    </row>
    <row r="11" spans="2:2" ht="24.5">
      <c r="B11" s="186" t="s">
        <v>2249</v>
      </c>
    </row>
    <row r="12" spans="2:2" ht="60">
      <c r="B12" s="320" t="s">
        <v>2250</v>
      </c>
    </row>
  </sheetData>
  <phoneticPr fontId="7"/>
  <pageMargins left="0.7" right="0.7" top="0.75" bottom="0.75" header="0.3" footer="0.3"/>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D1:CK190"/>
  <sheetViews>
    <sheetView showGridLines="0" zoomScaleNormal="100" zoomScaleSheetLayoutView="85" workbookViewId="0"/>
  </sheetViews>
  <sheetFormatPr defaultColWidth="3.25" defaultRowHeight="18" outlineLevelCol="1"/>
  <cols>
    <col min="7" max="7" width="3.58203125" customWidth="1"/>
    <col min="37" max="37" width="3.25" customWidth="1"/>
    <col min="38" max="39" width="7.25" hidden="1" customWidth="1" outlineLevel="1"/>
    <col min="40" max="40" width="3.25" hidden="1" customWidth="1" outlineLevel="1"/>
    <col min="41" max="41" width="3.25" customWidth="1" collapsed="1"/>
    <col min="42" max="71" width="3.25" customWidth="1"/>
    <col min="72" max="72" width="21.75" customWidth="1"/>
    <col min="73" max="73" width="7.75" customWidth="1"/>
    <col min="74" max="74" width="7.75" hidden="1" customWidth="1" outlineLevel="1"/>
    <col min="75" max="75" width="7.83203125" customWidth="1" collapsed="1"/>
    <col min="76" max="78" width="7.83203125" hidden="1" customWidth="1" outlineLevel="1"/>
    <col min="79" max="79" width="7.83203125" customWidth="1" collapsed="1"/>
    <col min="80" max="80" width="7.83203125" hidden="1" customWidth="1" outlineLevel="1"/>
    <col min="81" max="81" width="15.58203125" customWidth="1" collapsed="1"/>
    <col min="82" max="82" width="17.08203125" customWidth="1"/>
    <col min="87" max="87" width="34.5" bestFit="1" customWidth="1"/>
    <col min="88" max="88" width="42" bestFit="1" customWidth="1"/>
  </cols>
  <sheetData>
    <row r="1" spans="4:68" ht="29">
      <c r="D1" s="33" t="s">
        <v>5</v>
      </c>
      <c r="AL1" s="333" t="s">
        <v>6</v>
      </c>
      <c r="AM1" s="333"/>
      <c r="AN1" s="333"/>
    </row>
    <row r="2" spans="4:68">
      <c r="AL2" s="21">
        <f>COUNTIF($AG$12:$AG$122,$CJ$174)+COUNTIF($AG$12:$AG$122,"　")</f>
        <v>12</v>
      </c>
      <c r="AM2" s="21" t="s">
        <v>7</v>
      </c>
    </row>
    <row r="3" spans="4:68">
      <c r="D3" s="34" t="s">
        <v>8</v>
      </c>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6"/>
      <c r="AL3" s="19">
        <f>COUNTIF($AG$12:$AG$122,$CJ$174)</f>
        <v>12</v>
      </c>
      <c r="AM3" s="19" t="s">
        <v>9</v>
      </c>
      <c r="AP3" s="34" t="s">
        <v>10</v>
      </c>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6"/>
    </row>
    <row r="4" spans="4:68">
      <c r="D4" s="37"/>
      <c r="E4" t="s">
        <v>11</v>
      </c>
      <c r="AJ4" s="38"/>
      <c r="AL4" s="19">
        <f>COUNTIF($AM$12:$AM$122,$CJ$177)</f>
        <v>0</v>
      </c>
      <c r="AM4" s="19" t="s">
        <v>12</v>
      </c>
      <c r="AP4" s="37"/>
      <c r="AQ4" t="s">
        <v>13</v>
      </c>
      <c r="BP4" s="38"/>
    </row>
    <row r="5" spans="4:68">
      <c r="D5" s="37"/>
      <c r="E5" t="s">
        <v>14</v>
      </c>
      <c r="AJ5" s="38"/>
      <c r="AP5" s="37"/>
      <c r="AQ5" t="s">
        <v>15</v>
      </c>
      <c r="BP5" s="38"/>
    </row>
    <row r="6" spans="4:68">
      <c r="D6" s="37"/>
      <c r="E6" t="s">
        <v>16</v>
      </c>
      <c r="AJ6" s="38"/>
      <c r="AP6" s="37"/>
      <c r="BP6" s="38"/>
    </row>
    <row r="7" spans="4:68">
      <c r="D7" s="37"/>
      <c r="E7" s="21" t="s">
        <v>17</v>
      </c>
      <c r="F7" s="178"/>
      <c r="AJ7" s="38"/>
      <c r="AP7" s="37"/>
      <c r="BP7" s="38"/>
    </row>
    <row r="8" spans="4:68">
      <c r="D8" s="37"/>
      <c r="E8" t="s">
        <v>18</v>
      </c>
      <c r="AJ8" s="38"/>
      <c r="AP8" s="37"/>
      <c r="BP8" s="38"/>
    </row>
    <row r="9" spans="4:68">
      <c r="D9" s="37"/>
      <c r="G9" t="s">
        <v>19</v>
      </c>
      <c r="AJ9" s="38"/>
      <c r="AP9" s="37"/>
      <c r="BP9" s="38"/>
    </row>
    <row r="10" spans="4:68">
      <c r="D10" s="39"/>
      <c r="E10" s="40" t="s">
        <v>20</v>
      </c>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1"/>
      <c r="AP10" s="37"/>
      <c r="BP10" s="38"/>
    </row>
    <row r="11" spans="4:68">
      <c r="AP11" s="37"/>
      <c r="BP11" s="38"/>
    </row>
    <row r="12" spans="4:68">
      <c r="D12" s="34" t="s">
        <v>21</v>
      </c>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6"/>
      <c r="AP12" s="37"/>
      <c r="BP12" s="38"/>
    </row>
    <row r="13" spans="4:68">
      <c r="D13" s="155"/>
      <c r="E13" s="21" t="s">
        <v>22</v>
      </c>
      <c r="AG13" s="29" t="str">
        <f>IF(AL13=0,$CJ$174,"　")</f>
        <v>回答必須</v>
      </c>
      <c r="AJ13" s="38"/>
      <c r="AL13" s="21">
        <f>IF(COUNTIF(AL14:AL17,$CJ$175),0,1)</f>
        <v>0</v>
      </c>
      <c r="AP13" s="37"/>
      <c r="BP13" s="38"/>
    </row>
    <row r="14" spans="4:68">
      <c r="D14" s="155"/>
      <c r="G14" t="s">
        <v>23</v>
      </c>
      <c r="M14" s="330"/>
      <c r="N14" s="331"/>
      <c r="O14" s="331"/>
      <c r="P14" s="331"/>
      <c r="Q14" s="331"/>
      <c r="R14" s="331"/>
      <c r="S14" s="331"/>
      <c r="T14" s="331"/>
      <c r="U14" s="331"/>
      <c r="V14" s="331"/>
      <c r="W14" s="331"/>
      <c r="X14" s="331"/>
      <c r="Y14" s="331"/>
      <c r="Z14" s="331"/>
      <c r="AA14" s="331"/>
      <c r="AB14" s="331"/>
      <c r="AC14" s="331"/>
      <c r="AD14" s="331"/>
      <c r="AE14" s="331"/>
      <c r="AF14" s="331"/>
      <c r="AG14" s="331"/>
      <c r="AH14" s="331"/>
      <c r="AI14" s="332"/>
      <c r="AJ14" s="38"/>
      <c r="AL14" s="21" t="str">
        <f>IF(M14="",$CJ$175,$CJ$176)</f>
        <v>空欄</v>
      </c>
      <c r="AP14" s="37"/>
      <c r="BP14" s="38"/>
    </row>
    <row r="15" spans="4:68">
      <c r="D15" s="155"/>
      <c r="G15" t="s">
        <v>24</v>
      </c>
      <c r="M15" s="330"/>
      <c r="N15" s="331"/>
      <c r="O15" s="331"/>
      <c r="P15" s="331"/>
      <c r="Q15" s="331"/>
      <c r="R15" s="331"/>
      <c r="S15" s="331"/>
      <c r="T15" s="331"/>
      <c r="U15" s="331"/>
      <c r="V15" s="331"/>
      <c r="W15" s="331"/>
      <c r="X15" s="331"/>
      <c r="Y15" s="331"/>
      <c r="Z15" s="331"/>
      <c r="AA15" s="331"/>
      <c r="AB15" s="331"/>
      <c r="AC15" s="331"/>
      <c r="AD15" s="331"/>
      <c r="AE15" s="331"/>
      <c r="AF15" s="331"/>
      <c r="AG15" s="331"/>
      <c r="AH15" s="331"/>
      <c r="AI15" s="332"/>
      <c r="AJ15" s="38"/>
      <c r="AL15" s="21" t="str">
        <f>IF(M15="",$CJ$175,$CJ$176)</f>
        <v>空欄</v>
      </c>
      <c r="AP15" s="37"/>
      <c r="BP15" s="38"/>
    </row>
    <row r="16" spans="4:68">
      <c r="D16" s="155"/>
      <c r="G16" t="s">
        <v>25</v>
      </c>
      <c r="M16" s="330"/>
      <c r="N16" s="331"/>
      <c r="O16" s="331"/>
      <c r="P16" s="331"/>
      <c r="Q16" s="331"/>
      <c r="R16" s="331"/>
      <c r="S16" s="331"/>
      <c r="T16" s="331"/>
      <c r="U16" s="331"/>
      <c r="V16" s="331"/>
      <c r="W16" s="331"/>
      <c r="X16" s="331"/>
      <c r="Y16" s="331"/>
      <c r="Z16" s="331"/>
      <c r="AA16" s="331"/>
      <c r="AB16" s="331"/>
      <c r="AC16" s="331"/>
      <c r="AD16" s="331"/>
      <c r="AE16" s="331"/>
      <c r="AF16" s="331"/>
      <c r="AG16" s="331"/>
      <c r="AH16" s="331"/>
      <c r="AI16" s="332"/>
      <c r="AJ16" s="38"/>
      <c r="AL16" s="21" t="str">
        <f>IF(M16="",$CJ$175,$CJ$176)</f>
        <v>空欄</v>
      </c>
      <c r="AP16" s="37"/>
      <c r="BP16" s="38"/>
    </row>
    <row r="17" spans="4:68">
      <c r="D17" s="155"/>
      <c r="G17" t="s">
        <v>26</v>
      </c>
      <c r="M17" s="330"/>
      <c r="N17" s="331"/>
      <c r="O17" s="331"/>
      <c r="P17" s="331"/>
      <c r="Q17" s="331"/>
      <c r="R17" s="331"/>
      <c r="S17" s="331"/>
      <c r="T17" s="331"/>
      <c r="U17" s="331"/>
      <c r="V17" s="331"/>
      <c r="W17" s="331"/>
      <c r="X17" s="331"/>
      <c r="Y17" s="331"/>
      <c r="Z17" s="331"/>
      <c r="AA17" s="331"/>
      <c r="AB17" s="331"/>
      <c r="AC17" s="331"/>
      <c r="AD17" s="331"/>
      <c r="AE17" s="331"/>
      <c r="AF17" s="331"/>
      <c r="AG17" s="331"/>
      <c r="AH17" s="331"/>
      <c r="AI17" s="332"/>
      <c r="AJ17" s="38"/>
      <c r="AL17" s="21" t="str">
        <f>IF(M17="",$CJ$175,$CJ$176)</f>
        <v>空欄</v>
      </c>
      <c r="AP17" s="37"/>
      <c r="BP17" s="38"/>
    </row>
    <row r="18" spans="4:68">
      <c r="D18" s="155"/>
      <c r="AJ18" s="38"/>
      <c r="AP18" s="37"/>
      <c r="BP18" s="38"/>
    </row>
    <row r="19" spans="4:68">
      <c r="D19" s="155"/>
      <c r="E19" s="21" t="s">
        <v>27</v>
      </c>
      <c r="F19" s="172"/>
      <c r="G19" s="172"/>
      <c r="H19" s="172"/>
      <c r="I19" s="172"/>
      <c r="J19" s="172"/>
      <c r="K19" s="172"/>
      <c r="L19" s="172"/>
      <c r="M19" s="172"/>
      <c r="N19" s="172"/>
      <c r="O19" s="172"/>
      <c r="P19" s="172"/>
      <c r="Q19" s="172"/>
      <c r="R19" s="172"/>
      <c r="S19" s="172"/>
      <c r="T19" s="172"/>
      <c r="U19" s="172"/>
      <c r="V19" s="172"/>
      <c r="W19" s="172"/>
      <c r="AJ19" s="38"/>
      <c r="AP19" s="37"/>
      <c r="BP19" s="38"/>
    </row>
    <row r="20" spans="4:68">
      <c r="D20" s="155"/>
      <c r="E20" s="172"/>
      <c r="F20" s="172"/>
      <c r="G20" s="19" t="s">
        <v>28</v>
      </c>
      <c r="H20" s="172"/>
      <c r="I20" s="172"/>
      <c r="J20" s="172"/>
      <c r="K20" s="172"/>
      <c r="L20" s="172"/>
      <c r="M20" s="172"/>
      <c r="N20" s="172"/>
      <c r="O20" s="172"/>
      <c r="P20" s="172"/>
      <c r="Q20" s="172"/>
      <c r="R20" s="172"/>
      <c r="S20" s="172"/>
      <c r="T20" s="172"/>
      <c r="V20" s="172"/>
      <c r="W20" s="172"/>
      <c r="AG20" s="29" t="str">
        <f>IF(AL20=0,$CJ$174,IF(AL20=2,"","　"))</f>
        <v>回答必須</v>
      </c>
      <c r="AJ20" s="38"/>
      <c r="AL20">
        <v>0</v>
      </c>
      <c r="AP20" s="37"/>
      <c r="BP20" s="38"/>
    </row>
    <row r="21" spans="4:68">
      <c r="D21" s="155"/>
      <c r="E21" s="172"/>
      <c r="F21" s="172"/>
      <c r="I21" s="19" t="s">
        <v>29</v>
      </c>
      <c r="J21" s="172"/>
      <c r="K21" s="172"/>
      <c r="L21" s="172"/>
      <c r="M21" s="172"/>
      <c r="N21" s="172"/>
      <c r="O21" s="172"/>
      <c r="P21" s="172"/>
      <c r="Q21" s="172"/>
      <c r="R21" s="172"/>
      <c r="S21" s="172"/>
      <c r="T21" s="172"/>
      <c r="U21" s="172"/>
      <c r="V21" s="172"/>
      <c r="W21" s="172"/>
      <c r="AJ21" s="38"/>
      <c r="AL21" t="b">
        <f>IF($AL$20=1,TRUE,FALSE)</f>
        <v>0</v>
      </c>
      <c r="AP21" s="37"/>
      <c r="BP21" s="38"/>
    </row>
    <row r="22" spans="4:68">
      <c r="D22" s="155"/>
      <c r="E22" s="172"/>
      <c r="F22" s="172"/>
      <c r="I22" s="19" t="s">
        <v>30</v>
      </c>
      <c r="J22" s="172"/>
      <c r="K22" s="172"/>
      <c r="L22" s="172"/>
      <c r="M22" s="172"/>
      <c r="N22" s="172"/>
      <c r="O22" s="172"/>
      <c r="P22" s="172"/>
      <c r="Q22" s="172"/>
      <c r="R22" s="172"/>
      <c r="S22" s="172"/>
      <c r="T22" s="172"/>
      <c r="U22" s="172"/>
      <c r="V22" s="172"/>
      <c r="W22" s="172"/>
      <c r="AJ22" s="38"/>
      <c r="AL22" t="b">
        <f>IF($AL$20=2,TRUE,FALSE)</f>
        <v>0</v>
      </c>
      <c r="AP22" s="37"/>
      <c r="BP22" s="38"/>
    </row>
    <row r="23" spans="4:68">
      <c r="D23" s="155"/>
      <c r="E23" s="172"/>
      <c r="F23" s="172"/>
      <c r="H23" s="172"/>
      <c r="I23" s="19" t="s">
        <v>31</v>
      </c>
      <c r="J23" s="172"/>
      <c r="K23" s="172"/>
      <c r="L23" s="172"/>
      <c r="M23" s="172"/>
      <c r="N23" s="172"/>
      <c r="O23" s="172"/>
      <c r="P23" s="172"/>
      <c r="Q23" s="172"/>
      <c r="R23" s="172"/>
      <c r="S23" s="172"/>
      <c r="T23" s="172"/>
      <c r="U23" s="172"/>
      <c r="V23" s="172"/>
      <c r="W23" s="172"/>
      <c r="AJ23" s="38"/>
      <c r="AP23" s="39"/>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1"/>
    </row>
    <row r="24" spans="4:68">
      <c r="D24" s="155"/>
      <c r="E24" s="172"/>
      <c r="F24" s="172"/>
      <c r="G24" s="172"/>
      <c r="H24" s="172"/>
      <c r="I24" s="172"/>
      <c r="J24" s="172"/>
      <c r="K24" s="172"/>
      <c r="L24" s="172"/>
      <c r="M24" s="172"/>
      <c r="N24" s="172"/>
      <c r="O24" s="172"/>
      <c r="P24" s="172"/>
      <c r="Q24" s="172"/>
      <c r="R24" s="172"/>
      <c r="S24" s="172"/>
      <c r="T24" s="172"/>
      <c r="U24" s="172"/>
      <c r="V24" s="172"/>
      <c r="W24" s="172"/>
      <c r="AJ24" s="38"/>
    </row>
    <row r="25" spans="4:68">
      <c r="D25" s="155"/>
      <c r="E25" s="172"/>
      <c r="F25" s="172"/>
      <c r="G25" s="19" t="s">
        <v>32</v>
      </c>
      <c r="H25" s="172"/>
      <c r="I25" s="172"/>
      <c r="J25" s="172"/>
      <c r="K25" s="172"/>
      <c r="L25" s="172"/>
      <c r="M25" s="172"/>
      <c r="N25" s="172"/>
      <c r="O25" s="172"/>
      <c r="P25" s="172"/>
      <c r="Q25" s="172"/>
      <c r="R25" s="172"/>
      <c r="S25" s="172"/>
      <c r="T25" s="172"/>
      <c r="U25" s="172"/>
      <c r="V25" s="172"/>
      <c r="W25" s="172"/>
      <c r="AG25" s="29" t="str">
        <f>IF(AL25=0,IF(AL20=2,$CJ$174,""),IF(AL20=2,"　",""))</f>
        <v/>
      </c>
      <c r="AJ25" s="38"/>
      <c r="AL25">
        <v>0</v>
      </c>
    </row>
    <row r="26" spans="4:68">
      <c r="D26" s="155"/>
      <c r="E26" s="172"/>
      <c r="F26" s="172"/>
      <c r="I26" s="19" t="s">
        <v>33</v>
      </c>
      <c r="J26" s="172"/>
      <c r="K26" s="172"/>
      <c r="L26" s="172"/>
      <c r="M26" s="172"/>
      <c r="N26" s="172"/>
      <c r="O26" s="172"/>
      <c r="P26" s="172"/>
      <c r="Q26" s="172"/>
      <c r="R26" s="172"/>
      <c r="S26" s="172"/>
      <c r="T26" s="172"/>
      <c r="U26" s="172"/>
      <c r="V26" s="172"/>
      <c r="W26" s="172"/>
      <c r="AJ26" s="38"/>
      <c r="AL26" t="b">
        <f>IF($AL$25=1,TRUE,FALSE)</f>
        <v>0</v>
      </c>
    </row>
    <row r="27" spans="4:68">
      <c r="D27" s="155"/>
      <c r="E27" s="172"/>
      <c r="F27" s="172"/>
      <c r="I27" s="19" t="s">
        <v>34</v>
      </c>
      <c r="J27" s="172"/>
      <c r="K27" s="172"/>
      <c r="L27" s="172"/>
      <c r="M27" s="172"/>
      <c r="N27" s="172"/>
      <c r="O27" s="172"/>
      <c r="P27" s="172"/>
      <c r="Q27" s="172"/>
      <c r="R27" s="172"/>
      <c r="S27" s="172"/>
      <c r="T27" s="172"/>
      <c r="U27" s="172"/>
      <c r="V27" s="172"/>
      <c r="W27" s="172"/>
      <c r="AJ27" s="38"/>
      <c r="AL27" t="b">
        <f>IF($AL$25=2,TRUE,FALSE)</f>
        <v>0</v>
      </c>
    </row>
    <row r="28" spans="4:68">
      <c r="D28" s="155"/>
      <c r="E28" s="172"/>
      <c r="F28" s="172"/>
      <c r="H28" s="172"/>
      <c r="I28" s="19" t="s">
        <v>35</v>
      </c>
      <c r="J28" s="172"/>
      <c r="K28" s="172"/>
      <c r="L28" s="172"/>
      <c r="M28" s="172"/>
      <c r="N28" s="172"/>
      <c r="O28" s="172"/>
      <c r="P28" s="172"/>
      <c r="Q28" s="172"/>
      <c r="R28" s="172"/>
      <c r="S28" s="172"/>
      <c r="T28" s="172"/>
      <c r="U28" s="172"/>
      <c r="V28" s="172"/>
      <c r="W28" s="172"/>
      <c r="AJ28" s="38"/>
    </row>
    <row r="29" spans="4:68">
      <c r="D29" s="155"/>
      <c r="M29" s="330"/>
      <c r="N29" s="331"/>
      <c r="O29" s="331"/>
      <c r="P29" s="331"/>
      <c r="Q29" s="331"/>
      <c r="R29" s="331"/>
      <c r="S29" s="331"/>
      <c r="T29" s="331"/>
      <c r="U29" s="331"/>
      <c r="V29" s="331"/>
      <c r="W29" s="331"/>
      <c r="X29" s="331"/>
      <c r="Y29" s="331"/>
      <c r="Z29" s="331"/>
      <c r="AA29" s="331"/>
      <c r="AB29" s="331"/>
      <c r="AC29" s="331"/>
      <c r="AD29" s="331"/>
      <c r="AE29" s="331"/>
      <c r="AF29" s="331"/>
      <c r="AG29" s="331"/>
      <c r="AH29" s="331"/>
      <c r="AI29" s="332"/>
      <c r="AJ29" s="38"/>
    </row>
    <row r="30" spans="4:68">
      <c r="D30" s="155"/>
      <c r="AJ30" s="38"/>
    </row>
    <row r="31" spans="4:68">
      <c r="D31" s="155"/>
      <c r="E31" s="21" t="s">
        <v>36</v>
      </c>
      <c r="AG31" s="29" t="str">
        <f>IF(AL31=0,$CJ$174,"　")</f>
        <v>回答必須</v>
      </c>
      <c r="AJ31" s="38"/>
      <c r="AL31" s="21">
        <v>0</v>
      </c>
    </row>
    <row r="32" spans="4:68">
      <c r="D32" s="155"/>
      <c r="E32" s="21"/>
      <c r="H32" s="19" t="s">
        <v>37</v>
      </c>
      <c r="AJ32" s="38"/>
      <c r="AL32" s="21" t="b">
        <f>IF($AL$31=1,TRUE,FALSE)</f>
        <v>0</v>
      </c>
    </row>
    <row r="33" spans="4:40">
      <c r="D33" s="155"/>
      <c r="E33" s="21"/>
      <c r="H33" s="19" t="s">
        <v>38</v>
      </c>
      <c r="AJ33" s="38"/>
      <c r="AL33" s="21" t="b">
        <f>IF($AL$31=2,TRUE,FALSE)</f>
        <v>0</v>
      </c>
    </row>
    <row r="34" spans="4:40">
      <c r="D34" s="155"/>
      <c r="H34" s="177"/>
      <c r="I34" s="19" t="s">
        <v>39</v>
      </c>
      <c r="AJ34" s="38"/>
      <c r="AL34" s="21" t="b">
        <v>0</v>
      </c>
    </row>
    <row r="35" spans="4:40">
      <c r="D35" s="155"/>
      <c r="AJ35" s="38"/>
    </row>
    <row r="36" spans="4:40">
      <c r="D36" s="37"/>
      <c r="E36" s="21" t="s">
        <v>40</v>
      </c>
      <c r="AG36" s="29" t="str">
        <f>IF(AL36=0,$CJ$174,"　")</f>
        <v>回答必須</v>
      </c>
      <c r="AJ36" s="38"/>
      <c r="AL36">
        <v>0</v>
      </c>
    </row>
    <row r="37" spans="4:40">
      <c r="D37" s="37"/>
      <c r="H37" s="21" t="s">
        <v>41</v>
      </c>
      <c r="AJ37" s="38"/>
      <c r="AL37" t="b">
        <f>IF($AL$36=4,TRUE,FALSE)</f>
        <v>0</v>
      </c>
    </row>
    <row r="38" spans="4:40">
      <c r="D38" s="37"/>
      <c r="H38" t="s">
        <v>42</v>
      </c>
      <c r="AJ38" s="38"/>
      <c r="AL38" t="b">
        <f>IF($AL$36=1,TRUE,FALSE)</f>
        <v>0</v>
      </c>
    </row>
    <row r="39" spans="4:40">
      <c r="D39" s="37"/>
      <c r="H39" t="s">
        <v>43</v>
      </c>
      <c r="AJ39" s="38"/>
      <c r="AL39" t="b">
        <f>IF($AL$36=2,TRUE,FALSE)</f>
        <v>0</v>
      </c>
    </row>
    <row r="40" spans="4:40">
      <c r="D40" s="37"/>
      <c r="H40" t="s">
        <v>44</v>
      </c>
      <c r="AJ40" s="38"/>
      <c r="AL40" t="b">
        <f>IF($AL$36=3,TRUE,FALSE)</f>
        <v>0</v>
      </c>
    </row>
    <row r="41" spans="4:40">
      <c r="D41" s="37"/>
      <c r="AJ41" s="38"/>
    </row>
    <row r="42" spans="4:40">
      <c r="D42" s="37"/>
      <c r="E42" s="19" t="s">
        <v>45</v>
      </c>
      <c r="AG42" s="29" t="str">
        <f>IF(AL42=0,$CJ$174,"　")</f>
        <v>回答必須</v>
      </c>
      <c r="AJ42" s="38"/>
      <c r="AL42">
        <v>0</v>
      </c>
    </row>
    <row r="43" spans="4:40">
      <c r="D43" s="37"/>
      <c r="H43" t="s">
        <v>46</v>
      </c>
      <c r="AJ43" s="38"/>
      <c r="AL43" t="b">
        <f>IF($AL$42=1,TRUE,FALSE)</f>
        <v>0</v>
      </c>
    </row>
    <row r="44" spans="4:40">
      <c r="D44" s="37"/>
      <c r="H44" t="s">
        <v>47</v>
      </c>
      <c r="AJ44" s="38"/>
      <c r="AL44" t="b">
        <f>IF($AL$42=2,TRUE,FALSE)</f>
        <v>0</v>
      </c>
    </row>
    <row r="45" spans="4:40">
      <c r="D45" s="37"/>
      <c r="AJ45" s="38"/>
    </row>
    <row r="46" spans="4:40">
      <c r="D46" s="37"/>
      <c r="E46" s="19" t="s">
        <v>48</v>
      </c>
      <c r="AG46" s="29" t="str">
        <f>IF(AL46=0,$CJ$174,"　")</f>
        <v>回答必須</v>
      </c>
      <c r="AJ46" s="38"/>
      <c r="AL46">
        <v>0</v>
      </c>
    </row>
    <row r="47" spans="4:40">
      <c r="D47" s="37"/>
      <c r="G47" t="s">
        <v>49</v>
      </c>
      <c r="U47" s="149" t="s">
        <v>50</v>
      </c>
      <c r="Z47" s="149"/>
      <c r="AJ47" s="38"/>
    </row>
    <row r="48" spans="4:40">
      <c r="D48" s="37"/>
      <c r="H48" s="260" t="s">
        <v>51</v>
      </c>
      <c r="I48" s="260"/>
      <c r="J48" s="260"/>
      <c r="K48" s="260"/>
      <c r="L48" s="260"/>
      <c r="M48" s="260"/>
      <c r="AJ48" s="38"/>
      <c r="AL48" s="21" t="b">
        <f>IF($AL$46=1,TRUE,IF($AL$46=5,TRUE,FALSE))</f>
        <v>0</v>
      </c>
      <c r="AN48" t="s">
        <v>52</v>
      </c>
    </row>
    <row r="49" spans="4:40">
      <c r="D49" s="37"/>
      <c r="H49" s="260" t="s">
        <v>53</v>
      </c>
      <c r="I49" s="260"/>
      <c r="J49" s="260"/>
      <c r="K49" s="260"/>
      <c r="L49" s="260"/>
      <c r="M49" s="260"/>
      <c r="AJ49" s="38"/>
      <c r="AL49" t="b">
        <f>IF($AL$46=2,TRUE,FALSE)</f>
        <v>0</v>
      </c>
    </row>
    <row r="50" spans="4:40">
      <c r="D50" s="37"/>
      <c r="H50" s="260" t="s">
        <v>2238</v>
      </c>
      <c r="I50" s="260"/>
      <c r="J50" s="260"/>
      <c r="K50" s="260"/>
      <c r="L50" s="260"/>
      <c r="M50" s="260"/>
      <c r="AJ50" s="38"/>
      <c r="AL50" t="b">
        <f>IF($AL$46=3,TRUE,FALSE)</f>
        <v>0</v>
      </c>
    </row>
    <row r="51" spans="4:40">
      <c r="D51" s="37"/>
      <c r="H51" s="319" t="s">
        <v>1992</v>
      </c>
      <c r="I51" s="319"/>
      <c r="J51" s="319"/>
      <c r="K51" s="319"/>
      <c r="L51" s="319"/>
      <c r="M51" s="319"/>
      <c r="N51" s="298"/>
      <c r="O51" s="298"/>
      <c r="P51" s="298"/>
      <c r="AJ51" s="38"/>
      <c r="AL51" t="b">
        <f>IF($AL$46=4,TRUE,FALSE)</f>
        <v>0</v>
      </c>
    </row>
    <row r="52" spans="4:40">
      <c r="D52" s="37"/>
      <c r="H52" s="260" t="s">
        <v>2239</v>
      </c>
      <c r="I52" s="260"/>
      <c r="J52" s="260"/>
      <c r="K52" s="260"/>
      <c r="L52" s="260"/>
      <c r="M52" s="260"/>
      <c r="AJ52" s="38"/>
      <c r="AL52" s="21" t="b">
        <f>IF($AL$46=5,TRUE,FALSE)</f>
        <v>0</v>
      </c>
      <c r="AM52" s="193" t="str">
        <f>IF(AL52=TRUE,$CJ$177,"")</f>
        <v/>
      </c>
      <c r="AN52" t="s">
        <v>54</v>
      </c>
    </row>
    <row r="53" spans="4:40">
      <c r="D53" s="37"/>
      <c r="AJ53" s="38"/>
    </row>
    <row r="54" spans="4:40">
      <c r="D54" s="37"/>
      <c r="E54" s="21" t="s">
        <v>55</v>
      </c>
      <c r="AG54" s="29" t="str">
        <f>IF(AL54=0,$CJ$174,"　")</f>
        <v>回答必須</v>
      </c>
      <c r="AJ54" s="38"/>
      <c r="AL54" s="21">
        <v>0</v>
      </c>
      <c r="AM54" s="173"/>
    </row>
    <row r="55" spans="4:40">
      <c r="D55" s="37"/>
      <c r="G55" t="s">
        <v>49</v>
      </c>
      <c r="U55" s="149" t="s">
        <v>50</v>
      </c>
      <c r="Z55" s="149"/>
      <c r="AD55" s="149"/>
      <c r="AJ55" s="38"/>
      <c r="AL55" s="173"/>
      <c r="AM55" s="173"/>
    </row>
    <row r="56" spans="4:40">
      <c r="D56" s="37"/>
      <c r="H56" s="19" t="s">
        <v>56</v>
      </c>
      <c r="AJ56" s="38"/>
      <c r="AL56" s="21" t="b">
        <f>IF($AL$54=1,TRUE,IF($AL$54=4,TRUE,FALSE))</f>
        <v>0</v>
      </c>
      <c r="AN56" t="s">
        <v>52</v>
      </c>
    </row>
    <row r="57" spans="4:40">
      <c r="D57" s="37"/>
      <c r="G57" s="173"/>
      <c r="H57" s="19" t="s">
        <v>57</v>
      </c>
      <c r="I57" s="173"/>
      <c r="J57" s="172"/>
      <c r="K57" s="172"/>
      <c r="L57" s="172"/>
      <c r="M57" s="172"/>
      <c r="N57" s="172"/>
      <c r="O57" s="172"/>
      <c r="P57" s="172"/>
      <c r="Q57" s="172"/>
      <c r="AJ57" s="38"/>
      <c r="AL57" s="21" t="b">
        <f>IF($AL$54=2,TRUE,IF($AL$54=4,TRUE,FALSE))</f>
        <v>0</v>
      </c>
      <c r="AN57" t="s">
        <v>52</v>
      </c>
    </row>
    <row r="58" spans="4:40">
      <c r="D58" s="37"/>
      <c r="H58" s="19" t="s">
        <v>58</v>
      </c>
      <c r="I58" s="173"/>
      <c r="J58" s="172"/>
      <c r="K58" s="172"/>
      <c r="L58" s="172"/>
      <c r="M58" s="172"/>
      <c r="N58" s="172"/>
      <c r="O58" s="172"/>
      <c r="P58" s="172"/>
      <c r="Q58" s="172"/>
      <c r="AJ58" s="38"/>
      <c r="AL58" s="21" t="b">
        <f>IF($AL$54=3,TRUE,IF($AL$54=4,TRUE,FALSE))</f>
        <v>0</v>
      </c>
      <c r="AN58" t="s">
        <v>52</v>
      </c>
    </row>
    <row r="59" spans="4:40">
      <c r="D59" s="37"/>
      <c r="H59" s="19" t="s">
        <v>59</v>
      </c>
      <c r="J59" s="174"/>
      <c r="K59" s="174"/>
      <c r="L59" s="174"/>
      <c r="M59" s="174"/>
      <c r="N59" s="174"/>
      <c r="O59" s="174"/>
      <c r="P59" s="174"/>
      <c r="Q59" s="174"/>
      <c r="R59" s="174"/>
      <c r="S59" s="174"/>
      <c r="T59" s="174"/>
      <c r="U59" s="174"/>
      <c r="V59" s="174"/>
      <c r="W59" s="174"/>
      <c r="X59" s="174"/>
      <c r="Y59" s="174"/>
      <c r="Z59" s="174"/>
      <c r="AA59" s="174"/>
      <c r="AB59" s="174"/>
      <c r="AC59" s="174"/>
      <c r="AD59" s="174"/>
      <c r="AE59" s="174"/>
      <c r="AF59" s="174"/>
      <c r="AG59" s="174"/>
      <c r="AH59" s="174"/>
      <c r="AI59" s="174"/>
      <c r="AJ59" s="38"/>
      <c r="AL59" s="21" t="b">
        <f>IF($AL$54=4,TRUE,FALSE)</f>
        <v>0</v>
      </c>
      <c r="AM59" s="193" t="str">
        <f>IF(AL59=TRUE,$CJ$177,"")</f>
        <v/>
      </c>
      <c r="AN59" t="s">
        <v>54</v>
      </c>
    </row>
    <row r="60" spans="4:40">
      <c r="D60" s="37"/>
      <c r="AJ60" s="38"/>
    </row>
    <row r="61" spans="4:40">
      <c r="D61" s="37"/>
      <c r="E61" s="19" t="s">
        <v>60</v>
      </c>
      <c r="AG61" s="29" t="str">
        <f>IF(AL61=0,$CJ$174,"　")</f>
        <v>回答必須</v>
      </c>
      <c r="AJ61" s="38"/>
      <c r="AL61">
        <v>0</v>
      </c>
    </row>
    <row r="62" spans="4:40">
      <c r="D62" s="37"/>
      <c r="H62" t="s">
        <v>61</v>
      </c>
      <c r="AJ62" s="38"/>
      <c r="AL62" s="21" t="b">
        <f>IF($AL$61=1,TRUE,IF($AL$61=3,TRUE,FALSE))</f>
        <v>0</v>
      </c>
      <c r="AN62" t="s">
        <v>52</v>
      </c>
    </row>
    <row r="63" spans="4:40">
      <c r="D63" s="37"/>
      <c r="H63" t="s">
        <v>62</v>
      </c>
      <c r="AJ63" s="38"/>
      <c r="AL63" s="21" t="b">
        <f>IF($AL$61=2,TRUE,IF($AL$61=3,TRUE,FALSE))</f>
        <v>0</v>
      </c>
      <c r="AN63" t="s">
        <v>52</v>
      </c>
    </row>
    <row r="64" spans="4:40">
      <c r="D64" s="37"/>
      <c r="H64" s="21" t="s">
        <v>59</v>
      </c>
      <c r="AJ64" s="38"/>
      <c r="AL64" s="21" t="b">
        <f>IF($AL$61=3,TRUE,FALSE)</f>
        <v>0</v>
      </c>
      <c r="AM64" s="193" t="str">
        <f>IF(AL64=TRUE,$CJ$177,"")</f>
        <v/>
      </c>
      <c r="AN64" t="s">
        <v>54</v>
      </c>
    </row>
    <row r="65" spans="4:40">
      <c r="D65" s="37"/>
      <c r="AJ65" s="38"/>
    </row>
    <row r="66" spans="4:40">
      <c r="D66" s="37"/>
      <c r="E66" s="19" t="s">
        <v>63</v>
      </c>
      <c r="AG66" s="29" t="str">
        <f>IF(AL66=0,$CJ$174,"　")</f>
        <v>回答必須</v>
      </c>
      <c r="AJ66" s="38"/>
      <c r="AL66">
        <f>IF(AL76=TRUE,IF(OR(AL78,AL79,AL80,AL81,AL82,AL83,AL84,AL85,AL90),1,0),IF(OR(AL67,AL68,AL75,AL86,AL87,AL88,AL89,AL90),1,0))</f>
        <v>0</v>
      </c>
    </row>
    <row r="67" spans="4:40">
      <c r="D67" s="37"/>
      <c r="H67" t="s">
        <v>64</v>
      </c>
      <c r="AJ67" s="38"/>
      <c r="AL67" s="21" t="b">
        <f>IF($AM$67=TRUE,TRUE,IF($AL$90=TRUE,TRUE,FALSE))</f>
        <v>0</v>
      </c>
      <c r="AM67" s="192" t="b">
        <v>0</v>
      </c>
      <c r="AN67" t="s">
        <v>52</v>
      </c>
    </row>
    <row r="68" spans="4:40">
      <c r="D68" s="37"/>
      <c r="H68" t="s">
        <v>65</v>
      </c>
      <c r="AJ68" s="38"/>
      <c r="AL68" s="21" t="b">
        <f>IF($AM$68=TRUE,TRUE,IF($AL$90=TRUE,TRUE,FALSE))</f>
        <v>0</v>
      </c>
      <c r="AM68" s="192" t="b">
        <v>0</v>
      </c>
      <c r="AN68" t="s">
        <v>52</v>
      </c>
    </row>
    <row r="69" spans="4:40">
      <c r="D69" s="37"/>
      <c r="I69" s="19" t="s">
        <v>66</v>
      </c>
      <c r="AJ69" s="38"/>
      <c r="AL69" t="b">
        <v>0</v>
      </c>
    </row>
    <row r="70" spans="4:40">
      <c r="D70" s="37"/>
      <c r="I70" t="s">
        <v>67</v>
      </c>
      <c r="AJ70" s="38"/>
    </row>
    <row r="71" spans="4:40">
      <c r="D71" s="37"/>
      <c r="I71" t="s">
        <v>68</v>
      </c>
      <c r="AJ71" s="38"/>
    </row>
    <row r="72" spans="4:40">
      <c r="D72" s="37"/>
      <c r="I72" s="171" t="s">
        <v>69</v>
      </c>
      <c r="AJ72" s="38"/>
    </row>
    <row r="73" spans="4:40">
      <c r="D73" s="155"/>
      <c r="I73" s="324" t="s">
        <v>70</v>
      </c>
      <c r="J73" s="325"/>
      <c r="K73" s="325"/>
      <c r="L73" s="325"/>
      <c r="M73" s="325"/>
      <c r="N73" s="325"/>
      <c r="O73" s="325"/>
      <c r="P73" s="325"/>
      <c r="Q73" s="325"/>
      <c r="R73" s="325"/>
      <c r="S73" s="325"/>
      <c r="T73" s="325"/>
      <c r="U73" s="325"/>
      <c r="V73" s="325"/>
      <c r="W73" s="325"/>
      <c r="X73" s="325"/>
      <c r="Y73" s="325"/>
      <c r="Z73" s="325"/>
      <c r="AA73" s="325"/>
      <c r="AB73" s="325"/>
      <c r="AC73" s="325"/>
      <c r="AD73" s="325"/>
      <c r="AE73" s="325"/>
      <c r="AF73" s="325"/>
      <c r="AG73" s="325"/>
      <c r="AH73" s="325"/>
      <c r="AI73" s="326"/>
      <c r="AJ73" s="38"/>
    </row>
    <row r="74" spans="4:40">
      <c r="D74" s="155"/>
      <c r="I74" s="327"/>
      <c r="J74" s="328"/>
      <c r="K74" s="328"/>
      <c r="L74" s="328"/>
      <c r="M74" s="328"/>
      <c r="N74" s="328"/>
      <c r="O74" s="328"/>
      <c r="P74" s="328"/>
      <c r="Q74" s="328"/>
      <c r="R74" s="328"/>
      <c r="S74" s="328"/>
      <c r="T74" s="328"/>
      <c r="U74" s="328"/>
      <c r="V74" s="328"/>
      <c r="W74" s="328"/>
      <c r="X74" s="328"/>
      <c r="Y74" s="328"/>
      <c r="Z74" s="328"/>
      <c r="AA74" s="328"/>
      <c r="AB74" s="328"/>
      <c r="AC74" s="328"/>
      <c r="AD74" s="328"/>
      <c r="AE74" s="328"/>
      <c r="AF74" s="328"/>
      <c r="AG74" s="328"/>
      <c r="AH74" s="328"/>
      <c r="AI74" s="329"/>
      <c r="AJ74" s="38"/>
    </row>
    <row r="75" spans="4:40">
      <c r="D75" s="37"/>
      <c r="H75" t="s">
        <v>71</v>
      </c>
      <c r="AJ75" s="38"/>
      <c r="AL75" s="21" t="b">
        <f>IF($AM$75=TRUE,TRUE,IF($AL$90=TRUE,TRUE,FALSE))</f>
        <v>0</v>
      </c>
      <c r="AM75" s="192" t="b">
        <v>0</v>
      </c>
      <c r="AN75" t="s">
        <v>52</v>
      </c>
    </row>
    <row r="76" spans="4:40">
      <c r="D76" s="37"/>
      <c r="H76" s="260" t="s">
        <v>72</v>
      </c>
      <c r="AJ76" s="38"/>
      <c r="AL76" s="21" t="b">
        <f>IF($AM$76=TRUE,TRUE,IF($AL$90=TRUE,TRUE,FALSE))</f>
        <v>0</v>
      </c>
      <c r="AM76" s="192" t="b">
        <v>0</v>
      </c>
      <c r="AN76" t="s">
        <v>52</v>
      </c>
    </row>
    <row r="77" spans="4:40">
      <c r="D77" s="37"/>
      <c r="H77" s="260" t="s">
        <v>73</v>
      </c>
      <c r="I77" s="260"/>
      <c r="AJ77" s="38"/>
      <c r="AL77" s="21"/>
      <c r="AM77" s="21"/>
    </row>
    <row r="78" spans="4:40">
      <c r="D78" s="37"/>
      <c r="H78" s="260"/>
      <c r="I78" s="260" t="s">
        <v>74</v>
      </c>
      <c r="AJ78" s="38"/>
      <c r="AL78" s="21" t="b">
        <v>0</v>
      </c>
      <c r="AM78" s="21"/>
    </row>
    <row r="79" spans="4:40">
      <c r="D79" s="37"/>
      <c r="H79" s="260"/>
      <c r="I79" s="260" t="s">
        <v>75</v>
      </c>
      <c r="AJ79" s="38"/>
      <c r="AL79" s="21" t="b">
        <v>0</v>
      </c>
      <c r="AM79" s="21"/>
    </row>
    <row r="80" spans="4:40">
      <c r="D80" s="37"/>
      <c r="H80" s="260"/>
      <c r="I80" s="260" t="s">
        <v>76</v>
      </c>
      <c r="AJ80" s="38"/>
      <c r="AL80" s="21" t="b">
        <v>0</v>
      </c>
      <c r="AM80" s="21"/>
    </row>
    <row r="81" spans="4:40">
      <c r="D81" s="37"/>
      <c r="H81" s="260"/>
      <c r="I81" s="260" t="s">
        <v>77</v>
      </c>
      <c r="AJ81" s="38"/>
      <c r="AL81" s="21" t="b">
        <v>0</v>
      </c>
      <c r="AM81" s="21"/>
    </row>
    <row r="82" spans="4:40">
      <c r="D82" s="37"/>
      <c r="H82" s="260"/>
      <c r="I82" s="260" t="s">
        <v>78</v>
      </c>
      <c r="AJ82" s="38"/>
      <c r="AL82" s="21" t="b">
        <v>0</v>
      </c>
      <c r="AM82" s="21"/>
    </row>
    <row r="83" spans="4:40">
      <c r="D83" s="37"/>
      <c r="H83" s="260"/>
      <c r="I83" s="260" t="s">
        <v>79</v>
      </c>
      <c r="AJ83" s="38"/>
      <c r="AL83" s="21" t="b">
        <v>0</v>
      </c>
      <c r="AM83" s="21"/>
    </row>
    <row r="84" spans="4:40">
      <c r="D84" s="37"/>
      <c r="H84" s="260"/>
      <c r="I84" s="260" t="s">
        <v>80</v>
      </c>
      <c r="AJ84" s="38"/>
      <c r="AL84" s="21" t="b">
        <v>0</v>
      </c>
      <c r="AM84" s="21"/>
    </row>
    <row r="85" spans="4:40">
      <c r="D85" s="37"/>
      <c r="H85" s="260"/>
      <c r="I85" s="260" t="s">
        <v>81</v>
      </c>
      <c r="AJ85" s="38"/>
      <c r="AL85" s="21" t="b">
        <v>0</v>
      </c>
      <c r="AM85" s="21"/>
    </row>
    <row r="86" spans="4:40">
      <c r="D86" s="37"/>
      <c r="H86" t="s">
        <v>82</v>
      </c>
      <c r="AJ86" s="38"/>
      <c r="AL86" s="21" t="b">
        <f>IF($AM$86=TRUE,TRUE,IF($AL$90=TRUE,TRUE,FALSE))</f>
        <v>0</v>
      </c>
      <c r="AM86" s="192" t="b">
        <v>0</v>
      </c>
      <c r="AN86" t="s">
        <v>52</v>
      </c>
    </row>
    <row r="87" spans="4:40">
      <c r="D87" s="37"/>
      <c r="H87" s="260" t="s">
        <v>83</v>
      </c>
      <c r="AJ87" s="38"/>
      <c r="AL87" s="21" t="b">
        <f>IF($AM$87=TRUE,TRUE,IF($AL$90=TRUE,TRUE,FALSE))</f>
        <v>0</v>
      </c>
      <c r="AM87" s="192" t="b">
        <v>0</v>
      </c>
      <c r="AN87" t="s">
        <v>52</v>
      </c>
    </row>
    <row r="88" spans="4:40">
      <c r="D88" s="37"/>
      <c r="H88" t="s">
        <v>84</v>
      </c>
      <c r="AJ88" s="38"/>
      <c r="AL88" s="21" t="b">
        <f>IF($AM$88=TRUE,TRUE,IF($AL$90=TRUE,TRUE,FALSE))</f>
        <v>0</v>
      </c>
      <c r="AM88" s="192" t="b">
        <v>0</v>
      </c>
      <c r="AN88" t="s">
        <v>52</v>
      </c>
    </row>
    <row r="89" spans="4:40">
      <c r="D89" s="37"/>
      <c r="H89" t="s">
        <v>85</v>
      </c>
      <c r="AJ89" s="38"/>
      <c r="AL89" t="b">
        <v>0</v>
      </c>
    </row>
    <row r="90" spans="4:40">
      <c r="D90" s="37"/>
      <c r="H90" s="21" t="s">
        <v>59</v>
      </c>
      <c r="AJ90" s="38"/>
      <c r="AL90" t="b">
        <v>0</v>
      </c>
      <c r="AM90" s="193" t="str">
        <f>IF(AL90=TRUE,$CJ$177,"")</f>
        <v/>
      </c>
      <c r="AN90" t="s">
        <v>54</v>
      </c>
    </row>
    <row r="91" spans="4:40">
      <c r="D91" s="37"/>
      <c r="AJ91" s="38"/>
    </row>
    <row r="92" spans="4:40">
      <c r="D92" s="37"/>
      <c r="E92" s="19" t="s">
        <v>86</v>
      </c>
      <c r="AG92" s="29" t="str">
        <f>IF(AL92=0,$CJ$174,"　")</f>
        <v>回答必須</v>
      </c>
      <c r="AJ92" s="38"/>
      <c r="AL92">
        <v>0</v>
      </c>
    </row>
    <row r="93" spans="4:40">
      <c r="D93" s="37"/>
      <c r="H93" t="s">
        <v>87</v>
      </c>
      <c r="AJ93" s="38"/>
      <c r="AL93" s="21" t="b">
        <f>IF($AL$92=1,TRUE,IF($AL$92=3,TRUE,FALSE))</f>
        <v>0</v>
      </c>
      <c r="AN93" t="s">
        <v>52</v>
      </c>
    </row>
    <row r="94" spans="4:40">
      <c r="D94" s="37"/>
      <c r="I94" t="s">
        <v>88</v>
      </c>
      <c r="AJ94" s="38"/>
      <c r="AL94" s="21" t="b">
        <f>IF($AM$94=TRUE,TRUE,IF($AL$92=3,TRUE,FALSE))</f>
        <v>0</v>
      </c>
      <c r="AM94" s="192" t="b">
        <v>0</v>
      </c>
      <c r="AN94" t="s">
        <v>52</v>
      </c>
    </row>
    <row r="95" spans="4:40">
      <c r="D95" s="37"/>
      <c r="H95" t="s">
        <v>89</v>
      </c>
      <c r="AJ95" s="38"/>
      <c r="AL95" t="b">
        <f>IF($AL$92=2,TRUE,FALSE)</f>
        <v>0</v>
      </c>
    </row>
    <row r="96" spans="4:40">
      <c r="D96" s="37"/>
      <c r="H96" s="19" t="s">
        <v>59</v>
      </c>
      <c r="AJ96" s="38"/>
      <c r="AL96" s="21" t="b">
        <f>IF($AL$92=3,TRUE,FALSE)</f>
        <v>0</v>
      </c>
      <c r="AM96" s="193" t="str">
        <f>IF(AL96=TRUE,$CJ$177,"")</f>
        <v/>
      </c>
      <c r="AN96" t="s">
        <v>54</v>
      </c>
    </row>
    <row r="97" spans="4:40">
      <c r="D97" s="37"/>
      <c r="AJ97" s="38"/>
    </row>
    <row r="98" spans="4:40">
      <c r="D98" s="37"/>
      <c r="E98" s="260" t="s">
        <v>2236</v>
      </c>
      <c r="AG98" s="29" t="str">
        <f>IF(AL98=0,$CJ$174,IF(AL98=1,IF(AL99=TRUE,"　",$CJ$174),"　"))</f>
        <v>回答必須</v>
      </c>
      <c r="AJ98" s="38"/>
      <c r="AL98">
        <v>0</v>
      </c>
    </row>
    <row r="99" spans="4:40">
      <c r="D99" s="37"/>
      <c r="H99" t="s">
        <v>90</v>
      </c>
      <c r="AJ99" s="38"/>
      <c r="AL99" s="21" t="b">
        <f>IF($AL$98=1,OR(AL101,AL102,AL103,AL104),IF($AL$98=3,TRUE,FALSE))</f>
        <v>0</v>
      </c>
      <c r="AN99" t="s">
        <v>52</v>
      </c>
    </row>
    <row r="100" spans="4:40">
      <c r="D100" s="37"/>
      <c r="H100" s="260" t="s">
        <v>91</v>
      </c>
      <c r="I100" s="260"/>
      <c r="AJ100" s="38"/>
      <c r="AL100" t="b">
        <f>IF($AL$98=1,TRUE,FALSE)</f>
        <v>0</v>
      </c>
    </row>
    <row r="101" spans="4:40">
      <c r="D101" s="37"/>
      <c r="H101" s="260"/>
      <c r="I101" s="260" t="s">
        <v>92</v>
      </c>
      <c r="AJ101" s="38"/>
      <c r="AL101" s="21" t="b">
        <v>0</v>
      </c>
    </row>
    <row r="102" spans="4:40">
      <c r="D102" s="37"/>
      <c r="H102" s="260"/>
      <c r="I102" s="260" t="s">
        <v>93</v>
      </c>
      <c r="AJ102" s="38"/>
      <c r="AL102" s="21" t="b">
        <v>0</v>
      </c>
    </row>
    <row r="103" spans="4:40">
      <c r="D103" s="37"/>
      <c r="H103" s="260"/>
      <c r="I103" s="260" t="s">
        <v>94</v>
      </c>
      <c r="AJ103" s="38"/>
      <c r="AL103" s="21" t="b">
        <v>0</v>
      </c>
    </row>
    <row r="104" spans="4:40">
      <c r="D104" s="37"/>
      <c r="H104" s="260"/>
      <c r="I104" s="260" t="s">
        <v>95</v>
      </c>
      <c r="AJ104" s="38"/>
      <c r="AL104" s="21" t="b">
        <v>0</v>
      </c>
    </row>
    <row r="105" spans="4:40">
      <c r="D105" s="37"/>
      <c r="H105" t="s">
        <v>96</v>
      </c>
      <c r="AJ105" s="38"/>
      <c r="AL105" t="b">
        <f>IF($AL$98=2,TRUE,FALSE)</f>
        <v>0</v>
      </c>
    </row>
    <row r="106" spans="4:40">
      <c r="D106" s="37"/>
      <c r="H106" s="19" t="s">
        <v>59</v>
      </c>
      <c r="AJ106" s="38"/>
      <c r="AL106" s="21" t="b">
        <f>IF($AL$98=3,TRUE,FALSE)</f>
        <v>0</v>
      </c>
      <c r="AM106" s="193" t="str">
        <f>IF(AL106=TRUE,$CJ$177,"")</f>
        <v/>
      </c>
      <c r="AN106" t="s">
        <v>54</v>
      </c>
    </row>
    <row r="107" spans="4:40">
      <c r="D107" s="37"/>
      <c r="AJ107" s="38"/>
    </row>
    <row r="108" spans="4:40">
      <c r="D108" s="37"/>
      <c r="E108" s="19" t="s">
        <v>97</v>
      </c>
      <c r="AG108" s="29" t="str">
        <f>IF(AL108=0,$CJ$174,"　")</f>
        <v>回答必須</v>
      </c>
      <c r="AJ108" s="38"/>
      <c r="AL108">
        <f>IF(OR(AL109,AL112,AL113,AL114,AL115,AL110,AL116,AL117,AL118),1,0)</f>
        <v>0</v>
      </c>
    </row>
    <row r="109" spans="4:40">
      <c r="D109" s="37"/>
      <c r="H109" t="s">
        <v>98</v>
      </c>
      <c r="AJ109" s="38"/>
      <c r="AL109" s="21" t="b">
        <f>IF($AM$109=TRUE,TRUE,IF($AL$118=TRUE,TRUE,FALSE))</f>
        <v>0</v>
      </c>
      <c r="AM109" s="192" t="b">
        <v>0</v>
      </c>
      <c r="AN109" t="s">
        <v>52</v>
      </c>
    </row>
    <row r="110" spans="4:40">
      <c r="D110" s="37"/>
      <c r="H110" t="s">
        <v>99</v>
      </c>
      <c r="AJ110" s="38"/>
      <c r="AL110" s="21" t="b">
        <f>IF($AM$110=TRUE,TRUE,IF($AL$118=TRUE,TRUE,FALSE))</f>
        <v>0</v>
      </c>
      <c r="AM110" s="192" t="b">
        <v>0</v>
      </c>
      <c r="AN110" t="s">
        <v>52</v>
      </c>
    </row>
    <row r="111" spans="4:40">
      <c r="D111" s="37"/>
      <c r="H111" t="s">
        <v>100</v>
      </c>
      <c r="AJ111" s="38"/>
    </row>
    <row r="112" spans="4:40">
      <c r="D112" s="37"/>
      <c r="I112" t="s">
        <v>101</v>
      </c>
      <c r="AJ112" s="38"/>
      <c r="AL112" t="b">
        <v>0</v>
      </c>
    </row>
    <row r="113" spans="4:40">
      <c r="D113" s="37"/>
      <c r="I113" t="s">
        <v>102</v>
      </c>
      <c r="AJ113" s="38"/>
      <c r="AL113" t="b">
        <v>0</v>
      </c>
    </row>
    <row r="114" spans="4:40">
      <c r="D114" s="37"/>
      <c r="I114" t="s">
        <v>103</v>
      </c>
      <c r="AJ114" s="38"/>
      <c r="AL114" t="b">
        <v>0</v>
      </c>
    </row>
    <row r="115" spans="4:40">
      <c r="D115" s="37"/>
      <c r="I115" s="260" t="s">
        <v>2237</v>
      </c>
      <c r="AJ115" s="38"/>
      <c r="AL115" t="b">
        <v>0</v>
      </c>
    </row>
    <row r="116" spans="4:40">
      <c r="D116" s="37"/>
      <c r="H116" t="s">
        <v>104</v>
      </c>
      <c r="AJ116" s="38"/>
      <c r="AL116" s="21" t="b">
        <f>IF($AM$116=TRUE,TRUE,IF($AL$118=TRUE,TRUE,FALSE))</f>
        <v>0</v>
      </c>
      <c r="AM116" s="192" t="b">
        <v>0</v>
      </c>
      <c r="AN116" t="s">
        <v>52</v>
      </c>
    </row>
    <row r="117" spans="4:40">
      <c r="D117" s="37"/>
      <c r="H117" t="s">
        <v>105</v>
      </c>
      <c r="AJ117" s="38"/>
      <c r="AL117" s="21" t="b">
        <f>IF($AM$117=TRUE,TRUE,IF($AL$118=TRUE,TRUE,FALSE))</f>
        <v>0</v>
      </c>
      <c r="AM117" s="192" t="b">
        <v>0</v>
      </c>
      <c r="AN117" t="s">
        <v>52</v>
      </c>
    </row>
    <row r="118" spans="4:40">
      <c r="D118" s="37"/>
      <c r="H118" s="21" t="s">
        <v>59</v>
      </c>
      <c r="AJ118" s="38"/>
      <c r="AL118" t="b">
        <v>0</v>
      </c>
      <c r="AM118" s="193" t="str">
        <f>IF(AL118=TRUE,$CJ$177,"")</f>
        <v/>
      </c>
      <c r="AN118" t="s">
        <v>54</v>
      </c>
    </row>
    <row r="119" spans="4:40">
      <c r="D119" s="37"/>
      <c r="H119" s="173"/>
      <c r="AJ119" s="38"/>
    </row>
    <row r="120" spans="4:40">
      <c r="D120" s="37"/>
      <c r="E120" s="171" t="s">
        <v>106</v>
      </c>
      <c r="H120" s="173"/>
      <c r="AJ120" s="38"/>
    </row>
    <row r="121" spans="4:40">
      <c r="D121" s="37"/>
      <c r="E121" s="171" t="s">
        <v>107</v>
      </c>
      <c r="H121" s="173"/>
      <c r="AJ121" s="38"/>
    </row>
    <row r="122" spans="4:40">
      <c r="D122" s="39"/>
      <c r="E122" s="180" t="s">
        <v>108</v>
      </c>
      <c r="F122" s="40"/>
      <c r="G122" s="40"/>
      <c r="H122" s="40"/>
      <c r="I122" s="40"/>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1"/>
    </row>
    <row r="154" spans="72:82" ht="34.15" customHeight="1">
      <c r="BT154" s="44" t="s">
        <v>109</v>
      </c>
      <c r="BU154" s="266" t="s">
        <v>110</v>
      </c>
      <c r="BV154" s="271" t="s">
        <v>111</v>
      </c>
      <c r="BW154" s="266" t="s">
        <v>112</v>
      </c>
      <c r="BX154" s="271" t="s">
        <v>111</v>
      </c>
      <c r="BY154" s="286" t="s">
        <v>1987</v>
      </c>
      <c r="BZ154" s="271" t="s">
        <v>111</v>
      </c>
      <c r="CA154" s="266" t="s">
        <v>113</v>
      </c>
      <c r="CB154" s="271" t="s">
        <v>111</v>
      </c>
      <c r="CC154" s="44" t="s">
        <v>114</v>
      </c>
      <c r="CD154" s="44" t="s">
        <v>115</v>
      </c>
    </row>
    <row r="155" spans="72:82">
      <c r="BT155" s="280" t="s">
        <v>116</v>
      </c>
      <c r="BU155" s="281">
        <f>AL2</f>
        <v>12</v>
      </c>
      <c r="BV155" s="272" t="s">
        <v>117</v>
      </c>
      <c r="BW155" s="268">
        <f>AL3</f>
        <v>12</v>
      </c>
      <c r="BX155" s="276" t="s">
        <v>118</v>
      </c>
      <c r="BY155" s="287" t="s">
        <v>1986</v>
      </c>
      <c r="BZ155" s="282" t="s">
        <v>1986</v>
      </c>
      <c r="CA155" s="268">
        <f>AL4</f>
        <v>0</v>
      </c>
      <c r="CB155" s="276" t="s">
        <v>118</v>
      </c>
      <c r="CC155" s="175" t="s">
        <v>119</v>
      </c>
      <c r="CD155" s="175" t="s">
        <v>119</v>
      </c>
    </row>
    <row r="156" spans="72:82">
      <c r="BT156" s="322" t="str">
        <f>IF(BW155=0,IF(CA155=0,CJ178,CJ179),CJ180)</f>
        <v>未回答項目あり！</v>
      </c>
      <c r="BU156" s="323"/>
      <c r="BV156" s="273"/>
      <c r="BW156" s="269"/>
      <c r="BX156" s="277"/>
      <c r="BY156" s="288"/>
      <c r="BZ156" s="283"/>
      <c r="CA156" s="269"/>
      <c r="CB156" s="277"/>
      <c r="CC156" s="176"/>
      <c r="CD156" s="176"/>
    </row>
    <row r="157" spans="72:82">
      <c r="BT157" s="46" t="s">
        <v>120</v>
      </c>
      <c r="BU157" s="267">
        <f>態勢!U106</f>
        <v>0</v>
      </c>
      <c r="BV157" s="274">
        <f>態勢!U107</f>
        <v>0</v>
      </c>
      <c r="BW157" s="270">
        <f>BU157-態勢!G106</f>
        <v>0</v>
      </c>
      <c r="BX157" s="278">
        <f>BV157-態勢!G108</f>
        <v>0</v>
      </c>
      <c r="BY157" s="289">
        <f>態勢!U106-態勢!N106</f>
        <v>0</v>
      </c>
      <c r="BZ157" s="284">
        <f>態勢!U107-態勢!N107</f>
        <v>0</v>
      </c>
      <c r="CA157" s="270">
        <f>態勢!G107</f>
        <v>0</v>
      </c>
      <c r="CB157" s="278">
        <f>態勢!G109</f>
        <v>0</v>
      </c>
      <c r="CC157" s="45" t="s">
        <v>121</v>
      </c>
      <c r="CD157" s="45" t="s">
        <v>122</v>
      </c>
    </row>
    <row r="158" spans="72:82" ht="36">
      <c r="BT158" s="46" t="s">
        <v>123</v>
      </c>
      <c r="BU158" s="267">
        <f>アプリ設計!AD48</f>
        <v>0</v>
      </c>
      <c r="BV158" s="274">
        <f>アプリ設計!AD49</f>
        <v>0</v>
      </c>
      <c r="BW158" s="270">
        <f>BU158-アプリ設計!G48</f>
        <v>0</v>
      </c>
      <c r="BX158" s="278">
        <f>BV158-アプリ設計!G50</f>
        <v>0</v>
      </c>
      <c r="BY158" s="289">
        <f>アプリ設計!AD48-アプリ設計!K48</f>
        <v>0</v>
      </c>
      <c r="BZ158" s="284">
        <f>アプリ設計!AD49-アプリ設計!K49</f>
        <v>0</v>
      </c>
      <c r="CA158" s="270">
        <f>アプリ設計!G49</f>
        <v>0</v>
      </c>
      <c r="CB158" s="278">
        <f>アプリ設計!G51</f>
        <v>0</v>
      </c>
      <c r="CC158" s="45" t="s">
        <v>124</v>
      </c>
      <c r="CD158" s="45" t="s">
        <v>125</v>
      </c>
    </row>
    <row r="159" spans="72:82">
      <c r="BT159" s="46" t="s">
        <v>126</v>
      </c>
      <c r="BU159" s="267">
        <f>アプリコーディング!S52</f>
        <v>0</v>
      </c>
      <c r="BV159" s="275" t="s">
        <v>117</v>
      </c>
      <c r="BW159" s="270">
        <f>BU159-アプリコーディング!G52</f>
        <v>0</v>
      </c>
      <c r="BX159" s="279" t="s">
        <v>118</v>
      </c>
      <c r="BY159" s="289">
        <f>アプリコーディング!S52-アプリコーディング!K52</f>
        <v>0</v>
      </c>
      <c r="BZ159" s="285" t="s">
        <v>118</v>
      </c>
      <c r="CA159" s="270">
        <f>アプリコーディング!G53</f>
        <v>0</v>
      </c>
      <c r="CB159" s="279" t="s">
        <v>118</v>
      </c>
      <c r="CC159" s="45" t="s">
        <v>124</v>
      </c>
      <c r="CD159" s="45" t="s">
        <v>127</v>
      </c>
    </row>
    <row r="160" spans="72:82">
      <c r="BT160" s="46" t="s">
        <v>128</v>
      </c>
      <c r="BU160" s="267">
        <f>'インフラ(自社DC)'!AH114</f>
        <v>0</v>
      </c>
      <c r="BV160" s="274">
        <f>'インフラ(自社DC)'!AH115</f>
        <v>0</v>
      </c>
      <c r="BW160" s="270">
        <f>BU160-'インフラ(自社DC)'!G114</f>
        <v>0</v>
      </c>
      <c r="BX160" s="278">
        <f>BV160-'インフラ(自社DC)'!G116</f>
        <v>0</v>
      </c>
      <c r="BY160" s="289">
        <f>'インフラ(自社DC)'!AH114-'インフラ(自社DC)'!N114</f>
        <v>0</v>
      </c>
      <c r="BZ160" s="284">
        <f>'インフラ(自社DC)'!AH115-'インフラ(自社DC)'!N115</f>
        <v>0</v>
      </c>
      <c r="CA160" s="270">
        <f>'インフラ(自社DC)'!G115</f>
        <v>0</v>
      </c>
      <c r="CB160" s="278">
        <f>'インフラ(自社DC)'!G117</f>
        <v>0</v>
      </c>
      <c r="CC160" s="45" t="s">
        <v>129</v>
      </c>
      <c r="CD160" s="45" t="s">
        <v>127</v>
      </c>
    </row>
    <row r="161" spans="72:89">
      <c r="BT161" s="46" t="s">
        <v>130</v>
      </c>
      <c r="BU161" s="267">
        <f>'インフラ(AWS)'!AQ115</f>
        <v>0</v>
      </c>
      <c r="BV161" s="274">
        <f>'インフラ(AWS)'!AQ116</f>
        <v>0</v>
      </c>
      <c r="BW161" s="270">
        <f>BU161-'インフラ(AWS)'!H115</f>
        <v>0</v>
      </c>
      <c r="BX161" s="278">
        <f>BV161-'インフラ(AWS)'!H117</f>
        <v>0</v>
      </c>
      <c r="BY161" s="289">
        <f>'インフラ(AWS)'!AQ115-'インフラ(AWS)'!O115</f>
        <v>0</v>
      </c>
      <c r="BZ161" s="284">
        <f>'インフラ(AWS)'!AQ116-'インフラ(AWS)'!O116</f>
        <v>0</v>
      </c>
      <c r="CA161" s="270">
        <f>'インフラ(AWS)'!H116</f>
        <v>0</v>
      </c>
      <c r="CB161" s="278">
        <f>'インフラ(AWS)'!H118</f>
        <v>0</v>
      </c>
      <c r="CC161" s="45" t="s">
        <v>127</v>
      </c>
      <c r="CD161" s="45" t="s">
        <v>127</v>
      </c>
    </row>
    <row r="162" spans="72:89">
      <c r="BT162" s="46" t="s">
        <v>131</v>
      </c>
      <c r="BU162" s="267">
        <f>'インフラ(IaaS)'!AI110</f>
        <v>0</v>
      </c>
      <c r="BV162" s="274">
        <f>'インフラ(IaaS)'!AI111</f>
        <v>0</v>
      </c>
      <c r="BW162" s="270">
        <f>BU162-'インフラ(IaaS)'!H110</f>
        <v>0</v>
      </c>
      <c r="BX162" s="278">
        <f>BV162-'インフラ(IaaS)'!H112</f>
        <v>0</v>
      </c>
      <c r="BY162" s="289">
        <f>'インフラ(IaaS)'!AI110-'インフラ(IaaS)'!O110</f>
        <v>0</v>
      </c>
      <c r="BZ162" s="284">
        <f>'インフラ(IaaS)'!AI111-'インフラ(IaaS)'!O111</f>
        <v>0</v>
      </c>
      <c r="CA162" s="270">
        <f>'インフラ(IaaS)'!H111</f>
        <v>0</v>
      </c>
      <c r="CB162" s="278">
        <f>'インフラ(IaaS)'!H113</f>
        <v>0</v>
      </c>
      <c r="CC162" s="45" t="s">
        <v>127</v>
      </c>
      <c r="CD162" s="45" t="s">
        <v>127</v>
      </c>
    </row>
    <row r="163" spans="72:89">
      <c r="BT163" s="46" t="s">
        <v>132</v>
      </c>
      <c r="BU163" s="267">
        <f>'インフラ(SaaS)'!AI109</f>
        <v>0</v>
      </c>
      <c r="BV163" s="274">
        <f>'インフラ(SaaS)'!AI110</f>
        <v>0</v>
      </c>
      <c r="BW163" s="270">
        <f>BU163-'インフラ(SaaS)'!H109</f>
        <v>0</v>
      </c>
      <c r="BX163" s="278">
        <f>BV163-'インフラ(SaaS)'!H111</f>
        <v>0</v>
      </c>
      <c r="BY163" s="289">
        <f>'インフラ(SaaS)'!AI109-'インフラ(SaaS)'!O109</f>
        <v>0</v>
      </c>
      <c r="BZ163" s="284">
        <f>'インフラ(SaaS)'!AI110-'インフラ(SaaS)'!O110</f>
        <v>0</v>
      </c>
      <c r="CA163" s="270">
        <f>'インフラ(SaaS)'!H110</f>
        <v>0</v>
      </c>
      <c r="CB163" s="278">
        <f>'インフラ(SaaS)'!H112</f>
        <v>0</v>
      </c>
      <c r="CC163" s="45" t="s">
        <v>127</v>
      </c>
      <c r="CD163" s="45" t="s">
        <v>127</v>
      </c>
    </row>
    <row r="164" spans="72:89" ht="36">
      <c r="BT164" s="46" t="s">
        <v>133</v>
      </c>
      <c r="BU164" s="267">
        <f>'運用プロセス(自社DC)'!AG54</f>
        <v>0</v>
      </c>
      <c r="BV164" s="274">
        <f>'運用プロセス(自社DC)'!AG55</f>
        <v>0</v>
      </c>
      <c r="BW164" s="270">
        <f>BU164-'運用プロセス(自社DC)'!G54</f>
        <v>0</v>
      </c>
      <c r="BX164" s="278">
        <f>BV164-'運用プロセス(自社DC)'!G56</f>
        <v>0</v>
      </c>
      <c r="BY164" s="289">
        <f>'運用プロセス(自社DC)'!AG54-'運用プロセス(自社DC)'!N54</f>
        <v>0</v>
      </c>
      <c r="BZ164" s="284">
        <f>'運用プロセス(自社DC)'!AG55-'運用プロセス(自社DC)'!N55</f>
        <v>0</v>
      </c>
      <c r="CA164" s="270">
        <f>'運用プロセス(自社DC)'!G55</f>
        <v>0</v>
      </c>
      <c r="CB164" s="278">
        <f>'運用プロセス(自社DC)'!G57</f>
        <v>0</v>
      </c>
      <c r="CC164" s="45" t="s">
        <v>134</v>
      </c>
      <c r="CD164" s="45" t="s">
        <v>127</v>
      </c>
    </row>
    <row r="165" spans="72:89">
      <c r="BT165" s="46" t="s">
        <v>135</v>
      </c>
      <c r="BU165" s="267">
        <f>'運用プロセス(AWS)'!AQ53</f>
        <v>0</v>
      </c>
      <c r="BV165" s="274">
        <f>'運用プロセス(AWS)'!AQ54</f>
        <v>0</v>
      </c>
      <c r="BW165" s="270">
        <f>BU165-'運用プロセス(AWS)'!H53</f>
        <v>0</v>
      </c>
      <c r="BX165" s="278">
        <f>BV165-'運用プロセス(AWS)'!H55</f>
        <v>0</v>
      </c>
      <c r="BY165" s="289">
        <f>'運用プロセス(AWS)'!AQ53-'運用プロセス(AWS)'!O53</f>
        <v>0</v>
      </c>
      <c r="BZ165" s="284">
        <f>'運用プロセス(AWS)'!AQ54-'運用プロセス(AWS)'!O54</f>
        <v>0</v>
      </c>
      <c r="CA165" s="270">
        <f>'運用プロセス(AWS)'!H54</f>
        <v>0</v>
      </c>
      <c r="CB165" s="278">
        <f>'運用プロセス(AWS)'!H56</f>
        <v>0</v>
      </c>
      <c r="CC165" s="45" t="s">
        <v>127</v>
      </c>
      <c r="CD165" s="45" t="s">
        <v>127</v>
      </c>
    </row>
    <row r="166" spans="72:89">
      <c r="BT166" s="46" t="s">
        <v>136</v>
      </c>
      <c r="BU166" s="267">
        <f>'運用プロセス(IaaS)'!AI52</f>
        <v>0</v>
      </c>
      <c r="BV166" s="274">
        <f>'運用プロセス(IaaS)'!AI53</f>
        <v>0</v>
      </c>
      <c r="BW166" s="270">
        <f>BU166-'運用プロセス(IaaS)'!H52</f>
        <v>0</v>
      </c>
      <c r="BX166" s="278">
        <f>BV166-'運用プロセス(IaaS)'!H54</f>
        <v>0</v>
      </c>
      <c r="BY166" s="289">
        <f>'運用プロセス(IaaS)'!AI52-'運用プロセス(IaaS)'!O52</f>
        <v>0</v>
      </c>
      <c r="BZ166" s="284">
        <f>'運用プロセス(IaaS)'!AI53-'運用プロセス(IaaS)'!O53</f>
        <v>0</v>
      </c>
      <c r="CA166" s="270">
        <f>'運用プロセス(IaaS)'!H53</f>
        <v>0</v>
      </c>
      <c r="CB166" s="278">
        <f>'運用プロセス(IaaS)'!H55</f>
        <v>0</v>
      </c>
      <c r="CC166" s="45" t="s">
        <v>127</v>
      </c>
      <c r="CD166" s="45" t="s">
        <v>127</v>
      </c>
    </row>
    <row r="167" spans="72:89">
      <c r="BT167" s="46" t="s">
        <v>137</v>
      </c>
      <c r="BU167" s="267">
        <f>'運用プロセス(SaaS)'!AI52</f>
        <v>0</v>
      </c>
      <c r="BV167" s="274">
        <f>'運用プロセス(SaaS)'!AI53</f>
        <v>0</v>
      </c>
      <c r="BW167" s="270">
        <f>BU167-'運用プロセス(SaaS)'!H52</f>
        <v>0</v>
      </c>
      <c r="BX167" s="278">
        <f>BV167-'運用プロセス(SaaS)'!H54</f>
        <v>0</v>
      </c>
      <c r="BY167" s="289">
        <f>'運用プロセス(SaaS)'!AI52-'運用プロセス(SaaS)'!O52</f>
        <v>0</v>
      </c>
      <c r="BZ167" s="284">
        <f>'運用プロセス(SaaS)'!AI53-'運用プロセス(SaaS)'!O53</f>
        <v>0</v>
      </c>
      <c r="CA167" s="270">
        <f>'運用プロセス(SaaS)'!H53</f>
        <v>0</v>
      </c>
      <c r="CB167" s="278">
        <f>'運用プロセス(SaaS)'!H55</f>
        <v>0</v>
      </c>
      <c r="CC167" s="45" t="s">
        <v>127</v>
      </c>
      <c r="CD167" s="45" t="s">
        <v>127</v>
      </c>
    </row>
    <row r="168" spans="72:89">
      <c r="BT168" s="46" t="s">
        <v>138</v>
      </c>
      <c r="BU168" s="267">
        <f>モバイルアプリ!T64</f>
        <v>0</v>
      </c>
      <c r="BV168" s="275" t="s">
        <v>117</v>
      </c>
      <c r="BW168" s="270">
        <f>BU168-モバイルアプリ!K64</f>
        <v>0</v>
      </c>
      <c r="BX168" s="279" t="s">
        <v>118</v>
      </c>
      <c r="BY168" s="289">
        <f>モバイルアプリ!T64-モバイルアプリ!O64</f>
        <v>0</v>
      </c>
      <c r="BZ168" s="285" t="s">
        <v>118</v>
      </c>
      <c r="CA168" s="270">
        <f>モバイルアプリ!K65</f>
        <v>0</v>
      </c>
      <c r="CB168" s="279" t="s">
        <v>118</v>
      </c>
      <c r="CC168" s="45" t="s">
        <v>124</v>
      </c>
      <c r="CD168" s="45" t="s">
        <v>127</v>
      </c>
    </row>
    <row r="169" spans="72:89">
      <c r="BT169" s="46" t="s">
        <v>139</v>
      </c>
      <c r="BU169" s="267">
        <f>外部API!AF78</f>
        <v>0</v>
      </c>
      <c r="BV169" s="275" t="s">
        <v>117</v>
      </c>
      <c r="BW169" s="270">
        <f>BU169-外部API!N78</f>
        <v>0</v>
      </c>
      <c r="BX169" s="279" t="s">
        <v>118</v>
      </c>
      <c r="BY169" s="289">
        <f>外部API!AF78-外部API!R78</f>
        <v>0</v>
      </c>
      <c r="BZ169" s="285" t="s">
        <v>118</v>
      </c>
      <c r="CA169" s="270">
        <f>外部API!N79</f>
        <v>0</v>
      </c>
      <c r="CB169" s="279" t="s">
        <v>118</v>
      </c>
      <c r="CC169" s="45" t="s">
        <v>124</v>
      </c>
      <c r="CD169" s="45" t="s">
        <v>127</v>
      </c>
    </row>
    <row r="172" spans="72:89">
      <c r="CG172" s="202" t="s">
        <v>140</v>
      </c>
      <c r="CH172" s="35"/>
      <c r="CI172" s="35"/>
      <c r="CJ172" s="35"/>
      <c r="CK172" s="36"/>
    </row>
    <row r="173" spans="72:89">
      <c r="CG173" s="37"/>
      <c r="CH173" s="202" t="s">
        <v>141</v>
      </c>
      <c r="CI173" s="35"/>
      <c r="CJ173" s="203"/>
      <c r="CK173" s="204"/>
    </row>
    <row r="174" spans="72:89">
      <c r="CG174" s="37"/>
      <c r="CH174" s="37"/>
      <c r="CI174" s="302" t="s">
        <v>142</v>
      </c>
      <c r="CJ174" s="204" t="s">
        <v>143</v>
      </c>
      <c r="CK174" s="204"/>
    </row>
    <row r="175" spans="72:89">
      <c r="CG175" s="37"/>
      <c r="CH175" s="37"/>
      <c r="CI175" s="302" t="s">
        <v>144</v>
      </c>
      <c r="CJ175" s="204" t="s">
        <v>145</v>
      </c>
      <c r="CK175" s="204"/>
    </row>
    <row r="176" spans="72:89">
      <c r="CG176" s="37"/>
      <c r="CH176" s="37"/>
      <c r="CI176" s="302" t="s">
        <v>144</v>
      </c>
      <c r="CJ176" s="204" t="s">
        <v>146</v>
      </c>
      <c r="CK176" s="204"/>
    </row>
    <row r="177" spans="85:89">
      <c r="CG177" s="37"/>
      <c r="CH177" s="37"/>
      <c r="CI177" s="302" t="s">
        <v>147</v>
      </c>
      <c r="CJ177" s="204" t="s">
        <v>12</v>
      </c>
      <c r="CK177" s="204"/>
    </row>
    <row r="178" spans="85:89">
      <c r="CG178" s="37"/>
      <c r="CH178" s="37"/>
      <c r="CI178" s="302" t="s">
        <v>148</v>
      </c>
      <c r="CJ178" s="204" t="s">
        <v>149</v>
      </c>
      <c r="CK178" s="204"/>
    </row>
    <row r="179" spans="85:89">
      <c r="CG179" s="37"/>
      <c r="CH179" s="37"/>
      <c r="CI179" s="302" t="s">
        <v>148</v>
      </c>
      <c r="CJ179" s="204" t="s">
        <v>150</v>
      </c>
      <c r="CK179" s="204"/>
    </row>
    <row r="180" spans="85:89">
      <c r="CG180" s="37"/>
      <c r="CH180" s="39"/>
      <c r="CI180" s="205" t="s">
        <v>148</v>
      </c>
      <c r="CJ180" s="206" t="s">
        <v>151</v>
      </c>
      <c r="CK180" s="204"/>
    </row>
    <row r="181" spans="85:89">
      <c r="CG181" s="37"/>
      <c r="CH181" s="301"/>
      <c r="CI181" s="301"/>
      <c r="CJ181" s="301"/>
      <c r="CK181" s="38"/>
    </row>
    <row r="182" spans="85:89">
      <c r="CG182" s="37"/>
      <c r="CH182" s="202" t="s">
        <v>152</v>
      </c>
      <c r="CI182" s="35"/>
      <c r="CJ182" s="36"/>
      <c r="CK182" s="38"/>
    </row>
    <row r="183" spans="85:89">
      <c r="CG183" s="37"/>
      <c r="CH183" s="37"/>
      <c r="CI183" s="302" t="s">
        <v>153</v>
      </c>
      <c r="CJ183" s="38" t="s">
        <v>154</v>
      </c>
      <c r="CK183" s="38"/>
    </row>
    <row r="184" spans="85:89">
      <c r="CG184" s="37"/>
      <c r="CH184" s="37"/>
      <c r="CI184" s="302" t="s">
        <v>153</v>
      </c>
      <c r="CJ184" s="38" t="s">
        <v>155</v>
      </c>
      <c r="CK184" s="38"/>
    </row>
    <row r="185" spans="85:89">
      <c r="CG185" s="37"/>
      <c r="CH185" s="37"/>
      <c r="CI185" s="302" t="s">
        <v>153</v>
      </c>
      <c r="CJ185" s="38" t="s">
        <v>156</v>
      </c>
      <c r="CK185" s="38"/>
    </row>
    <row r="186" spans="85:89">
      <c r="CG186" s="37"/>
      <c r="CH186" s="37"/>
      <c r="CI186" s="302" t="s">
        <v>153</v>
      </c>
      <c r="CJ186" s="38" t="s">
        <v>157</v>
      </c>
      <c r="CK186" s="38"/>
    </row>
    <row r="187" spans="85:89">
      <c r="CG187" s="37"/>
      <c r="CH187" s="37"/>
      <c r="CI187" s="300" t="s">
        <v>1993</v>
      </c>
      <c r="CJ187" s="299" t="s">
        <v>1994</v>
      </c>
      <c r="CK187" s="38"/>
    </row>
    <row r="188" spans="85:89">
      <c r="CG188" s="37"/>
      <c r="CH188" s="37"/>
      <c r="CI188" s="300" t="s">
        <v>1993</v>
      </c>
      <c r="CJ188" s="38" t="s">
        <v>1996</v>
      </c>
      <c r="CK188" s="38"/>
    </row>
    <row r="189" spans="85:89">
      <c r="CG189" s="37"/>
      <c r="CH189" s="39"/>
      <c r="CI189" s="303" t="s">
        <v>1993</v>
      </c>
      <c r="CJ189" s="304" t="s">
        <v>1995</v>
      </c>
      <c r="CK189" s="38"/>
    </row>
    <row r="190" spans="85:89">
      <c r="CG190" s="39"/>
      <c r="CH190" s="40"/>
      <c r="CI190" s="40"/>
      <c r="CJ190" s="40"/>
      <c r="CK190" s="41"/>
    </row>
  </sheetData>
  <mergeCells count="8">
    <mergeCell ref="BT156:BU156"/>
    <mergeCell ref="I73:AI74"/>
    <mergeCell ref="M29:AI29"/>
    <mergeCell ref="AL1:AN1"/>
    <mergeCell ref="M14:AI14"/>
    <mergeCell ref="M15:AI15"/>
    <mergeCell ref="M16:AI16"/>
    <mergeCell ref="M17:AI17"/>
  </mergeCells>
  <phoneticPr fontId="7"/>
  <conditionalFormatting sqref="AG36 AG61 AG108 AG66 AG98 AG92">
    <cfRule type="expression" dxfId="274" priority="1">
      <formula>$AL36=0</formula>
    </cfRule>
  </conditionalFormatting>
  <conditionalFormatting sqref="AG42">
    <cfRule type="expression" dxfId="273" priority="14">
      <formula>$AL42=0</formula>
    </cfRule>
  </conditionalFormatting>
  <conditionalFormatting sqref="AG46">
    <cfRule type="expression" dxfId="272" priority="13">
      <formula>$AL46=0</formula>
    </cfRule>
  </conditionalFormatting>
  <conditionalFormatting sqref="AG20">
    <cfRule type="expression" dxfId="271" priority="12">
      <formula>$AL20=0</formula>
    </cfRule>
  </conditionalFormatting>
  <conditionalFormatting sqref="AG25">
    <cfRule type="expression" dxfId="270" priority="11">
      <formula>AND($AL25=0,$AL20=2)</formula>
    </cfRule>
  </conditionalFormatting>
  <conditionalFormatting sqref="AG54">
    <cfRule type="expression" dxfId="269" priority="10">
      <formula>$AL54=0</formula>
    </cfRule>
  </conditionalFormatting>
  <conditionalFormatting sqref="AG13">
    <cfRule type="expression" dxfId="268" priority="8">
      <formula>$AL13=0</formula>
    </cfRule>
  </conditionalFormatting>
  <conditionalFormatting sqref="CC155:CD156 BT155:BV156">
    <cfRule type="expression" dxfId="267" priority="3">
      <formula>NOT($BT$156=$CJ$178)</formula>
    </cfRule>
  </conditionalFormatting>
  <conditionalFormatting sqref="AG31">
    <cfRule type="expression" dxfId="266" priority="2">
      <formula>$AL31=0</formula>
    </cfRule>
  </conditionalFormatting>
  <conditionalFormatting sqref="AG98">
    <cfRule type="expression" dxfId="265" priority="120">
      <formula>AND($AL98=1,$AL99=FALSE)</formula>
    </cfRule>
  </conditionalFormatting>
  <conditionalFormatting sqref="M14:AI14">
    <cfRule type="expression" dxfId="264" priority="1635">
      <formula>$AL$14=$CJ$175</formula>
    </cfRule>
  </conditionalFormatting>
  <conditionalFormatting sqref="M15:AI15">
    <cfRule type="expression" dxfId="263" priority="1636">
      <formula>$AL$15=$CJ$175</formula>
    </cfRule>
  </conditionalFormatting>
  <conditionalFormatting sqref="M16:AI16">
    <cfRule type="expression" dxfId="262" priority="1637">
      <formula>$AL$16=$CJ$175</formula>
    </cfRule>
  </conditionalFormatting>
  <conditionalFormatting sqref="M17:AI17">
    <cfRule type="expression" dxfId="261" priority="1638">
      <formula>$AL$17=$CJ$175</formula>
    </cfRule>
  </conditionalFormatting>
  <hyperlinks>
    <hyperlink ref="U47" location="判定シート!A1" display="■" xr:uid="{00000000-0004-0000-0100-000000000000}"/>
    <hyperlink ref="U55" location="判定シート!A1" display="■" xr:uid="{00000000-0004-0000-0100-000001000000}"/>
  </hyperlinks>
  <pageMargins left="0.7" right="0.7" top="0.75" bottom="0.75" header="0.3" footer="0.3"/>
  <pageSetup paperSize="9" scale="68" fitToWidth="2" fitToHeight="3" orientation="portrait" r:id="rId1"/>
  <rowBreaks count="2" manualBreakCount="2">
    <brk id="29" max="68" man="1"/>
    <brk id="64" max="68" man="1"/>
  </rowBreaks>
  <colBreaks count="1" manualBreakCount="1">
    <brk id="37" max="107" man="1"/>
  </colBreaks>
  <drawing r:id="rId2"/>
  <legacyDrawing r:id="rId3"/>
  <mc:AlternateContent xmlns:mc="http://schemas.openxmlformats.org/markup-compatibility/2006">
    <mc:Choice Requires="x14">
      <controls>
        <mc:AlternateContent xmlns:mc="http://schemas.openxmlformats.org/markup-compatibility/2006">
          <mc:Choice Requires="x14">
            <control shapeId="2059" r:id="rId4" name="Check Box 11">
              <controlPr defaultSize="0" autoFill="0" autoLine="0" autoPict="0">
                <anchor moveWithCells="1">
                  <from>
                    <xdr:col>6</xdr:col>
                    <xdr:colOff>0</xdr:colOff>
                    <xdr:row>74</xdr:row>
                    <xdr:rowOff>0</xdr:rowOff>
                  </from>
                  <to>
                    <xdr:col>8</xdr:col>
                    <xdr:colOff>95250</xdr:colOff>
                    <xdr:row>75</xdr:row>
                    <xdr:rowOff>0</xdr:rowOff>
                  </to>
                </anchor>
              </controlPr>
            </control>
          </mc:Choice>
        </mc:AlternateContent>
        <mc:AlternateContent xmlns:mc="http://schemas.openxmlformats.org/markup-compatibility/2006">
          <mc:Choice Requires="x14">
            <control shapeId="2060" r:id="rId5" name="Check Box 12">
              <controlPr defaultSize="0" autoFill="0" autoLine="0" autoPict="0">
                <anchor moveWithCells="1">
                  <from>
                    <xdr:col>6</xdr:col>
                    <xdr:colOff>0</xdr:colOff>
                    <xdr:row>75</xdr:row>
                    <xdr:rowOff>0</xdr:rowOff>
                  </from>
                  <to>
                    <xdr:col>8</xdr:col>
                    <xdr:colOff>95250</xdr:colOff>
                    <xdr:row>76</xdr:row>
                    <xdr:rowOff>0</xdr:rowOff>
                  </to>
                </anchor>
              </controlPr>
            </control>
          </mc:Choice>
        </mc:AlternateContent>
        <mc:AlternateContent xmlns:mc="http://schemas.openxmlformats.org/markup-compatibility/2006">
          <mc:Choice Requires="x14">
            <control shapeId="2061" r:id="rId6" name="Check Box 13">
              <controlPr defaultSize="0" autoFill="0" autoLine="0" autoPict="0">
                <anchor moveWithCells="1">
                  <from>
                    <xdr:col>6</xdr:col>
                    <xdr:colOff>0</xdr:colOff>
                    <xdr:row>108</xdr:row>
                    <xdr:rowOff>0</xdr:rowOff>
                  </from>
                  <to>
                    <xdr:col>8</xdr:col>
                    <xdr:colOff>95250</xdr:colOff>
                    <xdr:row>109</xdr:row>
                    <xdr:rowOff>0</xdr:rowOff>
                  </to>
                </anchor>
              </controlPr>
            </control>
          </mc:Choice>
        </mc:AlternateContent>
        <mc:AlternateContent xmlns:mc="http://schemas.openxmlformats.org/markup-compatibility/2006">
          <mc:Choice Requires="x14">
            <control shapeId="2062" r:id="rId7" name="Check Box 14">
              <controlPr defaultSize="0" autoFill="0" autoLine="0" autoPict="0">
                <anchor moveWithCells="1">
                  <from>
                    <xdr:col>6</xdr:col>
                    <xdr:colOff>0</xdr:colOff>
                    <xdr:row>85</xdr:row>
                    <xdr:rowOff>0</xdr:rowOff>
                  </from>
                  <to>
                    <xdr:col>7</xdr:col>
                    <xdr:colOff>50800</xdr:colOff>
                    <xdr:row>86</xdr:row>
                    <xdr:rowOff>0</xdr:rowOff>
                  </to>
                </anchor>
              </controlPr>
            </control>
          </mc:Choice>
        </mc:AlternateContent>
        <mc:AlternateContent xmlns:mc="http://schemas.openxmlformats.org/markup-compatibility/2006">
          <mc:Choice Requires="x14">
            <control shapeId="2063" r:id="rId8" name="Check Box 15">
              <controlPr defaultSize="0" autoFill="0" autoLine="0" autoPict="0">
                <anchor moveWithCells="1">
                  <from>
                    <xdr:col>6</xdr:col>
                    <xdr:colOff>0</xdr:colOff>
                    <xdr:row>86</xdr:row>
                    <xdr:rowOff>0</xdr:rowOff>
                  </from>
                  <to>
                    <xdr:col>8</xdr:col>
                    <xdr:colOff>95250</xdr:colOff>
                    <xdr:row>87</xdr:row>
                    <xdr:rowOff>0</xdr:rowOff>
                  </to>
                </anchor>
              </controlPr>
            </control>
          </mc:Choice>
        </mc:AlternateContent>
        <mc:AlternateContent xmlns:mc="http://schemas.openxmlformats.org/markup-compatibility/2006">
          <mc:Choice Requires="x14">
            <control shapeId="2064" r:id="rId9" name="Check Box 16">
              <controlPr defaultSize="0" autoFill="0" autoLine="0" autoPict="0">
                <anchor moveWithCells="1">
                  <from>
                    <xdr:col>6</xdr:col>
                    <xdr:colOff>0</xdr:colOff>
                    <xdr:row>87</xdr:row>
                    <xdr:rowOff>0</xdr:rowOff>
                  </from>
                  <to>
                    <xdr:col>8</xdr:col>
                    <xdr:colOff>95250</xdr:colOff>
                    <xdr:row>88</xdr:row>
                    <xdr:rowOff>0</xdr:rowOff>
                  </to>
                </anchor>
              </controlPr>
            </control>
          </mc:Choice>
        </mc:AlternateContent>
        <mc:AlternateContent xmlns:mc="http://schemas.openxmlformats.org/markup-compatibility/2006">
          <mc:Choice Requires="x14">
            <control shapeId="2065" r:id="rId10" name="Check Box 17">
              <controlPr defaultSize="0" autoFill="0" autoLine="0" autoPict="0">
                <anchor moveWithCells="1">
                  <from>
                    <xdr:col>6</xdr:col>
                    <xdr:colOff>0</xdr:colOff>
                    <xdr:row>109</xdr:row>
                    <xdr:rowOff>0</xdr:rowOff>
                  </from>
                  <to>
                    <xdr:col>8</xdr:col>
                    <xdr:colOff>95250</xdr:colOff>
                    <xdr:row>110</xdr:row>
                    <xdr:rowOff>0</xdr:rowOff>
                  </to>
                </anchor>
              </controlPr>
            </control>
          </mc:Choice>
        </mc:AlternateContent>
        <mc:AlternateContent xmlns:mc="http://schemas.openxmlformats.org/markup-compatibility/2006">
          <mc:Choice Requires="x14">
            <control shapeId="2066" r:id="rId11" name="Check Box 18">
              <controlPr defaultSize="0" autoFill="0" autoLine="0" autoPict="0">
                <anchor moveWithCells="1">
                  <from>
                    <xdr:col>6</xdr:col>
                    <xdr:colOff>0</xdr:colOff>
                    <xdr:row>115</xdr:row>
                    <xdr:rowOff>0</xdr:rowOff>
                  </from>
                  <to>
                    <xdr:col>8</xdr:col>
                    <xdr:colOff>95250</xdr:colOff>
                    <xdr:row>116</xdr:row>
                    <xdr:rowOff>0</xdr:rowOff>
                  </to>
                </anchor>
              </controlPr>
            </control>
          </mc:Choice>
        </mc:AlternateContent>
        <mc:AlternateContent xmlns:mc="http://schemas.openxmlformats.org/markup-compatibility/2006">
          <mc:Choice Requires="x14">
            <control shapeId="2067" r:id="rId12" name="Check Box 19">
              <controlPr defaultSize="0" autoFill="0" autoLine="0" autoPict="0">
                <anchor moveWithCells="1">
                  <from>
                    <xdr:col>6</xdr:col>
                    <xdr:colOff>0</xdr:colOff>
                    <xdr:row>116</xdr:row>
                    <xdr:rowOff>0</xdr:rowOff>
                  </from>
                  <to>
                    <xdr:col>8</xdr:col>
                    <xdr:colOff>95250</xdr:colOff>
                    <xdr:row>117</xdr:row>
                    <xdr:rowOff>0</xdr:rowOff>
                  </to>
                </anchor>
              </controlPr>
            </control>
          </mc:Choice>
        </mc:AlternateContent>
        <mc:AlternateContent xmlns:mc="http://schemas.openxmlformats.org/markup-compatibility/2006">
          <mc:Choice Requires="x14">
            <control shapeId="2068" r:id="rId13" name="Check Box 20">
              <controlPr defaultSize="0" autoFill="0" autoLine="0" autoPict="0">
                <anchor moveWithCells="1">
                  <from>
                    <xdr:col>6</xdr:col>
                    <xdr:colOff>0</xdr:colOff>
                    <xdr:row>115</xdr:row>
                    <xdr:rowOff>0</xdr:rowOff>
                  </from>
                  <to>
                    <xdr:col>8</xdr:col>
                    <xdr:colOff>95250</xdr:colOff>
                    <xdr:row>116</xdr:row>
                    <xdr:rowOff>0</xdr:rowOff>
                  </to>
                </anchor>
              </controlPr>
            </control>
          </mc:Choice>
        </mc:AlternateContent>
        <mc:AlternateContent xmlns:mc="http://schemas.openxmlformats.org/markup-compatibility/2006">
          <mc:Choice Requires="x14">
            <control shapeId="2121" r:id="rId14" name="Group Box 73">
              <controlPr defaultSize="0" autoFill="0" autoPict="0">
                <anchor moveWithCells="1">
                  <from>
                    <xdr:col>4</xdr:col>
                    <xdr:colOff>0</xdr:colOff>
                    <xdr:row>42</xdr:row>
                    <xdr:rowOff>0</xdr:rowOff>
                  </from>
                  <to>
                    <xdr:col>14</xdr:col>
                    <xdr:colOff>107950</xdr:colOff>
                    <xdr:row>44</xdr:row>
                    <xdr:rowOff>133350</xdr:rowOff>
                  </to>
                </anchor>
              </controlPr>
            </control>
          </mc:Choice>
        </mc:AlternateContent>
        <mc:AlternateContent xmlns:mc="http://schemas.openxmlformats.org/markup-compatibility/2006">
          <mc:Choice Requires="x14">
            <control shapeId="2123" r:id="rId15" name="Group Box 75">
              <controlPr defaultSize="0" autoFill="0" autoPict="0">
                <anchor moveWithCells="1">
                  <from>
                    <xdr:col>4</xdr:col>
                    <xdr:colOff>0</xdr:colOff>
                    <xdr:row>61</xdr:row>
                    <xdr:rowOff>0</xdr:rowOff>
                  </from>
                  <to>
                    <xdr:col>14</xdr:col>
                    <xdr:colOff>107950</xdr:colOff>
                    <xdr:row>64</xdr:row>
                    <xdr:rowOff>133350</xdr:rowOff>
                  </to>
                </anchor>
              </controlPr>
            </control>
          </mc:Choice>
        </mc:AlternateContent>
        <mc:AlternateContent xmlns:mc="http://schemas.openxmlformats.org/markup-compatibility/2006">
          <mc:Choice Requires="x14">
            <control shapeId="2156" r:id="rId16" name="Option Button 108">
              <controlPr defaultSize="0" autoFill="0" autoLine="0" autoPict="0">
                <anchor moveWithCells="1">
                  <from>
                    <xdr:col>6</xdr:col>
                    <xdr:colOff>0</xdr:colOff>
                    <xdr:row>37</xdr:row>
                    <xdr:rowOff>0</xdr:rowOff>
                  </from>
                  <to>
                    <xdr:col>7</xdr:col>
                    <xdr:colOff>31750</xdr:colOff>
                    <xdr:row>38</xdr:row>
                    <xdr:rowOff>12700</xdr:rowOff>
                  </to>
                </anchor>
              </controlPr>
            </control>
          </mc:Choice>
        </mc:AlternateContent>
        <mc:AlternateContent xmlns:mc="http://schemas.openxmlformats.org/markup-compatibility/2006">
          <mc:Choice Requires="x14">
            <control shapeId="2157" r:id="rId17" name="Option Button 109">
              <controlPr defaultSize="0" autoFill="0" autoLine="0" autoPict="0">
                <anchor moveWithCells="1">
                  <from>
                    <xdr:col>6</xdr:col>
                    <xdr:colOff>0</xdr:colOff>
                    <xdr:row>37</xdr:row>
                    <xdr:rowOff>241300</xdr:rowOff>
                  </from>
                  <to>
                    <xdr:col>7</xdr:col>
                    <xdr:colOff>31750</xdr:colOff>
                    <xdr:row>39</xdr:row>
                    <xdr:rowOff>12700</xdr:rowOff>
                  </to>
                </anchor>
              </controlPr>
            </control>
          </mc:Choice>
        </mc:AlternateContent>
        <mc:AlternateContent xmlns:mc="http://schemas.openxmlformats.org/markup-compatibility/2006">
          <mc:Choice Requires="x14">
            <control shapeId="2158" r:id="rId18" name="Option Button 110">
              <controlPr defaultSize="0" autoFill="0" autoLine="0" autoPict="0">
                <anchor moveWithCells="1">
                  <from>
                    <xdr:col>6</xdr:col>
                    <xdr:colOff>0</xdr:colOff>
                    <xdr:row>38</xdr:row>
                    <xdr:rowOff>228600</xdr:rowOff>
                  </from>
                  <to>
                    <xdr:col>7</xdr:col>
                    <xdr:colOff>31750</xdr:colOff>
                    <xdr:row>40</xdr:row>
                    <xdr:rowOff>0</xdr:rowOff>
                  </to>
                </anchor>
              </controlPr>
            </control>
          </mc:Choice>
        </mc:AlternateContent>
        <mc:AlternateContent xmlns:mc="http://schemas.openxmlformats.org/markup-compatibility/2006">
          <mc:Choice Requires="x14">
            <control shapeId="2159" r:id="rId19" name="Option Button 111">
              <controlPr defaultSize="0" autoFill="0" autoLine="0" autoPict="0">
                <anchor moveWithCells="1">
                  <from>
                    <xdr:col>6</xdr:col>
                    <xdr:colOff>0</xdr:colOff>
                    <xdr:row>42</xdr:row>
                    <xdr:rowOff>0</xdr:rowOff>
                  </from>
                  <to>
                    <xdr:col>7</xdr:col>
                    <xdr:colOff>31750</xdr:colOff>
                    <xdr:row>43</xdr:row>
                    <xdr:rowOff>12700</xdr:rowOff>
                  </to>
                </anchor>
              </controlPr>
            </control>
          </mc:Choice>
        </mc:AlternateContent>
        <mc:AlternateContent xmlns:mc="http://schemas.openxmlformats.org/markup-compatibility/2006">
          <mc:Choice Requires="x14">
            <control shapeId="2160" r:id="rId20" name="Option Button 112">
              <controlPr defaultSize="0" autoFill="0" autoLine="0" autoPict="0">
                <anchor moveWithCells="1">
                  <from>
                    <xdr:col>6</xdr:col>
                    <xdr:colOff>0</xdr:colOff>
                    <xdr:row>42</xdr:row>
                    <xdr:rowOff>228600</xdr:rowOff>
                  </from>
                  <to>
                    <xdr:col>7</xdr:col>
                    <xdr:colOff>31750</xdr:colOff>
                    <xdr:row>44</xdr:row>
                    <xdr:rowOff>0</xdr:rowOff>
                  </to>
                </anchor>
              </controlPr>
            </control>
          </mc:Choice>
        </mc:AlternateContent>
        <mc:AlternateContent xmlns:mc="http://schemas.openxmlformats.org/markup-compatibility/2006">
          <mc:Choice Requires="x14">
            <control shapeId="2161" r:id="rId21" name="Option Button 113">
              <controlPr defaultSize="0" autoFill="0" autoLine="0" autoPict="0">
                <anchor moveWithCells="1">
                  <from>
                    <xdr:col>6</xdr:col>
                    <xdr:colOff>0</xdr:colOff>
                    <xdr:row>47</xdr:row>
                    <xdr:rowOff>0</xdr:rowOff>
                  </from>
                  <to>
                    <xdr:col>7</xdr:col>
                    <xdr:colOff>31750</xdr:colOff>
                    <xdr:row>48</xdr:row>
                    <xdr:rowOff>12700</xdr:rowOff>
                  </to>
                </anchor>
              </controlPr>
            </control>
          </mc:Choice>
        </mc:AlternateContent>
        <mc:AlternateContent xmlns:mc="http://schemas.openxmlformats.org/markup-compatibility/2006">
          <mc:Choice Requires="x14">
            <control shapeId="2162" r:id="rId22" name="Option Button 114">
              <controlPr defaultSize="0" autoFill="0" autoLine="0" autoPict="0">
                <anchor moveWithCells="1">
                  <from>
                    <xdr:col>6</xdr:col>
                    <xdr:colOff>0</xdr:colOff>
                    <xdr:row>47</xdr:row>
                    <xdr:rowOff>228600</xdr:rowOff>
                  </from>
                  <to>
                    <xdr:col>7</xdr:col>
                    <xdr:colOff>31750</xdr:colOff>
                    <xdr:row>49</xdr:row>
                    <xdr:rowOff>0</xdr:rowOff>
                  </to>
                </anchor>
              </controlPr>
            </control>
          </mc:Choice>
        </mc:AlternateContent>
        <mc:AlternateContent xmlns:mc="http://schemas.openxmlformats.org/markup-compatibility/2006">
          <mc:Choice Requires="x14">
            <control shapeId="2168" r:id="rId23" name="Option Button 120">
              <controlPr defaultSize="0" autoFill="0" autoLine="0" autoPict="0">
                <anchor moveWithCells="1">
                  <from>
                    <xdr:col>6</xdr:col>
                    <xdr:colOff>0</xdr:colOff>
                    <xdr:row>61</xdr:row>
                    <xdr:rowOff>0</xdr:rowOff>
                  </from>
                  <to>
                    <xdr:col>7</xdr:col>
                    <xdr:colOff>31750</xdr:colOff>
                    <xdr:row>62</xdr:row>
                    <xdr:rowOff>12700</xdr:rowOff>
                  </to>
                </anchor>
              </controlPr>
            </control>
          </mc:Choice>
        </mc:AlternateContent>
        <mc:AlternateContent xmlns:mc="http://schemas.openxmlformats.org/markup-compatibility/2006">
          <mc:Choice Requires="x14">
            <control shapeId="2169" r:id="rId24" name="Option Button 121">
              <controlPr defaultSize="0" autoFill="0" autoLine="0" autoPict="0">
                <anchor moveWithCells="1">
                  <from>
                    <xdr:col>6</xdr:col>
                    <xdr:colOff>0</xdr:colOff>
                    <xdr:row>61</xdr:row>
                    <xdr:rowOff>228600</xdr:rowOff>
                  </from>
                  <to>
                    <xdr:col>7</xdr:col>
                    <xdr:colOff>31750</xdr:colOff>
                    <xdr:row>63</xdr:row>
                    <xdr:rowOff>0</xdr:rowOff>
                  </to>
                </anchor>
              </controlPr>
            </control>
          </mc:Choice>
        </mc:AlternateContent>
        <mc:AlternateContent xmlns:mc="http://schemas.openxmlformats.org/markup-compatibility/2006">
          <mc:Choice Requires="x14">
            <control shapeId="2176" r:id="rId25" name="Option Button 128">
              <controlPr defaultSize="0" autoFill="0" autoLine="0" autoPict="0">
                <anchor moveWithCells="1">
                  <from>
                    <xdr:col>6</xdr:col>
                    <xdr:colOff>0</xdr:colOff>
                    <xdr:row>92</xdr:row>
                    <xdr:rowOff>0</xdr:rowOff>
                  </from>
                  <to>
                    <xdr:col>6</xdr:col>
                    <xdr:colOff>247650</xdr:colOff>
                    <xdr:row>93</xdr:row>
                    <xdr:rowOff>0</xdr:rowOff>
                  </to>
                </anchor>
              </controlPr>
            </control>
          </mc:Choice>
        </mc:AlternateContent>
        <mc:AlternateContent xmlns:mc="http://schemas.openxmlformats.org/markup-compatibility/2006">
          <mc:Choice Requires="x14">
            <control shapeId="2180" r:id="rId26" name="Check Box 132">
              <controlPr defaultSize="0" autoFill="0" autoLine="0" autoPict="0">
                <anchor moveWithCells="1">
                  <from>
                    <xdr:col>7</xdr:col>
                    <xdr:colOff>0</xdr:colOff>
                    <xdr:row>111</xdr:row>
                    <xdr:rowOff>0</xdr:rowOff>
                  </from>
                  <to>
                    <xdr:col>9</xdr:col>
                    <xdr:colOff>127000</xdr:colOff>
                    <xdr:row>112</xdr:row>
                    <xdr:rowOff>0</xdr:rowOff>
                  </to>
                </anchor>
              </controlPr>
            </control>
          </mc:Choice>
        </mc:AlternateContent>
        <mc:AlternateContent xmlns:mc="http://schemas.openxmlformats.org/markup-compatibility/2006">
          <mc:Choice Requires="x14">
            <control shapeId="2181" r:id="rId27" name="Check Box 133">
              <controlPr defaultSize="0" autoFill="0" autoLine="0" autoPict="0">
                <anchor moveWithCells="1">
                  <from>
                    <xdr:col>7</xdr:col>
                    <xdr:colOff>0</xdr:colOff>
                    <xdr:row>112</xdr:row>
                    <xdr:rowOff>0</xdr:rowOff>
                  </from>
                  <to>
                    <xdr:col>9</xdr:col>
                    <xdr:colOff>127000</xdr:colOff>
                    <xdr:row>113</xdr:row>
                    <xdr:rowOff>0</xdr:rowOff>
                  </to>
                </anchor>
              </controlPr>
            </control>
          </mc:Choice>
        </mc:AlternateContent>
        <mc:AlternateContent xmlns:mc="http://schemas.openxmlformats.org/markup-compatibility/2006">
          <mc:Choice Requires="x14">
            <control shapeId="2182" r:id="rId28" name="Check Box 134">
              <controlPr defaultSize="0" autoFill="0" autoLine="0" autoPict="0">
                <anchor moveWithCells="1">
                  <from>
                    <xdr:col>7</xdr:col>
                    <xdr:colOff>0</xdr:colOff>
                    <xdr:row>113</xdr:row>
                    <xdr:rowOff>0</xdr:rowOff>
                  </from>
                  <to>
                    <xdr:col>9</xdr:col>
                    <xdr:colOff>127000</xdr:colOff>
                    <xdr:row>114</xdr:row>
                    <xdr:rowOff>0</xdr:rowOff>
                  </to>
                </anchor>
              </controlPr>
            </control>
          </mc:Choice>
        </mc:AlternateContent>
        <mc:AlternateContent xmlns:mc="http://schemas.openxmlformats.org/markup-compatibility/2006">
          <mc:Choice Requires="x14">
            <control shapeId="2183" r:id="rId29" name="Check Box 135">
              <controlPr defaultSize="0" autoFill="0" autoLine="0" autoPict="0">
                <anchor moveWithCells="1">
                  <from>
                    <xdr:col>6</xdr:col>
                    <xdr:colOff>0</xdr:colOff>
                    <xdr:row>88</xdr:row>
                    <xdr:rowOff>0</xdr:rowOff>
                  </from>
                  <to>
                    <xdr:col>8</xdr:col>
                    <xdr:colOff>95250</xdr:colOff>
                    <xdr:row>89</xdr:row>
                    <xdr:rowOff>0</xdr:rowOff>
                  </to>
                </anchor>
              </controlPr>
            </control>
          </mc:Choice>
        </mc:AlternateContent>
        <mc:AlternateContent xmlns:mc="http://schemas.openxmlformats.org/markup-compatibility/2006">
          <mc:Choice Requires="x14">
            <control shapeId="2192" r:id="rId30" name="Check Box 144">
              <controlPr defaultSize="0" autoFill="0" autoLine="0" autoPict="0">
                <anchor moveWithCells="1">
                  <from>
                    <xdr:col>6</xdr:col>
                    <xdr:colOff>0</xdr:colOff>
                    <xdr:row>66</xdr:row>
                    <xdr:rowOff>0</xdr:rowOff>
                  </from>
                  <to>
                    <xdr:col>7</xdr:col>
                    <xdr:colOff>31750</xdr:colOff>
                    <xdr:row>67</xdr:row>
                    <xdr:rowOff>12700</xdr:rowOff>
                  </to>
                </anchor>
              </controlPr>
            </control>
          </mc:Choice>
        </mc:AlternateContent>
        <mc:AlternateContent xmlns:mc="http://schemas.openxmlformats.org/markup-compatibility/2006">
          <mc:Choice Requires="x14">
            <control shapeId="2193" r:id="rId31" name="Check Box 145">
              <controlPr defaultSize="0" autoFill="0" autoLine="0" autoPict="0">
                <anchor moveWithCells="1">
                  <from>
                    <xdr:col>6</xdr:col>
                    <xdr:colOff>0</xdr:colOff>
                    <xdr:row>66</xdr:row>
                    <xdr:rowOff>222250</xdr:rowOff>
                  </from>
                  <to>
                    <xdr:col>7</xdr:col>
                    <xdr:colOff>31750</xdr:colOff>
                    <xdr:row>68</xdr:row>
                    <xdr:rowOff>0</xdr:rowOff>
                  </to>
                </anchor>
              </controlPr>
            </control>
          </mc:Choice>
        </mc:AlternateContent>
        <mc:AlternateContent xmlns:mc="http://schemas.openxmlformats.org/markup-compatibility/2006">
          <mc:Choice Requires="x14">
            <control shapeId="2195" r:id="rId32" name="Check Box 147">
              <controlPr defaultSize="0" autoFill="0" autoLine="0" autoPict="0">
                <anchor moveWithCells="1">
                  <from>
                    <xdr:col>6</xdr:col>
                    <xdr:colOff>0</xdr:colOff>
                    <xdr:row>74</xdr:row>
                    <xdr:rowOff>0</xdr:rowOff>
                  </from>
                  <to>
                    <xdr:col>7</xdr:col>
                    <xdr:colOff>31750</xdr:colOff>
                    <xdr:row>75</xdr:row>
                    <xdr:rowOff>0</xdr:rowOff>
                  </to>
                </anchor>
              </controlPr>
            </control>
          </mc:Choice>
        </mc:AlternateContent>
        <mc:AlternateContent xmlns:mc="http://schemas.openxmlformats.org/markup-compatibility/2006">
          <mc:Choice Requires="x14">
            <control shapeId="2226" r:id="rId33" name="Option Button 178">
              <controlPr defaultSize="0" autoFill="0" autoLine="0" autoPict="0">
                <anchor moveWithCells="1">
                  <from>
                    <xdr:col>6</xdr:col>
                    <xdr:colOff>0</xdr:colOff>
                    <xdr:row>94</xdr:row>
                    <xdr:rowOff>0</xdr:rowOff>
                  </from>
                  <to>
                    <xdr:col>6</xdr:col>
                    <xdr:colOff>247650</xdr:colOff>
                    <xdr:row>95</xdr:row>
                    <xdr:rowOff>0</xdr:rowOff>
                  </to>
                </anchor>
              </controlPr>
            </control>
          </mc:Choice>
        </mc:AlternateContent>
        <mc:AlternateContent xmlns:mc="http://schemas.openxmlformats.org/markup-compatibility/2006">
          <mc:Choice Requires="x14">
            <control shapeId="2255" r:id="rId34" name="Option Button 207">
              <controlPr defaultSize="0" autoFill="0" autoLine="0" autoPict="0">
                <anchor moveWithCells="1">
                  <from>
                    <xdr:col>6</xdr:col>
                    <xdr:colOff>0</xdr:colOff>
                    <xdr:row>98</xdr:row>
                    <xdr:rowOff>0</xdr:rowOff>
                  </from>
                  <to>
                    <xdr:col>7</xdr:col>
                    <xdr:colOff>31750</xdr:colOff>
                    <xdr:row>99</xdr:row>
                    <xdr:rowOff>12700</xdr:rowOff>
                  </to>
                </anchor>
              </controlPr>
            </control>
          </mc:Choice>
        </mc:AlternateContent>
        <mc:AlternateContent xmlns:mc="http://schemas.openxmlformats.org/markup-compatibility/2006">
          <mc:Choice Requires="x14">
            <control shapeId="2256" r:id="rId35" name="Option Button 208">
              <controlPr defaultSize="0" autoFill="0" autoLine="0" autoPict="0">
                <anchor moveWithCells="1">
                  <from>
                    <xdr:col>6</xdr:col>
                    <xdr:colOff>0</xdr:colOff>
                    <xdr:row>104</xdr:row>
                    <xdr:rowOff>0</xdr:rowOff>
                  </from>
                  <to>
                    <xdr:col>7</xdr:col>
                    <xdr:colOff>31750</xdr:colOff>
                    <xdr:row>105</xdr:row>
                    <xdr:rowOff>12700</xdr:rowOff>
                  </to>
                </anchor>
              </controlPr>
            </control>
          </mc:Choice>
        </mc:AlternateContent>
        <mc:AlternateContent xmlns:mc="http://schemas.openxmlformats.org/markup-compatibility/2006">
          <mc:Choice Requires="x14">
            <control shapeId="2523" r:id="rId36" name="Check Box 475">
              <controlPr defaultSize="0" autoFill="0" autoLine="0" autoPict="0">
                <anchor moveWithCells="1">
                  <from>
                    <xdr:col>7</xdr:col>
                    <xdr:colOff>0</xdr:colOff>
                    <xdr:row>67</xdr:row>
                    <xdr:rowOff>222250</xdr:rowOff>
                  </from>
                  <to>
                    <xdr:col>8</xdr:col>
                    <xdr:colOff>69850</xdr:colOff>
                    <xdr:row>69</xdr:row>
                    <xdr:rowOff>0</xdr:rowOff>
                  </to>
                </anchor>
              </controlPr>
            </control>
          </mc:Choice>
        </mc:AlternateContent>
        <mc:AlternateContent xmlns:mc="http://schemas.openxmlformats.org/markup-compatibility/2006">
          <mc:Choice Requires="x14">
            <control shapeId="2707" r:id="rId37" name="Option Button 659">
              <controlPr defaultSize="0" autoFill="0" autoLine="0" autoPict="0">
                <anchor moveWithCells="1">
                  <from>
                    <xdr:col>6</xdr:col>
                    <xdr:colOff>0</xdr:colOff>
                    <xdr:row>49</xdr:row>
                    <xdr:rowOff>0</xdr:rowOff>
                  </from>
                  <to>
                    <xdr:col>7</xdr:col>
                    <xdr:colOff>31750</xdr:colOff>
                    <xdr:row>50</xdr:row>
                    <xdr:rowOff>12700</xdr:rowOff>
                  </to>
                </anchor>
              </controlPr>
            </control>
          </mc:Choice>
        </mc:AlternateContent>
        <mc:AlternateContent xmlns:mc="http://schemas.openxmlformats.org/markup-compatibility/2006">
          <mc:Choice Requires="x14">
            <control shapeId="2915" r:id="rId38" name="Option Button 867">
              <controlPr defaultSize="0" autoFill="0" autoLine="0" autoPict="0">
                <anchor moveWithCells="1">
                  <from>
                    <xdr:col>7</xdr:col>
                    <xdr:colOff>0</xdr:colOff>
                    <xdr:row>20</xdr:row>
                    <xdr:rowOff>0</xdr:rowOff>
                  </from>
                  <to>
                    <xdr:col>8</xdr:col>
                    <xdr:colOff>57150</xdr:colOff>
                    <xdr:row>21</xdr:row>
                    <xdr:rowOff>12700</xdr:rowOff>
                  </to>
                </anchor>
              </controlPr>
            </control>
          </mc:Choice>
        </mc:AlternateContent>
        <mc:AlternateContent xmlns:mc="http://schemas.openxmlformats.org/markup-compatibility/2006">
          <mc:Choice Requires="x14">
            <control shapeId="2916" r:id="rId39" name="Option Button 868">
              <controlPr defaultSize="0" autoFill="0" autoLine="0" autoPict="0">
                <anchor moveWithCells="1">
                  <from>
                    <xdr:col>7</xdr:col>
                    <xdr:colOff>0</xdr:colOff>
                    <xdr:row>21</xdr:row>
                    <xdr:rowOff>0</xdr:rowOff>
                  </from>
                  <to>
                    <xdr:col>8</xdr:col>
                    <xdr:colOff>57150</xdr:colOff>
                    <xdr:row>22</xdr:row>
                    <xdr:rowOff>12700</xdr:rowOff>
                  </to>
                </anchor>
              </controlPr>
            </control>
          </mc:Choice>
        </mc:AlternateContent>
        <mc:AlternateContent xmlns:mc="http://schemas.openxmlformats.org/markup-compatibility/2006">
          <mc:Choice Requires="x14">
            <control shapeId="2917" r:id="rId40" name="Option Button 869">
              <controlPr defaultSize="0" autoFill="0" autoLine="0" autoPict="0">
                <anchor moveWithCells="1">
                  <from>
                    <xdr:col>7</xdr:col>
                    <xdr:colOff>0</xdr:colOff>
                    <xdr:row>25</xdr:row>
                    <xdr:rowOff>0</xdr:rowOff>
                  </from>
                  <to>
                    <xdr:col>8</xdr:col>
                    <xdr:colOff>57150</xdr:colOff>
                    <xdr:row>26</xdr:row>
                    <xdr:rowOff>12700</xdr:rowOff>
                  </to>
                </anchor>
              </controlPr>
            </control>
          </mc:Choice>
        </mc:AlternateContent>
        <mc:AlternateContent xmlns:mc="http://schemas.openxmlformats.org/markup-compatibility/2006">
          <mc:Choice Requires="x14">
            <control shapeId="2918" r:id="rId41" name="Option Button 870">
              <controlPr defaultSize="0" autoFill="0" autoLine="0" autoPict="0">
                <anchor moveWithCells="1">
                  <from>
                    <xdr:col>7</xdr:col>
                    <xdr:colOff>0</xdr:colOff>
                    <xdr:row>26</xdr:row>
                    <xdr:rowOff>0</xdr:rowOff>
                  </from>
                  <to>
                    <xdr:col>8</xdr:col>
                    <xdr:colOff>57150</xdr:colOff>
                    <xdr:row>27</xdr:row>
                    <xdr:rowOff>12700</xdr:rowOff>
                  </to>
                </anchor>
              </controlPr>
            </control>
          </mc:Choice>
        </mc:AlternateContent>
        <mc:AlternateContent xmlns:mc="http://schemas.openxmlformats.org/markup-compatibility/2006">
          <mc:Choice Requires="x14">
            <control shapeId="2922" r:id="rId42" name="Group Box 874">
              <controlPr defaultSize="0" autoFill="0" autoPict="0">
                <anchor moveWithCells="1">
                  <from>
                    <xdr:col>6</xdr:col>
                    <xdr:colOff>31750</xdr:colOff>
                    <xdr:row>19</xdr:row>
                    <xdr:rowOff>203200</xdr:rowOff>
                  </from>
                  <to>
                    <xdr:col>10</xdr:col>
                    <xdr:colOff>107950</xdr:colOff>
                    <xdr:row>22</xdr:row>
                    <xdr:rowOff>95250</xdr:rowOff>
                  </to>
                </anchor>
              </controlPr>
            </control>
          </mc:Choice>
        </mc:AlternateContent>
        <mc:AlternateContent xmlns:mc="http://schemas.openxmlformats.org/markup-compatibility/2006">
          <mc:Choice Requires="x14">
            <control shapeId="2923" r:id="rId43" name="Group Box 875">
              <controlPr defaultSize="0" autoFill="0" autoPict="0">
                <anchor moveWithCells="1">
                  <from>
                    <xdr:col>6</xdr:col>
                    <xdr:colOff>38100</xdr:colOff>
                    <xdr:row>24</xdr:row>
                    <xdr:rowOff>171450</xdr:rowOff>
                  </from>
                  <to>
                    <xdr:col>10</xdr:col>
                    <xdr:colOff>152400</xdr:colOff>
                    <xdr:row>27</xdr:row>
                    <xdr:rowOff>152400</xdr:rowOff>
                  </to>
                </anchor>
              </controlPr>
            </control>
          </mc:Choice>
        </mc:AlternateContent>
        <mc:AlternateContent xmlns:mc="http://schemas.openxmlformats.org/markup-compatibility/2006">
          <mc:Choice Requires="x14">
            <control shapeId="2924" r:id="rId44" name="Group Box 876">
              <controlPr defaultSize="0" autoFill="0" autoPict="0">
                <anchor moveWithCells="1">
                  <from>
                    <xdr:col>5</xdr:col>
                    <xdr:colOff>0</xdr:colOff>
                    <xdr:row>91</xdr:row>
                    <xdr:rowOff>190500</xdr:rowOff>
                  </from>
                  <to>
                    <xdr:col>11</xdr:col>
                    <xdr:colOff>0</xdr:colOff>
                    <xdr:row>97</xdr:row>
                    <xdr:rowOff>0</xdr:rowOff>
                  </to>
                </anchor>
              </controlPr>
            </control>
          </mc:Choice>
        </mc:AlternateContent>
        <mc:AlternateContent xmlns:mc="http://schemas.openxmlformats.org/markup-compatibility/2006">
          <mc:Choice Requires="x14">
            <control shapeId="3054" r:id="rId45" name="Option Button 1006">
              <controlPr defaultSize="0" autoFill="0" autoLine="0" autoPict="0">
                <anchor moveWithCells="1">
                  <from>
                    <xdr:col>6</xdr:col>
                    <xdr:colOff>0</xdr:colOff>
                    <xdr:row>35</xdr:row>
                    <xdr:rowOff>222250</xdr:rowOff>
                  </from>
                  <to>
                    <xdr:col>6</xdr:col>
                    <xdr:colOff>266700</xdr:colOff>
                    <xdr:row>37</xdr:row>
                    <xdr:rowOff>0</xdr:rowOff>
                  </to>
                </anchor>
              </controlPr>
            </control>
          </mc:Choice>
        </mc:AlternateContent>
        <mc:AlternateContent xmlns:mc="http://schemas.openxmlformats.org/markup-compatibility/2006">
          <mc:Choice Requires="x14">
            <control shapeId="42008" r:id="rId46" name="Option Button 1048">
              <controlPr defaultSize="0" autoFill="0" autoLine="0" autoPict="0">
                <anchor moveWithCells="1">
                  <from>
                    <xdr:col>5</xdr:col>
                    <xdr:colOff>241300</xdr:colOff>
                    <xdr:row>62</xdr:row>
                    <xdr:rowOff>222250</xdr:rowOff>
                  </from>
                  <to>
                    <xdr:col>7</xdr:col>
                    <xdr:colOff>57150</xdr:colOff>
                    <xdr:row>63</xdr:row>
                    <xdr:rowOff>228600</xdr:rowOff>
                  </to>
                </anchor>
              </controlPr>
            </control>
          </mc:Choice>
        </mc:AlternateContent>
        <mc:AlternateContent xmlns:mc="http://schemas.openxmlformats.org/markup-compatibility/2006">
          <mc:Choice Requires="x14">
            <control shapeId="42009" r:id="rId47" name="Option Button 1049">
              <controlPr defaultSize="0" autoFill="0" autoLine="0" autoPict="0">
                <anchor moveWithCells="1">
                  <from>
                    <xdr:col>5</xdr:col>
                    <xdr:colOff>241300</xdr:colOff>
                    <xdr:row>105</xdr:row>
                    <xdr:rowOff>12700</xdr:rowOff>
                  </from>
                  <to>
                    <xdr:col>7</xdr:col>
                    <xdr:colOff>57150</xdr:colOff>
                    <xdr:row>106</xdr:row>
                    <xdr:rowOff>19050</xdr:rowOff>
                  </to>
                </anchor>
              </controlPr>
            </control>
          </mc:Choice>
        </mc:AlternateContent>
        <mc:AlternateContent xmlns:mc="http://schemas.openxmlformats.org/markup-compatibility/2006">
          <mc:Choice Requires="x14">
            <control shapeId="42010" r:id="rId48" name="Option Button 1050">
              <controlPr defaultSize="0" autoFill="0" autoLine="0" autoPict="0">
                <anchor moveWithCells="1">
                  <from>
                    <xdr:col>6</xdr:col>
                    <xdr:colOff>0</xdr:colOff>
                    <xdr:row>95</xdr:row>
                    <xdr:rowOff>12700</xdr:rowOff>
                  </from>
                  <to>
                    <xdr:col>7</xdr:col>
                    <xdr:colOff>69850</xdr:colOff>
                    <xdr:row>96</xdr:row>
                    <xdr:rowOff>19050</xdr:rowOff>
                  </to>
                </anchor>
              </controlPr>
            </control>
          </mc:Choice>
        </mc:AlternateContent>
        <mc:AlternateContent xmlns:mc="http://schemas.openxmlformats.org/markup-compatibility/2006">
          <mc:Choice Requires="x14">
            <control shapeId="42011" r:id="rId49" name="Check Box 1051">
              <controlPr defaultSize="0" autoFill="0" autoLine="0" autoPict="0">
                <anchor moveWithCells="1">
                  <from>
                    <xdr:col>5</xdr:col>
                    <xdr:colOff>247650</xdr:colOff>
                    <xdr:row>89</xdr:row>
                    <xdr:rowOff>12700</xdr:rowOff>
                  </from>
                  <to>
                    <xdr:col>7</xdr:col>
                    <xdr:colOff>69850</xdr:colOff>
                    <xdr:row>89</xdr:row>
                    <xdr:rowOff>228600</xdr:rowOff>
                  </to>
                </anchor>
              </controlPr>
            </control>
          </mc:Choice>
        </mc:AlternateContent>
        <mc:AlternateContent xmlns:mc="http://schemas.openxmlformats.org/markup-compatibility/2006">
          <mc:Choice Requires="x14">
            <control shapeId="42012" r:id="rId50" name="Check Box 1052">
              <controlPr defaultSize="0" autoFill="0" autoLine="0" autoPict="0">
                <anchor moveWithCells="1">
                  <from>
                    <xdr:col>6</xdr:col>
                    <xdr:colOff>0</xdr:colOff>
                    <xdr:row>116</xdr:row>
                    <xdr:rowOff>228600</xdr:rowOff>
                  </from>
                  <to>
                    <xdr:col>7</xdr:col>
                    <xdr:colOff>69850</xdr:colOff>
                    <xdr:row>118</xdr:row>
                    <xdr:rowOff>0</xdr:rowOff>
                  </to>
                </anchor>
              </controlPr>
            </control>
          </mc:Choice>
        </mc:AlternateContent>
        <mc:AlternateContent xmlns:mc="http://schemas.openxmlformats.org/markup-compatibility/2006">
          <mc:Choice Requires="x14">
            <control shapeId="42104" r:id="rId51" name="Option Button 1144">
              <controlPr defaultSize="0" autoFill="0" autoLine="0" autoPict="0">
                <anchor moveWithCells="1">
                  <from>
                    <xdr:col>6</xdr:col>
                    <xdr:colOff>57150</xdr:colOff>
                    <xdr:row>30</xdr:row>
                    <xdr:rowOff>209550</xdr:rowOff>
                  </from>
                  <to>
                    <xdr:col>7</xdr:col>
                    <xdr:colOff>57150</xdr:colOff>
                    <xdr:row>31</xdr:row>
                    <xdr:rowOff>228600</xdr:rowOff>
                  </to>
                </anchor>
              </controlPr>
            </control>
          </mc:Choice>
        </mc:AlternateContent>
        <mc:AlternateContent xmlns:mc="http://schemas.openxmlformats.org/markup-compatibility/2006">
          <mc:Choice Requires="x14">
            <control shapeId="42224" r:id="rId52" name="Option Button 1264">
              <controlPr defaultSize="0" autoFill="0" autoLine="0" autoPict="0">
                <anchor moveWithCells="1">
                  <from>
                    <xdr:col>6</xdr:col>
                    <xdr:colOff>38100</xdr:colOff>
                    <xdr:row>55</xdr:row>
                    <xdr:rowOff>12700</xdr:rowOff>
                  </from>
                  <to>
                    <xdr:col>7</xdr:col>
                    <xdr:colOff>12700</xdr:colOff>
                    <xdr:row>56</xdr:row>
                    <xdr:rowOff>19050</xdr:rowOff>
                  </to>
                </anchor>
              </controlPr>
            </control>
          </mc:Choice>
        </mc:AlternateContent>
        <mc:AlternateContent xmlns:mc="http://schemas.openxmlformats.org/markup-compatibility/2006">
          <mc:Choice Requires="x14">
            <control shapeId="42225" r:id="rId53" name="Option Button 1265">
              <controlPr defaultSize="0" autoFill="0" autoLine="0" autoPict="0">
                <anchor moveWithCells="1">
                  <from>
                    <xdr:col>6</xdr:col>
                    <xdr:colOff>38100</xdr:colOff>
                    <xdr:row>56</xdr:row>
                    <xdr:rowOff>12700</xdr:rowOff>
                  </from>
                  <to>
                    <xdr:col>7</xdr:col>
                    <xdr:colOff>12700</xdr:colOff>
                    <xdr:row>57</xdr:row>
                    <xdr:rowOff>19050</xdr:rowOff>
                  </to>
                </anchor>
              </controlPr>
            </control>
          </mc:Choice>
        </mc:AlternateContent>
        <mc:AlternateContent xmlns:mc="http://schemas.openxmlformats.org/markup-compatibility/2006">
          <mc:Choice Requires="x14">
            <control shapeId="42226" r:id="rId54" name="Option Button 1266">
              <controlPr defaultSize="0" autoFill="0" autoLine="0" autoPict="0">
                <anchor moveWithCells="1">
                  <from>
                    <xdr:col>6</xdr:col>
                    <xdr:colOff>38100</xdr:colOff>
                    <xdr:row>56</xdr:row>
                    <xdr:rowOff>209550</xdr:rowOff>
                  </from>
                  <to>
                    <xdr:col>7</xdr:col>
                    <xdr:colOff>12700</xdr:colOff>
                    <xdr:row>58</xdr:row>
                    <xdr:rowOff>0</xdr:rowOff>
                  </to>
                </anchor>
              </controlPr>
            </control>
          </mc:Choice>
        </mc:AlternateContent>
        <mc:AlternateContent xmlns:mc="http://schemas.openxmlformats.org/markup-compatibility/2006">
          <mc:Choice Requires="x14">
            <control shapeId="42227" r:id="rId55" name="Option Button 1267">
              <controlPr defaultSize="0" autoFill="0" autoLine="0" autoPict="0">
                <anchor moveWithCells="1">
                  <from>
                    <xdr:col>6</xdr:col>
                    <xdr:colOff>38100</xdr:colOff>
                    <xdr:row>57</xdr:row>
                    <xdr:rowOff>209550</xdr:rowOff>
                  </from>
                  <to>
                    <xdr:col>7</xdr:col>
                    <xdr:colOff>12700</xdr:colOff>
                    <xdr:row>58</xdr:row>
                    <xdr:rowOff>222250</xdr:rowOff>
                  </to>
                </anchor>
              </controlPr>
            </control>
          </mc:Choice>
        </mc:AlternateContent>
        <mc:AlternateContent xmlns:mc="http://schemas.openxmlformats.org/markup-compatibility/2006">
          <mc:Choice Requires="x14">
            <control shapeId="42228" r:id="rId56" name="Group Box 1268">
              <controlPr defaultSize="0" autoFill="0" autoPict="0">
                <anchor moveWithCells="1">
                  <from>
                    <xdr:col>5</xdr:col>
                    <xdr:colOff>0</xdr:colOff>
                    <xdr:row>54</xdr:row>
                    <xdr:rowOff>19050</xdr:rowOff>
                  </from>
                  <to>
                    <xdr:col>14</xdr:col>
                    <xdr:colOff>184150</xdr:colOff>
                    <xdr:row>59</xdr:row>
                    <xdr:rowOff>0</xdr:rowOff>
                  </to>
                </anchor>
              </controlPr>
            </control>
          </mc:Choice>
        </mc:AlternateContent>
        <mc:AlternateContent xmlns:mc="http://schemas.openxmlformats.org/markup-compatibility/2006">
          <mc:Choice Requires="x14">
            <control shapeId="42105" r:id="rId57" name="Option Button 1145">
              <controlPr defaultSize="0" autoFill="0" autoLine="0" autoPict="0">
                <anchor moveWithCells="1">
                  <from>
                    <xdr:col>6</xdr:col>
                    <xdr:colOff>57150</xdr:colOff>
                    <xdr:row>31</xdr:row>
                    <xdr:rowOff>222250</xdr:rowOff>
                  </from>
                  <to>
                    <xdr:col>7</xdr:col>
                    <xdr:colOff>57150</xdr:colOff>
                    <xdr:row>33</xdr:row>
                    <xdr:rowOff>0</xdr:rowOff>
                  </to>
                </anchor>
              </controlPr>
            </control>
          </mc:Choice>
        </mc:AlternateContent>
        <mc:AlternateContent xmlns:mc="http://schemas.openxmlformats.org/markup-compatibility/2006">
          <mc:Choice Requires="x14">
            <control shapeId="42106" r:id="rId58" name="Group Box 1146">
              <controlPr defaultSize="0" autoFill="0" autoPict="0">
                <anchor moveWithCells="1">
                  <from>
                    <xdr:col>5</xdr:col>
                    <xdr:colOff>95250</xdr:colOff>
                    <xdr:row>29</xdr:row>
                    <xdr:rowOff>203200</xdr:rowOff>
                  </from>
                  <to>
                    <xdr:col>9</xdr:col>
                    <xdr:colOff>31750</xdr:colOff>
                    <xdr:row>34</xdr:row>
                    <xdr:rowOff>0</xdr:rowOff>
                  </to>
                </anchor>
              </controlPr>
            </control>
          </mc:Choice>
        </mc:AlternateContent>
        <mc:AlternateContent xmlns:mc="http://schemas.openxmlformats.org/markup-compatibility/2006">
          <mc:Choice Requires="x14">
            <control shapeId="42193" r:id="rId59" name="Check Box 1233">
              <controlPr defaultSize="0" autoFill="0" autoLine="0" autoPict="0">
                <anchor moveWithCells="1">
                  <from>
                    <xdr:col>7</xdr:col>
                    <xdr:colOff>31750</xdr:colOff>
                    <xdr:row>32</xdr:row>
                    <xdr:rowOff>222250</xdr:rowOff>
                  </from>
                  <to>
                    <xdr:col>8</xdr:col>
                    <xdr:colOff>57150</xdr:colOff>
                    <xdr:row>34</xdr:row>
                    <xdr:rowOff>12700</xdr:rowOff>
                  </to>
                </anchor>
              </controlPr>
            </control>
          </mc:Choice>
        </mc:AlternateContent>
        <mc:AlternateContent xmlns:mc="http://schemas.openxmlformats.org/markup-compatibility/2006">
          <mc:Choice Requires="x14">
            <control shapeId="2120" r:id="rId60" name="Group Box 72">
              <controlPr defaultSize="0" autoFill="0" autoPict="0">
                <anchor moveWithCells="1">
                  <from>
                    <xdr:col>4</xdr:col>
                    <xdr:colOff>38100</xdr:colOff>
                    <xdr:row>35</xdr:row>
                    <xdr:rowOff>190500</xdr:rowOff>
                  </from>
                  <to>
                    <xdr:col>17</xdr:col>
                    <xdr:colOff>50800</xdr:colOff>
                    <xdr:row>41</xdr:row>
                    <xdr:rowOff>12700</xdr:rowOff>
                  </to>
                </anchor>
              </controlPr>
            </control>
          </mc:Choice>
        </mc:AlternateContent>
        <mc:AlternateContent xmlns:mc="http://schemas.openxmlformats.org/markup-compatibility/2006">
          <mc:Choice Requires="x14">
            <control shapeId="2122" r:id="rId61" name="Group Box 74">
              <controlPr defaultSize="0" autoFill="0" autoPict="0">
                <anchor moveWithCells="1">
                  <from>
                    <xdr:col>4</xdr:col>
                    <xdr:colOff>0</xdr:colOff>
                    <xdr:row>47</xdr:row>
                    <xdr:rowOff>0</xdr:rowOff>
                  </from>
                  <to>
                    <xdr:col>16</xdr:col>
                    <xdr:colOff>171450</xdr:colOff>
                    <xdr:row>52</xdr:row>
                    <xdr:rowOff>146050</xdr:rowOff>
                  </to>
                </anchor>
              </controlPr>
            </control>
          </mc:Choice>
        </mc:AlternateContent>
        <mc:AlternateContent xmlns:mc="http://schemas.openxmlformats.org/markup-compatibility/2006">
          <mc:Choice Requires="x14">
            <control shapeId="42005" r:id="rId62" name="Option Button 1045">
              <controlPr defaultSize="0" autoFill="0" autoLine="0" autoPict="0">
                <anchor moveWithCells="1">
                  <from>
                    <xdr:col>6</xdr:col>
                    <xdr:colOff>0</xdr:colOff>
                    <xdr:row>50</xdr:row>
                    <xdr:rowOff>0</xdr:rowOff>
                  </from>
                  <to>
                    <xdr:col>7</xdr:col>
                    <xdr:colOff>69850</xdr:colOff>
                    <xdr:row>51</xdr:row>
                    <xdr:rowOff>12700</xdr:rowOff>
                  </to>
                </anchor>
              </controlPr>
            </control>
          </mc:Choice>
        </mc:AlternateContent>
        <mc:AlternateContent xmlns:mc="http://schemas.openxmlformats.org/markup-compatibility/2006">
          <mc:Choice Requires="x14">
            <control shapeId="42306" r:id="rId63" name="Check Box 1346">
              <controlPr defaultSize="0" autoFill="0" autoLine="0" autoPict="0">
                <anchor moveWithCells="1">
                  <from>
                    <xdr:col>7</xdr:col>
                    <xdr:colOff>0</xdr:colOff>
                    <xdr:row>93</xdr:row>
                    <xdr:rowOff>12700</xdr:rowOff>
                  </from>
                  <to>
                    <xdr:col>8</xdr:col>
                    <xdr:colOff>95250</xdr:colOff>
                    <xdr:row>93</xdr:row>
                    <xdr:rowOff>228600</xdr:rowOff>
                  </to>
                </anchor>
              </controlPr>
            </control>
          </mc:Choice>
        </mc:AlternateContent>
        <mc:AlternateContent xmlns:mc="http://schemas.openxmlformats.org/markup-compatibility/2006">
          <mc:Choice Requires="x14">
            <control shapeId="42323" r:id="rId64" name="Check Box 1363">
              <controlPr defaultSize="0" autoFill="0" autoLine="0" autoPict="0">
                <anchor moveWithCells="1">
                  <from>
                    <xdr:col>7</xdr:col>
                    <xdr:colOff>0</xdr:colOff>
                    <xdr:row>114</xdr:row>
                    <xdr:rowOff>0</xdr:rowOff>
                  </from>
                  <to>
                    <xdr:col>9</xdr:col>
                    <xdr:colOff>127000</xdr:colOff>
                    <xdr:row>115</xdr:row>
                    <xdr:rowOff>0</xdr:rowOff>
                  </to>
                </anchor>
              </controlPr>
            </control>
          </mc:Choice>
        </mc:AlternateContent>
        <mc:AlternateContent xmlns:mc="http://schemas.openxmlformats.org/markup-compatibility/2006">
          <mc:Choice Requires="x14">
            <control shapeId="91216" r:id="rId65" name="Check Box 3152">
              <controlPr defaultSize="0" autoFill="0" autoLine="0" autoPict="0">
                <anchor moveWithCells="1">
                  <from>
                    <xdr:col>7</xdr:col>
                    <xdr:colOff>31750</xdr:colOff>
                    <xdr:row>99</xdr:row>
                    <xdr:rowOff>222250</xdr:rowOff>
                  </from>
                  <to>
                    <xdr:col>8</xdr:col>
                    <xdr:colOff>88900</xdr:colOff>
                    <xdr:row>100</xdr:row>
                    <xdr:rowOff>228600</xdr:rowOff>
                  </to>
                </anchor>
              </controlPr>
            </control>
          </mc:Choice>
        </mc:AlternateContent>
        <mc:AlternateContent xmlns:mc="http://schemas.openxmlformats.org/markup-compatibility/2006">
          <mc:Choice Requires="x14">
            <control shapeId="91225" r:id="rId66" name="Check Box 3161">
              <controlPr defaultSize="0" autoFill="0" autoLine="0" autoPict="0">
                <anchor moveWithCells="1">
                  <from>
                    <xdr:col>7</xdr:col>
                    <xdr:colOff>31750</xdr:colOff>
                    <xdr:row>100</xdr:row>
                    <xdr:rowOff>222250</xdr:rowOff>
                  </from>
                  <to>
                    <xdr:col>8</xdr:col>
                    <xdr:colOff>88900</xdr:colOff>
                    <xdr:row>101</xdr:row>
                    <xdr:rowOff>228600</xdr:rowOff>
                  </to>
                </anchor>
              </controlPr>
            </control>
          </mc:Choice>
        </mc:AlternateContent>
        <mc:AlternateContent xmlns:mc="http://schemas.openxmlformats.org/markup-compatibility/2006">
          <mc:Choice Requires="x14">
            <control shapeId="91226" r:id="rId67" name="Check Box 3162">
              <controlPr defaultSize="0" autoFill="0" autoLine="0" autoPict="0">
                <anchor moveWithCells="1">
                  <from>
                    <xdr:col>7</xdr:col>
                    <xdr:colOff>31750</xdr:colOff>
                    <xdr:row>101</xdr:row>
                    <xdr:rowOff>228600</xdr:rowOff>
                  </from>
                  <to>
                    <xdr:col>8</xdr:col>
                    <xdr:colOff>88900</xdr:colOff>
                    <xdr:row>103</xdr:row>
                    <xdr:rowOff>0</xdr:rowOff>
                  </to>
                </anchor>
              </controlPr>
            </control>
          </mc:Choice>
        </mc:AlternateContent>
        <mc:AlternateContent xmlns:mc="http://schemas.openxmlformats.org/markup-compatibility/2006">
          <mc:Choice Requires="x14">
            <control shapeId="91227" r:id="rId68" name="Check Box 3163">
              <controlPr defaultSize="0" autoFill="0" autoLine="0" autoPict="0">
                <anchor moveWithCells="1">
                  <from>
                    <xdr:col>7</xdr:col>
                    <xdr:colOff>31750</xdr:colOff>
                    <xdr:row>102</xdr:row>
                    <xdr:rowOff>228600</xdr:rowOff>
                  </from>
                  <to>
                    <xdr:col>8</xdr:col>
                    <xdr:colOff>88900</xdr:colOff>
                    <xdr:row>104</xdr:row>
                    <xdr:rowOff>0</xdr:rowOff>
                  </to>
                </anchor>
              </controlPr>
            </control>
          </mc:Choice>
        </mc:AlternateContent>
        <mc:AlternateContent xmlns:mc="http://schemas.openxmlformats.org/markup-compatibility/2006">
          <mc:Choice Requires="x14">
            <control shapeId="91264" r:id="rId69" name="Group Box 3200">
              <controlPr defaultSize="0" autoFill="0" autoPict="0">
                <anchor moveWithCells="1">
                  <from>
                    <xdr:col>5</xdr:col>
                    <xdr:colOff>31750</xdr:colOff>
                    <xdr:row>97</xdr:row>
                    <xdr:rowOff>146050</xdr:rowOff>
                  </from>
                  <to>
                    <xdr:col>10</xdr:col>
                    <xdr:colOff>12700</xdr:colOff>
                    <xdr:row>106</xdr:row>
                    <xdr:rowOff>209550</xdr:rowOff>
                  </to>
                </anchor>
              </controlPr>
            </control>
          </mc:Choice>
        </mc:AlternateContent>
        <mc:AlternateContent xmlns:mc="http://schemas.openxmlformats.org/markup-compatibility/2006">
          <mc:Choice Requires="x14">
            <control shapeId="91281" r:id="rId70" name="Check Box 3217">
              <controlPr defaultSize="0" autoFill="0" autoLine="0" autoPict="0">
                <anchor moveWithCells="1">
                  <from>
                    <xdr:col>7</xdr:col>
                    <xdr:colOff>0</xdr:colOff>
                    <xdr:row>76</xdr:row>
                    <xdr:rowOff>228600</xdr:rowOff>
                  </from>
                  <to>
                    <xdr:col>8</xdr:col>
                    <xdr:colOff>57150</xdr:colOff>
                    <xdr:row>78</xdr:row>
                    <xdr:rowOff>0</xdr:rowOff>
                  </to>
                </anchor>
              </controlPr>
            </control>
          </mc:Choice>
        </mc:AlternateContent>
        <mc:AlternateContent xmlns:mc="http://schemas.openxmlformats.org/markup-compatibility/2006">
          <mc:Choice Requires="x14">
            <control shapeId="91292" r:id="rId71" name="Check Box 3228">
              <controlPr defaultSize="0" autoFill="0" autoLine="0" autoPict="0">
                <anchor moveWithCells="1">
                  <from>
                    <xdr:col>7</xdr:col>
                    <xdr:colOff>0</xdr:colOff>
                    <xdr:row>77</xdr:row>
                    <xdr:rowOff>228600</xdr:rowOff>
                  </from>
                  <to>
                    <xdr:col>8</xdr:col>
                    <xdr:colOff>57150</xdr:colOff>
                    <xdr:row>79</xdr:row>
                    <xdr:rowOff>0</xdr:rowOff>
                  </to>
                </anchor>
              </controlPr>
            </control>
          </mc:Choice>
        </mc:AlternateContent>
        <mc:AlternateContent xmlns:mc="http://schemas.openxmlformats.org/markup-compatibility/2006">
          <mc:Choice Requires="x14">
            <control shapeId="91293" r:id="rId72" name="Check Box 3229">
              <controlPr defaultSize="0" autoFill="0" autoLine="0" autoPict="0">
                <anchor moveWithCells="1">
                  <from>
                    <xdr:col>7</xdr:col>
                    <xdr:colOff>0</xdr:colOff>
                    <xdr:row>78</xdr:row>
                    <xdr:rowOff>228600</xdr:rowOff>
                  </from>
                  <to>
                    <xdr:col>8</xdr:col>
                    <xdr:colOff>57150</xdr:colOff>
                    <xdr:row>80</xdr:row>
                    <xdr:rowOff>0</xdr:rowOff>
                  </to>
                </anchor>
              </controlPr>
            </control>
          </mc:Choice>
        </mc:AlternateContent>
        <mc:AlternateContent xmlns:mc="http://schemas.openxmlformats.org/markup-compatibility/2006">
          <mc:Choice Requires="x14">
            <control shapeId="91294" r:id="rId73" name="Check Box 3230">
              <controlPr defaultSize="0" autoFill="0" autoLine="0" autoPict="0">
                <anchor moveWithCells="1">
                  <from>
                    <xdr:col>7</xdr:col>
                    <xdr:colOff>0</xdr:colOff>
                    <xdr:row>79</xdr:row>
                    <xdr:rowOff>228600</xdr:rowOff>
                  </from>
                  <to>
                    <xdr:col>8</xdr:col>
                    <xdr:colOff>57150</xdr:colOff>
                    <xdr:row>81</xdr:row>
                    <xdr:rowOff>0</xdr:rowOff>
                  </to>
                </anchor>
              </controlPr>
            </control>
          </mc:Choice>
        </mc:AlternateContent>
        <mc:AlternateContent xmlns:mc="http://schemas.openxmlformats.org/markup-compatibility/2006">
          <mc:Choice Requires="x14">
            <control shapeId="91295" r:id="rId74" name="Check Box 3231">
              <controlPr defaultSize="0" autoFill="0" autoLine="0" autoPict="0">
                <anchor moveWithCells="1">
                  <from>
                    <xdr:col>7</xdr:col>
                    <xdr:colOff>0</xdr:colOff>
                    <xdr:row>80</xdr:row>
                    <xdr:rowOff>228600</xdr:rowOff>
                  </from>
                  <to>
                    <xdr:col>8</xdr:col>
                    <xdr:colOff>57150</xdr:colOff>
                    <xdr:row>82</xdr:row>
                    <xdr:rowOff>0</xdr:rowOff>
                  </to>
                </anchor>
              </controlPr>
            </control>
          </mc:Choice>
        </mc:AlternateContent>
        <mc:AlternateContent xmlns:mc="http://schemas.openxmlformats.org/markup-compatibility/2006">
          <mc:Choice Requires="x14">
            <control shapeId="91296" r:id="rId75" name="Check Box 3232">
              <controlPr defaultSize="0" autoFill="0" autoLine="0" autoPict="0">
                <anchor moveWithCells="1">
                  <from>
                    <xdr:col>7</xdr:col>
                    <xdr:colOff>0</xdr:colOff>
                    <xdr:row>81</xdr:row>
                    <xdr:rowOff>228600</xdr:rowOff>
                  </from>
                  <to>
                    <xdr:col>8</xdr:col>
                    <xdr:colOff>57150</xdr:colOff>
                    <xdr:row>83</xdr:row>
                    <xdr:rowOff>0</xdr:rowOff>
                  </to>
                </anchor>
              </controlPr>
            </control>
          </mc:Choice>
        </mc:AlternateContent>
        <mc:AlternateContent xmlns:mc="http://schemas.openxmlformats.org/markup-compatibility/2006">
          <mc:Choice Requires="x14">
            <control shapeId="91297" r:id="rId76" name="Check Box 3233">
              <controlPr defaultSize="0" autoFill="0" autoLine="0" autoPict="0">
                <anchor moveWithCells="1">
                  <from>
                    <xdr:col>7</xdr:col>
                    <xdr:colOff>0</xdr:colOff>
                    <xdr:row>82</xdr:row>
                    <xdr:rowOff>228600</xdr:rowOff>
                  </from>
                  <to>
                    <xdr:col>8</xdr:col>
                    <xdr:colOff>57150</xdr:colOff>
                    <xdr:row>84</xdr:row>
                    <xdr:rowOff>0</xdr:rowOff>
                  </to>
                </anchor>
              </controlPr>
            </control>
          </mc:Choice>
        </mc:AlternateContent>
        <mc:AlternateContent xmlns:mc="http://schemas.openxmlformats.org/markup-compatibility/2006">
          <mc:Choice Requires="x14">
            <control shapeId="91298" r:id="rId77" name="Check Box 3234">
              <controlPr defaultSize="0" autoFill="0" autoLine="0" autoPict="0">
                <anchor moveWithCells="1">
                  <from>
                    <xdr:col>7</xdr:col>
                    <xdr:colOff>0</xdr:colOff>
                    <xdr:row>83</xdr:row>
                    <xdr:rowOff>228600</xdr:rowOff>
                  </from>
                  <to>
                    <xdr:col>8</xdr:col>
                    <xdr:colOff>57150</xdr:colOff>
                    <xdr:row>85</xdr:row>
                    <xdr:rowOff>0</xdr:rowOff>
                  </to>
                </anchor>
              </controlPr>
            </control>
          </mc:Choice>
        </mc:AlternateContent>
        <mc:AlternateContent xmlns:mc="http://schemas.openxmlformats.org/markup-compatibility/2006">
          <mc:Choice Requires="x14">
            <control shapeId="109037" r:id="rId78" name="Option Button 4589">
              <controlPr defaultSize="0" autoFill="0" autoLine="0" autoPict="0">
                <anchor moveWithCells="1">
                  <from>
                    <xdr:col>6</xdr:col>
                    <xdr:colOff>0</xdr:colOff>
                    <xdr:row>50</xdr:row>
                    <xdr:rowOff>203200</xdr:rowOff>
                  </from>
                  <to>
                    <xdr:col>7</xdr:col>
                    <xdr:colOff>31750</xdr:colOff>
                    <xdr:row>52</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U83"/>
  <sheetViews>
    <sheetView zoomScale="70" zoomScaleNormal="70" workbookViewId="0">
      <selection activeCell="D15" sqref="D15"/>
    </sheetView>
  </sheetViews>
  <sheetFormatPr defaultRowHeight="18"/>
  <cols>
    <col min="1" max="1" width="15.08203125" bestFit="1" customWidth="1"/>
    <col min="2" max="2" width="25.5" bestFit="1" customWidth="1"/>
    <col min="3" max="3" width="29.58203125" bestFit="1" customWidth="1"/>
    <col min="4" max="4" width="25.25" bestFit="1" customWidth="1"/>
    <col min="5" max="6" width="13" bestFit="1" customWidth="1"/>
    <col min="7" max="7" width="19.25" bestFit="1" customWidth="1"/>
    <col min="8" max="8" width="13" bestFit="1" customWidth="1"/>
    <col min="9" max="9" width="17.25" bestFit="1" customWidth="1"/>
    <col min="10" max="10" width="15" customWidth="1"/>
    <col min="11" max="11" width="14.58203125" bestFit="1" customWidth="1"/>
    <col min="12" max="12" width="15.25" bestFit="1" customWidth="1"/>
    <col min="13" max="13" width="15.08203125" bestFit="1" customWidth="1"/>
    <col min="14" max="14" width="12.25" bestFit="1" customWidth="1"/>
    <col min="15" max="15" width="17.25" bestFit="1" customWidth="1"/>
    <col min="16" max="16" width="6.5" bestFit="1" customWidth="1"/>
    <col min="17" max="17" width="5.25" bestFit="1" customWidth="1"/>
    <col min="18" max="18" width="13" bestFit="1" customWidth="1"/>
    <col min="19" max="19" width="3.33203125" bestFit="1" customWidth="1"/>
    <col min="20" max="20" width="5.25" bestFit="1" customWidth="1"/>
    <col min="21" max="21" width="17.75" bestFit="1" customWidth="1"/>
  </cols>
  <sheetData>
    <row r="1" spans="1:21" ht="54">
      <c r="A1" t="s">
        <v>158</v>
      </c>
      <c r="D1" t="s">
        <v>159</v>
      </c>
      <c r="E1" t="s">
        <v>160</v>
      </c>
      <c r="F1" s="1" t="s">
        <v>161</v>
      </c>
      <c r="G1" t="s">
        <v>162</v>
      </c>
      <c r="H1" s="1" t="s">
        <v>163</v>
      </c>
      <c r="I1" s="1" t="s">
        <v>163</v>
      </c>
      <c r="J1" t="s">
        <v>164</v>
      </c>
      <c r="K1" t="s">
        <v>164</v>
      </c>
      <c r="L1" t="s">
        <v>164</v>
      </c>
      <c r="M1" t="s">
        <v>165</v>
      </c>
      <c r="N1" t="s">
        <v>165</v>
      </c>
    </row>
    <row r="2" spans="1:21" ht="36">
      <c r="A2" s="5" t="s">
        <v>166</v>
      </c>
      <c r="B2" s="5" t="s">
        <v>167</v>
      </c>
      <c r="C2" s="5" t="s">
        <v>168</v>
      </c>
      <c r="D2" s="5" t="s">
        <v>169</v>
      </c>
      <c r="E2" s="4" t="s">
        <v>120</v>
      </c>
      <c r="F2" s="4" t="s">
        <v>123</v>
      </c>
      <c r="G2" s="4" t="s">
        <v>126</v>
      </c>
      <c r="H2" s="4" t="s">
        <v>170</v>
      </c>
      <c r="I2" s="4" t="s">
        <v>171</v>
      </c>
      <c r="J2" s="4" t="s">
        <v>99</v>
      </c>
      <c r="K2" s="4" t="s">
        <v>172</v>
      </c>
      <c r="L2" s="4" t="s">
        <v>173</v>
      </c>
      <c r="M2" s="4" t="s">
        <v>138</v>
      </c>
      <c r="N2" s="4" t="s">
        <v>174</v>
      </c>
      <c r="O2" s="13" t="s">
        <v>175</v>
      </c>
      <c r="P2" s="14" t="s">
        <v>176</v>
      </c>
      <c r="Q2" s="14" t="s">
        <v>177</v>
      </c>
      <c r="R2" s="13" t="s">
        <v>178</v>
      </c>
      <c r="S2" s="14" t="s">
        <v>179</v>
      </c>
      <c r="T2" s="14" t="s">
        <v>180</v>
      </c>
    </row>
    <row r="3" spans="1:21">
      <c r="A3" s="6" t="s">
        <v>46</v>
      </c>
      <c r="B3" s="6" t="s">
        <v>181</v>
      </c>
      <c r="C3" s="6" t="s">
        <v>61</v>
      </c>
      <c r="D3" s="5" t="s">
        <v>182</v>
      </c>
      <c r="E3" s="4"/>
      <c r="F3" s="4" t="s">
        <v>183</v>
      </c>
      <c r="G3" s="4" t="s">
        <v>183</v>
      </c>
      <c r="H3" s="4" t="s">
        <v>183</v>
      </c>
      <c r="I3" s="4"/>
      <c r="J3" s="4"/>
      <c r="K3" s="4"/>
      <c r="L3" s="4"/>
      <c r="M3" s="4"/>
      <c r="N3" s="4"/>
      <c r="P3" t="s">
        <v>183</v>
      </c>
      <c r="Q3" t="s">
        <v>183</v>
      </c>
      <c r="S3" t="s">
        <v>183</v>
      </c>
      <c r="T3" t="s">
        <v>183</v>
      </c>
      <c r="U3" t="s">
        <v>184</v>
      </c>
    </row>
    <row r="4" spans="1:21">
      <c r="A4" s="7"/>
      <c r="B4" s="11" t="s">
        <v>185</v>
      </c>
      <c r="C4" s="11" t="s">
        <v>186</v>
      </c>
      <c r="D4" s="5" t="s">
        <v>187</v>
      </c>
      <c r="E4" s="4"/>
      <c r="F4" s="4"/>
      <c r="G4" s="4"/>
      <c r="H4" s="4"/>
      <c r="I4" s="4"/>
      <c r="J4" s="4"/>
      <c r="K4" s="4"/>
      <c r="L4" s="4"/>
      <c r="M4" s="4" t="s">
        <v>183</v>
      </c>
      <c r="N4" s="4"/>
      <c r="O4" s="14"/>
      <c r="P4" t="s">
        <v>183</v>
      </c>
      <c r="Q4" t="s">
        <v>183</v>
      </c>
      <c r="S4" t="s">
        <v>183</v>
      </c>
      <c r="T4" t="s">
        <v>183</v>
      </c>
      <c r="U4" t="s">
        <v>184</v>
      </c>
    </row>
    <row r="5" spans="1:21">
      <c r="A5" s="7"/>
      <c r="B5" s="7"/>
      <c r="C5" s="7"/>
      <c r="D5" s="5" t="s">
        <v>188</v>
      </c>
      <c r="E5" s="4"/>
      <c r="F5" s="4"/>
      <c r="G5" s="4"/>
      <c r="H5" s="4"/>
      <c r="I5" s="4"/>
      <c r="J5" s="4"/>
      <c r="K5" s="4"/>
      <c r="L5" s="4"/>
      <c r="M5" s="4"/>
      <c r="N5" s="4" t="s">
        <v>183</v>
      </c>
      <c r="O5" s="14"/>
      <c r="P5" t="s">
        <v>183</v>
      </c>
      <c r="Q5" t="s">
        <v>183</v>
      </c>
      <c r="S5" t="s">
        <v>183</v>
      </c>
      <c r="T5" t="s">
        <v>183</v>
      </c>
      <c r="U5" t="s">
        <v>184</v>
      </c>
    </row>
    <row r="6" spans="1:21">
      <c r="A6" s="7"/>
      <c r="B6" s="7"/>
      <c r="C6" s="7"/>
      <c r="D6" s="5" t="s">
        <v>189</v>
      </c>
      <c r="E6" s="4"/>
      <c r="F6" s="4"/>
      <c r="G6" s="4"/>
      <c r="H6" s="4"/>
      <c r="I6" s="4" t="s">
        <v>183</v>
      </c>
      <c r="J6" s="4"/>
      <c r="K6" s="4"/>
      <c r="L6" s="4"/>
      <c r="M6" s="4"/>
      <c r="N6" s="4"/>
      <c r="P6" t="s">
        <v>183</v>
      </c>
      <c r="Q6" t="s">
        <v>183</v>
      </c>
      <c r="S6" t="s">
        <v>183</v>
      </c>
      <c r="T6" t="s">
        <v>183</v>
      </c>
      <c r="U6" t="s">
        <v>184</v>
      </c>
    </row>
    <row r="7" spans="1:21">
      <c r="A7" s="7"/>
      <c r="B7" s="7"/>
      <c r="C7" s="7"/>
      <c r="D7" s="5" t="s">
        <v>190</v>
      </c>
      <c r="E7" s="4"/>
      <c r="F7" s="4"/>
      <c r="G7" s="4"/>
      <c r="H7" s="4"/>
      <c r="I7" s="4" t="s">
        <v>183</v>
      </c>
      <c r="J7" s="4"/>
      <c r="K7" s="4"/>
      <c r="L7" s="4"/>
      <c r="M7" s="4"/>
      <c r="N7" s="4"/>
      <c r="P7" t="s">
        <v>183</v>
      </c>
      <c r="Q7" t="s">
        <v>183</v>
      </c>
      <c r="S7" t="s">
        <v>183</v>
      </c>
      <c r="T7" t="s">
        <v>183</v>
      </c>
      <c r="U7" t="s">
        <v>184</v>
      </c>
    </row>
    <row r="8" spans="1:21">
      <c r="A8" s="7"/>
      <c r="B8" s="7"/>
      <c r="C8" s="7"/>
      <c r="D8" s="5" t="s">
        <v>191</v>
      </c>
      <c r="E8" s="4"/>
      <c r="F8" s="4"/>
      <c r="G8" s="4"/>
      <c r="H8" s="4"/>
      <c r="I8" s="4" t="s">
        <v>183</v>
      </c>
      <c r="J8" s="4"/>
      <c r="K8" s="4"/>
      <c r="L8" s="4"/>
      <c r="M8" s="4"/>
      <c r="N8" s="4"/>
      <c r="P8" t="s">
        <v>183</v>
      </c>
      <c r="Q8" t="s">
        <v>183</v>
      </c>
      <c r="S8" t="s">
        <v>183</v>
      </c>
      <c r="T8" t="s">
        <v>183</v>
      </c>
      <c r="U8" t="s">
        <v>184</v>
      </c>
    </row>
    <row r="9" spans="1:21">
      <c r="A9" s="7"/>
      <c r="B9" s="7"/>
      <c r="C9" s="7"/>
      <c r="D9" s="5" t="s">
        <v>192</v>
      </c>
      <c r="E9" s="4"/>
      <c r="F9" s="4"/>
      <c r="G9" s="4"/>
      <c r="H9" s="4"/>
      <c r="I9" s="4" t="s">
        <v>183</v>
      </c>
      <c r="J9" s="4"/>
      <c r="K9" s="4"/>
      <c r="L9" s="4"/>
      <c r="M9" s="4"/>
      <c r="N9" s="4"/>
      <c r="P9" t="s">
        <v>183</v>
      </c>
      <c r="Q9" t="s">
        <v>183</v>
      </c>
      <c r="S9" t="s">
        <v>183</v>
      </c>
      <c r="T9" t="s">
        <v>183</v>
      </c>
      <c r="U9" t="s">
        <v>184</v>
      </c>
    </row>
    <row r="10" spans="1:21">
      <c r="A10" s="7"/>
      <c r="B10" s="7"/>
      <c r="C10" s="7"/>
      <c r="D10" s="5" t="s">
        <v>193</v>
      </c>
      <c r="E10" s="4"/>
      <c r="F10" s="4"/>
      <c r="G10" s="4"/>
      <c r="H10" s="4"/>
      <c r="I10" s="4"/>
      <c r="J10" s="4" t="s">
        <v>183</v>
      </c>
      <c r="K10" s="4"/>
      <c r="L10" s="4"/>
      <c r="M10" s="4"/>
      <c r="N10" s="4"/>
      <c r="P10" t="s">
        <v>183</v>
      </c>
      <c r="Q10" t="s">
        <v>183</v>
      </c>
      <c r="S10" t="s">
        <v>183</v>
      </c>
      <c r="T10" t="s">
        <v>183</v>
      </c>
      <c r="U10" t="s">
        <v>184</v>
      </c>
    </row>
    <row r="11" spans="1:21">
      <c r="A11" s="7"/>
      <c r="B11" s="7"/>
      <c r="C11" s="7"/>
      <c r="D11" s="5" t="s">
        <v>194</v>
      </c>
      <c r="E11" s="4"/>
      <c r="F11" s="4"/>
      <c r="G11" s="4"/>
      <c r="H11" s="4"/>
      <c r="I11" s="4"/>
      <c r="J11" s="4"/>
      <c r="K11" s="4" t="s">
        <v>183</v>
      </c>
      <c r="L11" s="4"/>
      <c r="M11" s="4"/>
      <c r="N11" s="4"/>
      <c r="P11" t="s">
        <v>183</v>
      </c>
      <c r="Q11" t="s">
        <v>183</v>
      </c>
      <c r="S11" t="s">
        <v>183</v>
      </c>
      <c r="T11" t="s">
        <v>183</v>
      </c>
      <c r="U11" t="s">
        <v>184</v>
      </c>
    </row>
    <row r="12" spans="1:21">
      <c r="A12" s="7"/>
      <c r="B12" s="7"/>
      <c r="C12" s="8"/>
      <c r="D12" s="5" t="s">
        <v>173</v>
      </c>
      <c r="E12" s="4"/>
      <c r="F12" s="4"/>
      <c r="G12" s="4"/>
      <c r="H12" s="4"/>
      <c r="I12" s="4"/>
      <c r="J12" s="4"/>
      <c r="K12" s="4"/>
      <c r="L12" s="4" t="s">
        <v>183</v>
      </c>
      <c r="M12" s="4"/>
      <c r="N12" s="4"/>
      <c r="P12" t="s">
        <v>183</v>
      </c>
      <c r="Q12" t="s">
        <v>183</v>
      </c>
      <c r="S12" t="s">
        <v>183</v>
      </c>
      <c r="T12" t="s">
        <v>183</v>
      </c>
      <c r="U12" t="s">
        <v>184</v>
      </c>
    </row>
    <row r="13" spans="1:21">
      <c r="A13" s="7"/>
      <c r="B13" s="7"/>
      <c r="C13" s="6" t="s">
        <v>195</v>
      </c>
      <c r="D13" s="5" t="s">
        <v>182</v>
      </c>
      <c r="E13" s="4" t="s">
        <v>183</v>
      </c>
      <c r="F13" s="4" t="s">
        <v>183</v>
      </c>
      <c r="G13" s="4" t="s">
        <v>183</v>
      </c>
      <c r="H13" s="4" t="s">
        <v>183</v>
      </c>
      <c r="I13" s="4"/>
      <c r="J13" s="4"/>
      <c r="K13" s="4"/>
      <c r="L13" s="4"/>
      <c r="M13" s="4"/>
      <c r="N13" s="4"/>
      <c r="O13" t="s">
        <v>183</v>
      </c>
      <c r="P13" t="s">
        <v>183</v>
      </c>
      <c r="Q13" t="s">
        <v>183</v>
      </c>
      <c r="R13" t="s">
        <v>183</v>
      </c>
      <c r="S13" t="s">
        <v>183</v>
      </c>
      <c r="T13" t="s">
        <v>183</v>
      </c>
      <c r="U13" t="s">
        <v>184</v>
      </c>
    </row>
    <row r="14" spans="1:21">
      <c r="A14" s="7"/>
      <c r="B14" s="7"/>
      <c r="C14" s="11" t="s">
        <v>196</v>
      </c>
      <c r="D14" s="5" t="s">
        <v>187</v>
      </c>
      <c r="E14" s="4" t="s">
        <v>183</v>
      </c>
      <c r="F14" s="4"/>
      <c r="G14" s="4"/>
      <c r="H14" s="4"/>
      <c r="I14" s="4"/>
      <c r="J14" s="4"/>
      <c r="K14" s="4"/>
      <c r="L14" s="4"/>
      <c r="M14" s="4" t="s">
        <v>183</v>
      </c>
      <c r="N14" s="4"/>
      <c r="O14" t="s">
        <v>183</v>
      </c>
      <c r="P14" t="s">
        <v>183</v>
      </c>
      <c r="Q14" t="s">
        <v>183</v>
      </c>
      <c r="R14" t="s">
        <v>183</v>
      </c>
      <c r="S14" t="s">
        <v>183</v>
      </c>
      <c r="T14" t="s">
        <v>183</v>
      </c>
      <c r="U14" t="s">
        <v>184</v>
      </c>
    </row>
    <row r="15" spans="1:21">
      <c r="A15" s="7"/>
      <c r="B15" s="7"/>
      <c r="C15" s="7"/>
      <c r="D15" s="5" t="s">
        <v>188</v>
      </c>
      <c r="E15" s="4" t="s">
        <v>183</v>
      </c>
      <c r="F15" s="4"/>
      <c r="G15" s="4"/>
      <c r="H15" s="4"/>
      <c r="I15" s="4"/>
      <c r="J15" s="4"/>
      <c r="K15" s="4"/>
      <c r="L15" s="4"/>
      <c r="M15" s="4"/>
      <c r="N15" s="4" t="s">
        <v>183</v>
      </c>
      <c r="O15" t="s">
        <v>183</v>
      </c>
      <c r="P15" t="s">
        <v>183</v>
      </c>
      <c r="Q15" t="s">
        <v>183</v>
      </c>
      <c r="R15" t="s">
        <v>183</v>
      </c>
      <c r="S15" t="s">
        <v>183</v>
      </c>
      <c r="T15" t="s">
        <v>183</v>
      </c>
      <c r="U15" t="s">
        <v>184</v>
      </c>
    </row>
    <row r="16" spans="1:21">
      <c r="A16" s="7"/>
      <c r="B16" s="7"/>
      <c r="C16" s="7"/>
      <c r="D16" s="5" t="s">
        <v>189</v>
      </c>
      <c r="E16" s="4" t="s">
        <v>183</v>
      </c>
      <c r="F16" s="4"/>
      <c r="G16" s="4"/>
      <c r="H16" s="4"/>
      <c r="I16" s="4" t="s">
        <v>183</v>
      </c>
      <c r="J16" s="4"/>
      <c r="K16" s="4"/>
      <c r="L16" s="4"/>
      <c r="M16" s="4"/>
      <c r="N16" s="4"/>
      <c r="O16" t="s">
        <v>183</v>
      </c>
      <c r="P16" t="s">
        <v>183</v>
      </c>
      <c r="Q16" t="s">
        <v>183</v>
      </c>
      <c r="R16" t="s">
        <v>183</v>
      </c>
      <c r="S16" t="s">
        <v>183</v>
      </c>
      <c r="T16" t="s">
        <v>183</v>
      </c>
      <c r="U16" t="s">
        <v>184</v>
      </c>
    </row>
    <row r="17" spans="1:21">
      <c r="A17" s="7"/>
      <c r="B17" s="7"/>
      <c r="C17" s="7"/>
      <c r="D17" s="5" t="s">
        <v>190</v>
      </c>
      <c r="E17" s="4" t="s">
        <v>183</v>
      </c>
      <c r="F17" s="4"/>
      <c r="G17" s="4"/>
      <c r="H17" s="4"/>
      <c r="I17" s="4" t="s">
        <v>183</v>
      </c>
      <c r="J17" s="4"/>
      <c r="K17" s="4"/>
      <c r="L17" s="4"/>
      <c r="M17" s="4"/>
      <c r="N17" s="4"/>
      <c r="O17" t="s">
        <v>183</v>
      </c>
      <c r="P17" t="s">
        <v>183</v>
      </c>
      <c r="Q17" t="s">
        <v>183</v>
      </c>
      <c r="R17" t="s">
        <v>183</v>
      </c>
      <c r="S17" t="s">
        <v>183</v>
      </c>
      <c r="T17" t="s">
        <v>183</v>
      </c>
      <c r="U17" t="s">
        <v>184</v>
      </c>
    </row>
    <row r="18" spans="1:21">
      <c r="A18" s="7"/>
      <c r="B18" s="7"/>
      <c r="C18" s="7"/>
      <c r="D18" s="5" t="s">
        <v>191</v>
      </c>
      <c r="E18" s="4" t="s">
        <v>183</v>
      </c>
      <c r="F18" s="4"/>
      <c r="G18" s="4"/>
      <c r="H18" s="4"/>
      <c r="I18" s="4" t="s">
        <v>183</v>
      </c>
      <c r="J18" s="4"/>
      <c r="K18" s="4"/>
      <c r="L18" s="4"/>
      <c r="M18" s="4"/>
      <c r="N18" s="4"/>
      <c r="O18" t="s">
        <v>183</v>
      </c>
      <c r="P18" t="s">
        <v>183</v>
      </c>
      <c r="Q18" t="s">
        <v>183</v>
      </c>
      <c r="R18" t="s">
        <v>183</v>
      </c>
      <c r="S18" t="s">
        <v>183</v>
      </c>
      <c r="T18" t="s">
        <v>183</v>
      </c>
      <c r="U18" t="s">
        <v>184</v>
      </c>
    </row>
    <row r="19" spans="1:21">
      <c r="A19" s="7"/>
      <c r="B19" s="7"/>
      <c r="C19" s="7"/>
      <c r="D19" s="5" t="s">
        <v>192</v>
      </c>
      <c r="E19" s="4" t="s">
        <v>183</v>
      </c>
      <c r="F19" s="4"/>
      <c r="G19" s="4"/>
      <c r="H19" s="4"/>
      <c r="I19" s="4" t="s">
        <v>183</v>
      </c>
      <c r="J19" s="4"/>
      <c r="K19" s="4"/>
      <c r="L19" s="4"/>
      <c r="M19" s="4"/>
      <c r="N19" s="4"/>
      <c r="O19" t="s">
        <v>183</v>
      </c>
      <c r="P19" t="s">
        <v>183</v>
      </c>
      <c r="Q19" t="s">
        <v>183</v>
      </c>
      <c r="R19" t="s">
        <v>183</v>
      </c>
      <c r="S19" t="s">
        <v>183</v>
      </c>
      <c r="T19" t="s">
        <v>183</v>
      </c>
      <c r="U19" t="s">
        <v>184</v>
      </c>
    </row>
    <row r="20" spans="1:21">
      <c r="A20" s="7"/>
      <c r="B20" s="7"/>
      <c r="C20" s="7"/>
      <c r="D20" s="5" t="s">
        <v>193</v>
      </c>
      <c r="E20" s="4" t="s">
        <v>183</v>
      </c>
      <c r="F20" s="4"/>
      <c r="G20" s="4"/>
      <c r="H20" s="4"/>
      <c r="I20" s="4"/>
      <c r="J20" s="4" t="s">
        <v>183</v>
      </c>
      <c r="K20" s="4"/>
      <c r="L20" s="4"/>
      <c r="M20" s="4"/>
      <c r="N20" s="4"/>
      <c r="O20" t="s">
        <v>183</v>
      </c>
      <c r="P20" t="s">
        <v>183</v>
      </c>
      <c r="Q20" t="s">
        <v>183</v>
      </c>
      <c r="R20" t="s">
        <v>183</v>
      </c>
      <c r="S20" t="s">
        <v>183</v>
      </c>
      <c r="T20" t="s">
        <v>183</v>
      </c>
      <c r="U20" t="s">
        <v>184</v>
      </c>
    </row>
    <row r="21" spans="1:21">
      <c r="A21" s="7"/>
      <c r="B21" s="7"/>
      <c r="C21" s="7"/>
      <c r="D21" s="5" t="s">
        <v>194</v>
      </c>
      <c r="E21" s="4" t="s">
        <v>183</v>
      </c>
      <c r="F21" s="4"/>
      <c r="G21" s="4"/>
      <c r="H21" s="4"/>
      <c r="I21" s="4"/>
      <c r="J21" s="4"/>
      <c r="K21" s="4" t="s">
        <v>183</v>
      </c>
      <c r="L21" s="4"/>
      <c r="M21" s="4"/>
      <c r="N21" s="4"/>
      <c r="O21" t="s">
        <v>183</v>
      </c>
      <c r="P21" t="s">
        <v>183</v>
      </c>
      <c r="Q21" t="s">
        <v>183</v>
      </c>
      <c r="R21" t="s">
        <v>183</v>
      </c>
      <c r="S21" t="s">
        <v>183</v>
      </c>
      <c r="T21" t="s">
        <v>183</v>
      </c>
      <c r="U21" t="s">
        <v>184</v>
      </c>
    </row>
    <row r="22" spans="1:21">
      <c r="A22" s="7"/>
      <c r="B22" s="8"/>
      <c r="C22" s="8"/>
      <c r="D22" s="5" t="s">
        <v>173</v>
      </c>
      <c r="E22" s="4" t="s">
        <v>183</v>
      </c>
      <c r="F22" s="4"/>
      <c r="G22" s="4"/>
      <c r="H22" s="4"/>
      <c r="I22" s="4"/>
      <c r="J22" s="4"/>
      <c r="K22" s="4"/>
      <c r="L22" s="4" t="s">
        <v>183</v>
      </c>
      <c r="M22" s="4"/>
      <c r="N22" s="4"/>
      <c r="O22" t="s">
        <v>183</v>
      </c>
      <c r="P22" t="s">
        <v>183</v>
      </c>
      <c r="Q22" t="s">
        <v>183</v>
      </c>
      <c r="R22" t="s">
        <v>183</v>
      </c>
      <c r="S22" t="s">
        <v>183</v>
      </c>
      <c r="T22" t="s">
        <v>183</v>
      </c>
      <c r="U22" t="s">
        <v>184</v>
      </c>
    </row>
    <row r="23" spans="1:21">
      <c r="A23" s="7"/>
      <c r="B23" s="7" t="s">
        <v>197</v>
      </c>
      <c r="C23" s="6" t="s">
        <v>61</v>
      </c>
      <c r="D23" s="5" t="s">
        <v>182</v>
      </c>
      <c r="E23" s="4"/>
      <c r="F23" s="4" t="s">
        <v>183</v>
      </c>
      <c r="G23" s="4"/>
      <c r="H23" s="4" t="s">
        <v>183</v>
      </c>
      <c r="I23" s="4"/>
      <c r="J23" s="4"/>
      <c r="K23" s="4"/>
      <c r="L23" s="4"/>
      <c r="M23" s="4"/>
      <c r="N23" s="4"/>
      <c r="P23" t="s">
        <v>183</v>
      </c>
      <c r="Q23" t="s">
        <v>183</v>
      </c>
      <c r="S23" t="s">
        <v>183</v>
      </c>
      <c r="U23" t="s">
        <v>184</v>
      </c>
    </row>
    <row r="24" spans="1:21">
      <c r="A24" s="7"/>
      <c r="B24" s="17" t="s">
        <v>198</v>
      </c>
      <c r="C24" s="11" t="s">
        <v>186</v>
      </c>
      <c r="D24" s="5" t="s">
        <v>187</v>
      </c>
      <c r="E24" s="4"/>
      <c r="F24" s="4"/>
      <c r="G24" s="4"/>
      <c r="H24" s="4"/>
      <c r="I24" s="4"/>
      <c r="J24" s="4"/>
      <c r="K24" s="4"/>
      <c r="L24" s="4"/>
      <c r="M24" s="4" t="s">
        <v>183</v>
      </c>
      <c r="N24" s="4"/>
      <c r="P24" t="s">
        <v>183</v>
      </c>
      <c r="Q24" t="s">
        <v>183</v>
      </c>
      <c r="S24" t="s">
        <v>183</v>
      </c>
      <c r="U24" t="s">
        <v>184</v>
      </c>
    </row>
    <row r="25" spans="1:21">
      <c r="A25" s="7"/>
      <c r="B25" s="7"/>
      <c r="C25" s="7"/>
      <c r="D25" s="5" t="s">
        <v>188</v>
      </c>
      <c r="E25" s="4"/>
      <c r="F25" s="4"/>
      <c r="G25" s="4"/>
      <c r="H25" s="4"/>
      <c r="I25" s="4"/>
      <c r="J25" s="4"/>
      <c r="K25" s="4"/>
      <c r="L25" s="4"/>
      <c r="M25" s="4"/>
      <c r="N25" s="4" t="s">
        <v>183</v>
      </c>
      <c r="P25" t="s">
        <v>183</v>
      </c>
      <c r="Q25" t="s">
        <v>183</v>
      </c>
      <c r="S25" t="s">
        <v>183</v>
      </c>
      <c r="U25" t="s">
        <v>184</v>
      </c>
    </row>
    <row r="26" spans="1:21">
      <c r="A26" s="7"/>
      <c r="B26" s="7"/>
      <c r="C26" s="7"/>
      <c r="D26" s="5" t="s">
        <v>189</v>
      </c>
      <c r="E26" s="4"/>
      <c r="F26" s="4"/>
      <c r="G26" s="4"/>
      <c r="H26" s="4"/>
      <c r="I26" s="4" t="s">
        <v>183</v>
      </c>
      <c r="J26" s="4"/>
      <c r="K26" s="4"/>
      <c r="L26" s="4"/>
      <c r="M26" s="4"/>
      <c r="N26" s="4"/>
      <c r="P26" t="s">
        <v>183</v>
      </c>
      <c r="Q26" t="s">
        <v>183</v>
      </c>
      <c r="S26" t="s">
        <v>183</v>
      </c>
      <c r="U26" t="s">
        <v>184</v>
      </c>
    </row>
    <row r="27" spans="1:21">
      <c r="A27" s="7"/>
      <c r="B27" s="7"/>
      <c r="C27" s="7"/>
      <c r="D27" s="5" t="s">
        <v>190</v>
      </c>
      <c r="E27" s="4"/>
      <c r="F27" s="4"/>
      <c r="G27" s="4"/>
      <c r="H27" s="4"/>
      <c r="I27" s="4" t="s">
        <v>183</v>
      </c>
      <c r="J27" s="4"/>
      <c r="K27" s="4"/>
      <c r="L27" s="4"/>
      <c r="M27" s="4"/>
      <c r="N27" s="4"/>
      <c r="P27" t="s">
        <v>183</v>
      </c>
      <c r="Q27" t="s">
        <v>183</v>
      </c>
      <c r="S27" t="s">
        <v>183</v>
      </c>
      <c r="U27" t="s">
        <v>184</v>
      </c>
    </row>
    <row r="28" spans="1:21">
      <c r="A28" s="7"/>
      <c r="B28" s="7"/>
      <c r="C28" s="7"/>
      <c r="D28" s="5" t="s">
        <v>191</v>
      </c>
      <c r="E28" s="4"/>
      <c r="F28" s="4"/>
      <c r="G28" s="4"/>
      <c r="H28" s="4"/>
      <c r="I28" s="4" t="s">
        <v>183</v>
      </c>
      <c r="J28" s="4"/>
      <c r="K28" s="4"/>
      <c r="L28" s="4"/>
      <c r="M28" s="4"/>
      <c r="N28" s="4"/>
      <c r="P28" t="s">
        <v>183</v>
      </c>
      <c r="Q28" t="s">
        <v>183</v>
      </c>
      <c r="S28" t="s">
        <v>183</v>
      </c>
      <c r="U28" t="s">
        <v>184</v>
      </c>
    </row>
    <row r="29" spans="1:21">
      <c r="A29" s="7"/>
      <c r="B29" s="7"/>
      <c r="C29" s="7"/>
      <c r="D29" s="5" t="s">
        <v>192</v>
      </c>
      <c r="E29" s="4"/>
      <c r="F29" s="4"/>
      <c r="G29" s="4"/>
      <c r="H29" s="4"/>
      <c r="I29" s="4" t="s">
        <v>183</v>
      </c>
      <c r="J29" s="4"/>
      <c r="K29" s="4"/>
      <c r="L29" s="4"/>
      <c r="M29" s="4"/>
      <c r="N29" s="4"/>
      <c r="P29" t="s">
        <v>183</v>
      </c>
      <c r="Q29" t="s">
        <v>183</v>
      </c>
      <c r="S29" t="s">
        <v>183</v>
      </c>
      <c r="U29" t="s">
        <v>184</v>
      </c>
    </row>
    <row r="30" spans="1:21">
      <c r="A30" s="7"/>
      <c r="B30" s="7"/>
      <c r="C30" s="7"/>
      <c r="D30" s="5" t="s">
        <v>193</v>
      </c>
      <c r="E30" s="4"/>
      <c r="F30" s="4"/>
      <c r="G30" s="4"/>
      <c r="H30" s="4"/>
      <c r="I30" s="4"/>
      <c r="J30" s="4" t="s">
        <v>183</v>
      </c>
      <c r="K30" s="4"/>
      <c r="L30" s="4"/>
      <c r="M30" s="4"/>
      <c r="N30" s="4"/>
      <c r="P30" t="s">
        <v>183</v>
      </c>
      <c r="Q30" t="s">
        <v>183</v>
      </c>
      <c r="S30" t="s">
        <v>183</v>
      </c>
      <c r="U30" t="s">
        <v>184</v>
      </c>
    </row>
    <row r="31" spans="1:21">
      <c r="A31" s="7"/>
      <c r="B31" s="7"/>
      <c r="C31" s="7"/>
      <c r="D31" s="5" t="s">
        <v>194</v>
      </c>
      <c r="E31" s="4"/>
      <c r="F31" s="4"/>
      <c r="G31" s="4"/>
      <c r="H31" s="4"/>
      <c r="I31" s="4"/>
      <c r="J31" s="4"/>
      <c r="K31" s="4" t="s">
        <v>183</v>
      </c>
      <c r="L31" s="4"/>
      <c r="M31" s="4"/>
      <c r="N31" s="4"/>
      <c r="P31" t="s">
        <v>183</v>
      </c>
      <c r="Q31" t="s">
        <v>183</v>
      </c>
      <c r="S31" t="s">
        <v>183</v>
      </c>
      <c r="U31" t="s">
        <v>184</v>
      </c>
    </row>
    <row r="32" spans="1:21">
      <c r="A32" s="7"/>
      <c r="B32" s="7"/>
      <c r="C32" s="8"/>
      <c r="D32" s="5" t="s">
        <v>173</v>
      </c>
      <c r="E32" s="4"/>
      <c r="F32" s="4"/>
      <c r="G32" s="4"/>
      <c r="H32" s="4"/>
      <c r="I32" s="4"/>
      <c r="J32" s="4"/>
      <c r="K32" s="4"/>
      <c r="L32" s="4" t="s">
        <v>183</v>
      </c>
      <c r="M32" s="4"/>
      <c r="N32" s="4"/>
      <c r="P32" t="s">
        <v>183</v>
      </c>
      <c r="Q32" t="s">
        <v>183</v>
      </c>
      <c r="S32" t="s">
        <v>183</v>
      </c>
      <c r="U32" t="s">
        <v>184</v>
      </c>
    </row>
    <row r="33" spans="1:21">
      <c r="A33" s="7"/>
      <c r="B33" s="7"/>
      <c r="C33" s="6" t="s">
        <v>195</v>
      </c>
      <c r="D33" s="5" t="s">
        <v>182</v>
      </c>
      <c r="E33" s="4" t="s">
        <v>183</v>
      </c>
      <c r="F33" s="4" t="s">
        <v>183</v>
      </c>
      <c r="G33" s="4" t="s">
        <v>183</v>
      </c>
      <c r="H33" s="4" t="s">
        <v>183</v>
      </c>
      <c r="I33" s="4"/>
      <c r="J33" s="4"/>
      <c r="K33" s="4"/>
      <c r="L33" s="4"/>
      <c r="M33" s="4"/>
      <c r="N33" s="4"/>
      <c r="O33" t="s">
        <v>183</v>
      </c>
      <c r="P33" t="s">
        <v>183</v>
      </c>
      <c r="Q33" t="s">
        <v>183</v>
      </c>
      <c r="R33" t="s">
        <v>183</v>
      </c>
      <c r="S33" t="s">
        <v>183</v>
      </c>
      <c r="T33" t="s">
        <v>183</v>
      </c>
      <c r="U33" t="s">
        <v>184</v>
      </c>
    </row>
    <row r="34" spans="1:21">
      <c r="A34" s="7"/>
      <c r="B34" s="7"/>
      <c r="C34" s="11" t="s">
        <v>196</v>
      </c>
      <c r="D34" s="5" t="s">
        <v>187</v>
      </c>
      <c r="E34" s="4" t="s">
        <v>183</v>
      </c>
      <c r="F34" s="4"/>
      <c r="G34" s="4"/>
      <c r="H34" s="4"/>
      <c r="I34" s="4"/>
      <c r="J34" s="4"/>
      <c r="K34" s="4"/>
      <c r="L34" s="4"/>
      <c r="M34" s="4" t="s">
        <v>183</v>
      </c>
      <c r="N34" s="4"/>
      <c r="O34" t="s">
        <v>183</v>
      </c>
      <c r="P34" t="s">
        <v>183</v>
      </c>
      <c r="Q34" t="s">
        <v>183</v>
      </c>
      <c r="R34" t="s">
        <v>183</v>
      </c>
      <c r="S34" t="s">
        <v>183</v>
      </c>
      <c r="T34" t="s">
        <v>183</v>
      </c>
      <c r="U34" t="s">
        <v>184</v>
      </c>
    </row>
    <row r="35" spans="1:21">
      <c r="A35" s="7"/>
      <c r="B35" s="7"/>
      <c r="C35" s="7"/>
      <c r="D35" s="5" t="s">
        <v>188</v>
      </c>
      <c r="E35" s="4" t="s">
        <v>183</v>
      </c>
      <c r="F35" s="4"/>
      <c r="G35" s="4"/>
      <c r="H35" s="4"/>
      <c r="I35" s="4"/>
      <c r="J35" s="4"/>
      <c r="K35" s="4"/>
      <c r="L35" s="4"/>
      <c r="M35" s="4"/>
      <c r="N35" s="4" t="s">
        <v>183</v>
      </c>
      <c r="O35" t="s">
        <v>183</v>
      </c>
      <c r="P35" t="s">
        <v>183</v>
      </c>
      <c r="Q35" t="s">
        <v>183</v>
      </c>
      <c r="R35" t="s">
        <v>183</v>
      </c>
      <c r="S35" t="s">
        <v>183</v>
      </c>
      <c r="T35" t="s">
        <v>183</v>
      </c>
      <c r="U35" t="s">
        <v>184</v>
      </c>
    </row>
    <row r="36" spans="1:21">
      <c r="A36" s="7"/>
      <c r="B36" s="7"/>
      <c r="C36" s="7"/>
      <c r="D36" s="5" t="s">
        <v>189</v>
      </c>
      <c r="E36" s="4" t="s">
        <v>183</v>
      </c>
      <c r="F36" s="4"/>
      <c r="G36" s="4"/>
      <c r="H36" s="4"/>
      <c r="I36" s="4" t="s">
        <v>183</v>
      </c>
      <c r="J36" s="4"/>
      <c r="K36" s="4"/>
      <c r="L36" s="4"/>
      <c r="M36" s="4"/>
      <c r="N36" s="4"/>
      <c r="O36" t="s">
        <v>183</v>
      </c>
      <c r="P36" t="s">
        <v>183</v>
      </c>
      <c r="Q36" t="s">
        <v>183</v>
      </c>
      <c r="R36" t="s">
        <v>183</v>
      </c>
      <c r="S36" t="s">
        <v>183</v>
      </c>
      <c r="T36" t="s">
        <v>183</v>
      </c>
      <c r="U36" t="s">
        <v>184</v>
      </c>
    </row>
    <row r="37" spans="1:21">
      <c r="A37" s="7"/>
      <c r="B37" s="7"/>
      <c r="C37" s="7"/>
      <c r="D37" s="5" t="s">
        <v>190</v>
      </c>
      <c r="E37" s="4" t="s">
        <v>183</v>
      </c>
      <c r="F37" s="4"/>
      <c r="G37" s="4"/>
      <c r="H37" s="4"/>
      <c r="I37" s="4" t="s">
        <v>183</v>
      </c>
      <c r="J37" s="4"/>
      <c r="K37" s="4"/>
      <c r="L37" s="4"/>
      <c r="M37" s="4"/>
      <c r="N37" s="4"/>
      <c r="O37" t="s">
        <v>183</v>
      </c>
      <c r="P37" t="s">
        <v>183</v>
      </c>
      <c r="Q37" t="s">
        <v>183</v>
      </c>
      <c r="R37" t="s">
        <v>183</v>
      </c>
      <c r="S37" t="s">
        <v>183</v>
      </c>
      <c r="T37" t="s">
        <v>183</v>
      </c>
      <c r="U37" t="s">
        <v>184</v>
      </c>
    </row>
    <row r="38" spans="1:21">
      <c r="A38" s="7"/>
      <c r="B38" s="7"/>
      <c r="C38" s="7"/>
      <c r="D38" s="5" t="s">
        <v>191</v>
      </c>
      <c r="E38" s="4" t="s">
        <v>183</v>
      </c>
      <c r="F38" s="4"/>
      <c r="G38" s="4"/>
      <c r="H38" s="4"/>
      <c r="I38" s="4" t="s">
        <v>183</v>
      </c>
      <c r="J38" s="4"/>
      <c r="K38" s="4"/>
      <c r="L38" s="4"/>
      <c r="M38" s="4"/>
      <c r="N38" s="4"/>
      <c r="O38" t="s">
        <v>183</v>
      </c>
      <c r="P38" t="s">
        <v>183</v>
      </c>
      <c r="Q38" t="s">
        <v>183</v>
      </c>
      <c r="R38" t="s">
        <v>183</v>
      </c>
      <c r="S38" t="s">
        <v>183</v>
      </c>
      <c r="T38" t="s">
        <v>183</v>
      </c>
      <c r="U38" t="s">
        <v>184</v>
      </c>
    </row>
    <row r="39" spans="1:21">
      <c r="A39" s="7"/>
      <c r="B39" s="7"/>
      <c r="C39" s="7"/>
      <c r="D39" s="5" t="s">
        <v>192</v>
      </c>
      <c r="E39" s="4" t="s">
        <v>183</v>
      </c>
      <c r="F39" s="4"/>
      <c r="G39" s="4"/>
      <c r="H39" s="4"/>
      <c r="I39" s="4" t="s">
        <v>183</v>
      </c>
      <c r="J39" s="4"/>
      <c r="K39" s="4"/>
      <c r="L39" s="4"/>
      <c r="M39" s="4"/>
      <c r="N39" s="4"/>
      <c r="O39" t="s">
        <v>183</v>
      </c>
      <c r="P39" t="s">
        <v>183</v>
      </c>
      <c r="Q39" t="s">
        <v>183</v>
      </c>
      <c r="R39" t="s">
        <v>183</v>
      </c>
      <c r="S39" t="s">
        <v>183</v>
      </c>
      <c r="T39" t="s">
        <v>183</v>
      </c>
      <c r="U39" t="s">
        <v>184</v>
      </c>
    </row>
    <row r="40" spans="1:21">
      <c r="A40" s="7"/>
      <c r="B40" s="7"/>
      <c r="C40" s="7"/>
      <c r="D40" s="5" t="s">
        <v>193</v>
      </c>
      <c r="E40" s="4" t="s">
        <v>183</v>
      </c>
      <c r="F40" s="4"/>
      <c r="G40" s="4"/>
      <c r="H40" s="4"/>
      <c r="I40" s="4"/>
      <c r="J40" s="4" t="s">
        <v>183</v>
      </c>
      <c r="K40" s="4"/>
      <c r="L40" s="4"/>
      <c r="M40" s="4"/>
      <c r="N40" s="4"/>
      <c r="O40" t="s">
        <v>183</v>
      </c>
      <c r="P40" t="s">
        <v>183</v>
      </c>
      <c r="Q40" t="s">
        <v>183</v>
      </c>
      <c r="R40" t="s">
        <v>183</v>
      </c>
      <c r="S40" t="s">
        <v>183</v>
      </c>
      <c r="T40" t="s">
        <v>183</v>
      </c>
      <c r="U40" t="s">
        <v>184</v>
      </c>
    </row>
    <row r="41" spans="1:21">
      <c r="A41" s="7"/>
      <c r="B41" s="7"/>
      <c r="C41" s="7"/>
      <c r="D41" s="5" t="s">
        <v>194</v>
      </c>
      <c r="E41" s="4" t="s">
        <v>183</v>
      </c>
      <c r="F41" s="4"/>
      <c r="G41" s="4"/>
      <c r="H41" s="4"/>
      <c r="I41" s="4"/>
      <c r="J41" s="4"/>
      <c r="K41" s="4" t="s">
        <v>183</v>
      </c>
      <c r="L41" s="4"/>
      <c r="M41" s="4"/>
      <c r="N41" s="4"/>
      <c r="O41" t="s">
        <v>183</v>
      </c>
      <c r="P41" t="s">
        <v>183</v>
      </c>
      <c r="Q41" t="s">
        <v>183</v>
      </c>
      <c r="R41" t="s">
        <v>183</v>
      </c>
      <c r="S41" t="s">
        <v>183</v>
      </c>
      <c r="T41" t="s">
        <v>183</v>
      </c>
      <c r="U41" t="s">
        <v>184</v>
      </c>
    </row>
    <row r="42" spans="1:21">
      <c r="A42" s="7"/>
      <c r="B42" s="8"/>
      <c r="C42" s="8"/>
      <c r="D42" s="5" t="s">
        <v>173</v>
      </c>
      <c r="E42" s="4" t="s">
        <v>183</v>
      </c>
      <c r="F42" s="4"/>
      <c r="G42" s="4"/>
      <c r="H42" s="4"/>
      <c r="I42" s="4"/>
      <c r="J42" s="4"/>
      <c r="K42" s="4"/>
      <c r="L42" s="4" t="s">
        <v>183</v>
      </c>
      <c r="M42" s="4"/>
      <c r="N42" s="4"/>
      <c r="O42" t="s">
        <v>183</v>
      </c>
      <c r="P42" t="s">
        <v>183</v>
      </c>
      <c r="Q42" t="s">
        <v>183</v>
      </c>
      <c r="R42" t="s">
        <v>183</v>
      </c>
      <c r="S42" t="s">
        <v>183</v>
      </c>
      <c r="T42" t="s">
        <v>183</v>
      </c>
      <c r="U42" t="s">
        <v>184</v>
      </c>
    </row>
    <row r="43" spans="1:21">
      <c r="A43" s="6" t="s">
        <v>47</v>
      </c>
      <c r="B43" s="6" t="s">
        <v>181</v>
      </c>
      <c r="C43" s="6" t="s">
        <v>61</v>
      </c>
      <c r="D43" s="5" t="s">
        <v>182</v>
      </c>
      <c r="E43" s="4"/>
      <c r="F43" s="4" t="s">
        <v>183</v>
      </c>
      <c r="G43" s="4" t="s">
        <v>183</v>
      </c>
      <c r="H43" s="4" t="s">
        <v>183</v>
      </c>
      <c r="I43" s="4"/>
      <c r="J43" s="4"/>
      <c r="K43" s="4"/>
      <c r="L43" s="4"/>
      <c r="M43" s="4"/>
      <c r="N43" s="4"/>
      <c r="S43" t="s">
        <v>183</v>
      </c>
      <c r="U43" t="s">
        <v>184</v>
      </c>
    </row>
    <row r="44" spans="1:21">
      <c r="A44" s="7"/>
      <c r="B44" s="11" t="s">
        <v>185</v>
      </c>
      <c r="C44" s="11" t="s">
        <v>186</v>
      </c>
      <c r="D44" s="5" t="s">
        <v>187</v>
      </c>
      <c r="E44" s="4"/>
      <c r="F44" s="4"/>
      <c r="G44" s="4"/>
      <c r="H44" s="4"/>
      <c r="I44" s="4"/>
      <c r="J44" s="4"/>
      <c r="K44" s="4"/>
      <c r="L44" s="4"/>
      <c r="M44" s="4" t="s">
        <v>183</v>
      </c>
      <c r="N44" s="4"/>
      <c r="S44" t="s">
        <v>183</v>
      </c>
      <c r="U44" t="s">
        <v>184</v>
      </c>
    </row>
    <row r="45" spans="1:21">
      <c r="A45" s="7"/>
      <c r="B45" s="7"/>
      <c r="C45" s="7"/>
      <c r="D45" s="5" t="s">
        <v>188</v>
      </c>
      <c r="E45" s="4"/>
      <c r="F45" s="4"/>
      <c r="G45" s="4"/>
      <c r="H45" s="4"/>
      <c r="I45" s="4"/>
      <c r="J45" s="4"/>
      <c r="K45" s="4"/>
      <c r="L45" s="4"/>
      <c r="M45" s="4"/>
      <c r="N45" s="4" t="s">
        <v>183</v>
      </c>
      <c r="S45" t="s">
        <v>183</v>
      </c>
      <c r="U45" t="s">
        <v>184</v>
      </c>
    </row>
    <row r="46" spans="1:21">
      <c r="A46" s="7"/>
      <c r="B46" s="7"/>
      <c r="C46" s="7"/>
      <c r="D46" s="5" t="s">
        <v>189</v>
      </c>
      <c r="E46" s="4"/>
      <c r="F46" s="4"/>
      <c r="G46" s="4"/>
      <c r="H46" s="4"/>
      <c r="I46" s="4" t="s">
        <v>183</v>
      </c>
      <c r="J46" s="4"/>
      <c r="K46" s="4"/>
      <c r="L46" s="4"/>
      <c r="M46" s="4"/>
      <c r="N46" s="4"/>
      <c r="S46" t="s">
        <v>183</v>
      </c>
      <c r="U46" t="s">
        <v>199</v>
      </c>
    </row>
    <row r="47" spans="1:21">
      <c r="A47" s="7"/>
      <c r="B47" s="7"/>
      <c r="C47" s="7"/>
      <c r="D47" s="5" t="s">
        <v>190</v>
      </c>
      <c r="E47" s="4"/>
      <c r="F47" s="4"/>
      <c r="G47" s="4"/>
      <c r="H47" s="4"/>
      <c r="I47" s="4" t="s">
        <v>183</v>
      </c>
      <c r="J47" s="4"/>
      <c r="K47" s="4"/>
      <c r="L47" s="4"/>
      <c r="M47" s="4"/>
      <c r="N47" s="4"/>
      <c r="S47" t="s">
        <v>183</v>
      </c>
      <c r="U47" t="s">
        <v>199</v>
      </c>
    </row>
    <row r="48" spans="1:21">
      <c r="A48" s="7"/>
      <c r="B48" s="7"/>
      <c r="C48" s="7"/>
      <c r="D48" s="5" t="s">
        <v>191</v>
      </c>
      <c r="E48" s="4"/>
      <c r="F48" s="4"/>
      <c r="G48" s="4"/>
      <c r="H48" s="4"/>
      <c r="I48" s="4" t="s">
        <v>183</v>
      </c>
      <c r="J48" s="4"/>
      <c r="K48" s="4"/>
      <c r="L48" s="4"/>
      <c r="M48" s="4"/>
      <c r="N48" s="4"/>
      <c r="S48" t="s">
        <v>183</v>
      </c>
      <c r="U48" t="s">
        <v>199</v>
      </c>
    </row>
    <row r="49" spans="1:21">
      <c r="A49" s="7"/>
      <c r="B49" s="7"/>
      <c r="C49" s="7"/>
      <c r="D49" s="5" t="s">
        <v>192</v>
      </c>
      <c r="E49" s="4"/>
      <c r="F49" s="4"/>
      <c r="G49" s="4"/>
      <c r="H49" s="4"/>
      <c r="I49" s="4" t="s">
        <v>183</v>
      </c>
      <c r="J49" s="4"/>
      <c r="K49" s="4"/>
      <c r="L49" s="4"/>
      <c r="M49" s="4"/>
      <c r="N49" s="4"/>
      <c r="S49" t="s">
        <v>183</v>
      </c>
      <c r="U49" t="s">
        <v>199</v>
      </c>
    </row>
    <row r="50" spans="1:21">
      <c r="A50" s="7"/>
      <c r="B50" s="7"/>
      <c r="C50" s="7"/>
      <c r="D50" s="5" t="s">
        <v>193</v>
      </c>
      <c r="E50" s="4"/>
      <c r="F50" s="4"/>
      <c r="G50" s="4"/>
      <c r="H50" s="4"/>
      <c r="I50" s="4"/>
      <c r="J50" s="16" t="s">
        <v>183</v>
      </c>
      <c r="K50" s="4"/>
      <c r="L50" s="4"/>
      <c r="M50" s="4"/>
      <c r="N50" s="4"/>
      <c r="S50" t="s">
        <v>183</v>
      </c>
      <c r="U50" t="s">
        <v>200</v>
      </c>
    </row>
    <row r="51" spans="1:21">
      <c r="A51" s="7"/>
      <c r="B51" s="7"/>
      <c r="C51" s="7"/>
      <c r="D51" s="5" t="s">
        <v>194</v>
      </c>
      <c r="E51" s="4"/>
      <c r="F51" s="4"/>
      <c r="G51" s="4"/>
      <c r="H51" s="4"/>
      <c r="I51" s="4"/>
      <c r="J51" s="4"/>
      <c r="K51" s="16" t="s">
        <v>183</v>
      </c>
      <c r="L51" s="4"/>
      <c r="M51" s="4"/>
      <c r="N51" s="4"/>
      <c r="S51" t="s">
        <v>183</v>
      </c>
      <c r="U51" t="s">
        <v>200</v>
      </c>
    </row>
    <row r="52" spans="1:21">
      <c r="A52" s="7"/>
      <c r="B52" s="7"/>
      <c r="C52" s="8"/>
      <c r="D52" s="5" t="s">
        <v>173</v>
      </c>
      <c r="E52" s="4"/>
      <c r="F52" s="4"/>
      <c r="G52" s="4"/>
      <c r="H52" s="4"/>
      <c r="I52" s="4"/>
      <c r="J52" s="4"/>
      <c r="K52" s="4"/>
      <c r="L52" s="16" t="s">
        <v>183</v>
      </c>
      <c r="M52" s="4"/>
      <c r="N52" s="4"/>
      <c r="S52" t="s">
        <v>183</v>
      </c>
      <c r="U52" t="s">
        <v>200</v>
      </c>
    </row>
    <row r="53" spans="1:21">
      <c r="A53" s="7"/>
      <c r="B53" s="7"/>
      <c r="C53" s="6" t="s">
        <v>195</v>
      </c>
      <c r="D53" s="5" t="s">
        <v>182</v>
      </c>
      <c r="E53" s="4" t="s">
        <v>183</v>
      </c>
      <c r="F53" s="4" t="s">
        <v>183</v>
      </c>
      <c r="G53" s="4" t="s">
        <v>183</v>
      </c>
      <c r="H53" s="4" t="s">
        <v>183</v>
      </c>
      <c r="I53" s="4"/>
      <c r="J53" s="4"/>
      <c r="K53" s="4"/>
      <c r="L53" s="4"/>
      <c r="M53" s="4"/>
      <c r="N53" s="4"/>
      <c r="O53" t="s">
        <v>183</v>
      </c>
      <c r="R53" t="s">
        <v>183</v>
      </c>
      <c r="S53" t="s">
        <v>183</v>
      </c>
      <c r="T53" t="s">
        <v>183</v>
      </c>
      <c r="U53" t="s">
        <v>184</v>
      </c>
    </row>
    <row r="54" spans="1:21">
      <c r="A54" s="7"/>
      <c r="B54" s="7"/>
      <c r="C54" s="11" t="s">
        <v>196</v>
      </c>
      <c r="D54" s="5" t="s">
        <v>187</v>
      </c>
      <c r="E54" s="4" t="s">
        <v>183</v>
      </c>
      <c r="F54" s="4"/>
      <c r="G54" s="4"/>
      <c r="H54" s="4"/>
      <c r="I54" s="4"/>
      <c r="J54" s="4"/>
      <c r="K54" s="4"/>
      <c r="L54" s="4"/>
      <c r="M54" s="4" t="s">
        <v>183</v>
      </c>
      <c r="N54" s="4"/>
      <c r="O54" t="s">
        <v>183</v>
      </c>
      <c r="R54" t="s">
        <v>183</v>
      </c>
      <c r="S54" t="s">
        <v>183</v>
      </c>
      <c r="T54" t="s">
        <v>183</v>
      </c>
      <c r="U54" t="s">
        <v>184</v>
      </c>
    </row>
    <row r="55" spans="1:21">
      <c r="A55" s="7"/>
      <c r="B55" s="7"/>
      <c r="C55" s="7"/>
      <c r="D55" s="5" t="s">
        <v>188</v>
      </c>
      <c r="E55" s="4" t="s">
        <v>183</v>
      </c>
      <c r="F55" s="4"/>
      <c r="G55" s="4"/>
      <c r="H55" s="4"/>
      <c r="I55" s="4"/>
      <c r="J55" s="4"/>
      <c r="K55" s="4"/>
      <c r="L55" s="4"/>
      <c r="M55" s="4"/>
      <c r="N55" s="4" t="s">
        <v>183</v>
      </c>
      <c r="O55" t="s">
        <v>183</v>
      </c>
      <c r="R55" t="s">
        <v>183</v>
      </c>
      <c r="S55" t="s">
        <v>183</v>
      </c>
      <c r="T55" t="s">
        <v>183</v>
      </c>
      <c r="U55" t="s">
        <v>184</v>
      </c>
    </row>
    <row r="56" spans="1:21">
      <c r="A56" s="7"/>
      <c r="B56" s="7"/>
      <c r="C56" s="7"/>
      <c r="D56" s="5" t="s">
        <v>189</v>
      </c>
      <c r="E56" s="4" t="s">
        <v>183</v>
      </c>
      <c r="F56" s="4"/>
      <c r="G56" s="4"/>
      <c r="H56" s="4"/>
      <c r="I56" s="4" t="s">
        <v>183</v>
      </c>
      <c r="J56" s="4"/>
      <c r="K56" s="4"/>
      <c r="L56" s="4"/>
      <c r="M56" s="4"/>
      <c r="N56" s="4"/>
      <c r="O56" t="s">
        <v>183</v>
      </c>
      <c r="R56" t="s">
        <v>183</v>
      </c>
      <c r="S56" t="s">
        <v>183</v>
      </c>
      <c r="T56" t="s">
        <v>183</v>
      </c>
      <c r="U56" t="s">
        <v>199</v>
      </c>
    </row>
    <row r="57" spans="1:21">
      <c r="A57" s="7"/>
      <c r="B57" s="7"/>
      <c r="C57" s="7"/>
      <c r="D57" s="5" t="s">
        <v>190</v>
      </c>
      <c r="E57" s="4" t="s">
        <v>183</v>
      </c>
      <c r="F57" s="4"/>
      <c r="G57" s="4"/>
      <c r="H57" s="4"/>
      <c r="I57" s="4" t="s">
        <v>183</v>
      </c>
      <c r="J57" s="4"/>
      <c r="K57" s="4"/>
      <c r="L57" s="4"/>
      <c r="M57" s="4"/>
      <c r="N57" s="4"/>
      <c r="O57" t="s">
        <v>183</v>
      </c>
      <c r="R57" t="s">
        <v>183</v>
      </c>
      <c r="S57" t="s">
        <v>183</v>
      </c>
      <c r="T57" t="s">
        <v>183</v>
      </c>
      <c r="U57" t="s">
        <v>199</v>
      </c>
    </row>
    <row r="58" spans="1:21">
      <c r="A58" s="7"/>
      <c r="B58" s="7"/>
      <c r="C58" s="7"/>
      <c r="D58" s="5" t="s">
        <v>191</v>
      </c>
      <c r="E58" s="4" t="s">
        <v>183</v>
      </c>
      <c r="F58" s="4"/>
      <c r="G58" s="4"/>
      <c r="H58" s="4"/>
      <c r="I58" s="4" t="s">
        <v>183</v>
      </c>
      <c r="J58" s="4"/>
      <c r="K58" s="4"/>
      <c r="L58" s="4"/>
      <c r="M58" s="4"/>
      <c r="N58" s="4"/>
      <c r="O58" t="s">
        <v>183</v>
      </c>
      <c r="R58" t="s">
        <v>183</v>
      </c>
      <c r="S58" t="s">
        <v>183</v>
      </c>
      <c r="T58" t="s">
        <v>183</v>
      </c>
      <c r="U58" t="s">
        <v>199</v>
      </c>
    </row>
    <row r="59" spans="1:21">
      <c r="A59" s="7"/>
      <c r="B59" s="7"/>
      <c r="C59" s="7"/>
      <c r="D59" s="5" t="s">
        <v>192</v>
      </c>
      <c r="E59" s="4" t="s">
        <v>183</v>
      </c>
      <c r="F59" s="4"/>
      <c r="G59" s="4"/>
      <c r="H59" s="4"/>
      <c r="I59" s="4" t="s">
        <v>183</v>
      </c>
      <c r="J59" s="4"/>
      <c r="K59" s="4"/>
      <c r="L59" s="4"/>
      <c r="M59" s="4"/>
      <c r="N59" s="4"/>
      <c r="O59" t="s">
        <v>183</v>
      </c>
      <c r="R59" t="s">
        <v>183</v>
      </c>
      <c r="S59" t="s">
        <v>183</v>
      </c>
      <c r="T59" t="s">
        <v>183</v>
      </c>
      <c r="U59" t="s">
        <v>199</v>
      </c>
    </row>
    <row r="60" spans="1:21">
      <c r="A60" s="7"/>
      <c r="B60" s="7"/>
      <c r="C60" s="7"/>
      <c r="D60" s="5" t="s">
        <v>193</v>
      </c>
      <c r="E60" s="4" t="s">
        <v>183</v>
      </c>
      <c r="F60" s="4"/>
      <c r="G60" s="4"/>
      <c r="H60" s="4"/>
      <c r="I60" s="4"/>
      <c r="J60" s="16" t="s">
        <v>183</v>
      </c>
      <c r="K60" s="4"/>
      <c r="L60" s="4"/>
      <c r="M60" s="4"/>
      <c r="N60" s="4"/>
      <c r="O60" t="s">
        <v>183</v>
      </c>
      <c r="R60" t="s">
        <v>183</v>
      </c>
      <c r="S60" t="s">
        <v>183</v>
      </c>
      <c r="T60" t="s">
        <v>183</v>
      </c>
      <c r="U60" t="s">
        <v>200</v>
      </c>
    </row>
    <row r="61" spans="1:21">
      <c r="A61" s="7"/>
      <c r="B61" s="7"/>
      <c r="C61" s="7"/>
      <c r="D61" s="5" t="s">
        <v>194</v>
      </c>
      <c r="E61" s="4" t="s">
        <v>183</v>
      </c>
      <c r="F61" s="4"/>
      <c r="G61" s="4"/>
      <c r="H61" s="4"/>
      <c r="I61" s="4"/>
      <c r="J61" s="4"/>
      <c r="K61" s="16" t="s">
        <v>183</v>
      </c>
      <c r="L61" s="4"/>
      <c r="M61" s="4"/>
      <c r="N61" s="4"/>
      <c r="O61" t="s">
        <v>183</v>
      </c>
      <c r="R61" t="s">
        <v>183</v>
      </c>
      <c r="S61" t="s">
        <v>183</v>
      </c>
      <c r="T61" t="s">
        <v>183</v>
      </c>
      <c r="U61" t="s">
        <v>200</v>
      </c>
    </row>
    <row r="62" spans="1:21">
      <c r="A62" s="7"/>
      <c r="B62" s="8"/>
      <c r="C62" s="8"/>
      <c r="D62" s="5" t="s">
        <v>173</v>
      </c>
      <c r="E62" s="4" t="s">
        <v>183</v>
      </c>
      <c r="F62" s="4"/>
      <c r="G62" s="4"/>
      <c r="H62" s="4"/>
      <c r="I62" s="4"/>
      <c r="J62" s="4"/>
      <c r="K62" s="4"/>
      <c r="L62" s="16" t="s">
        <v>183</v>
      </c>
      <c r="M62" s="4"/>
      <c r="N62" s="4"/>
      <c r="O62" t="s">
        <v>183</v>
      </c>
      <c r="R62" t="s">
        <v>183</v>
      </c>
      <c r="S62" t="s">
        <v>183</v>
      </c>
      <c r="T62" t="s">
        <v>183</v>
      </c>
      <c r="U62" t="s">
        <v>200</v>
      </c>
    </row>
    <row r="63" spans="1:21">
      <c r="A63" s="7"/>
      <c r="B63" s="7" t="s">
        <v>197</v>
      </c>
      <c r="C63" s="6" t="s">
        <v>61</v>
      </c>
      <c r="D63" s="5" t="s">
        <v>182</v>
      </c>
      <c r="E63" s="4"/>
      <c r="F63" s="15" t="s">
        <v>183</v>
      </c>
      <c r="G63" s="4"/>
      <c r="H63" s="4" t="s">
        <v>183</v>
      </c>
      <c r="I63" s="4"/>
      <c r="J63" s="4"/>
      <c r="K63" s="4"/>
      <c r="L63" s="4"/>
      <c r="M63" s="4"/>
      <c r="N63" s="4"/>
      <c r="S63" t="s">
        <v>183</v>
      </c>
      <c r="U63" t="s">
        <v>184</v>
      </c>
    </row>
    <row r="64" spans="1:21">
      <c r="A64" s="7"/>
      <c r="B64" s="7"/>
      <c r="C64" s="11" t="s">
        <v>186</v>
      </c>
      <c r="D64" s="5" t="s">
        <v>187</v>
      </c>
      <c r="E64" s="4"/>
      <c r="F64" s="4"/>
      <c r="G64" s="4"/>
      <c r="H64" s="4"/>
      <c r="I64" s="4"/>
      <c r="J64" s="4"/>
      <c r="K64" s="4"/>
      <c r="L64" s="4"/>
      <c r="M64" s="4" t="s">
        <v>183</v>
      </c>
      <c r="N64" s="4"/>
      <c r="S64" t="s">
        <v>183</v>
      </c>
      <c r="U64" t="s">
        <v>184</v>
      </c>
    </row>
    <row r="65" spans="1:21">
      <c r="A65" s="7"/>
      <c r="B65" s="7"/>
      <c r="C65" s="7"/>
      <c r="D65" s="5" t="s">
        <v>188</v>
      </c>
      <c r="E65" s="4"/>
      <c r="F65" s="4"/>
      <c r="G65" s="4"/>
      <c r="H65" s="4"/>
      <c r="I65" s="4"/>
      <c r="J65" s="4"/>
      <c r="K65" s="4"/>
      <c r="L65" s="4"/>
      <c r="M65" s="4"/>
      <c r="N65" s="4" t="s">
        <v>183</v>
      </c>
      <c r="S65" t="s">
        <v>183</v>
      </c>
      <c r="U65" t="s">
        <v>184</v>
      </c>
    </row>
    <row r="66" spans="1:21">
      <c r="A66" s="7"/>
      <c r="B66" s="7"/>
      <c r="C66" s="7"/>
      <c r="D66" s="5" t="s">
        <v>189</v>
      </c>
      <c r="E66" s="4"/>
      <c r="F66" s="4"/>
      <c r="G66" s="4"/>
      <c r="H66" s="4"/>
      <c r="I66" s="4" t="s">
        <v>183</v>
      </c>
      <c r="J66" s="4"/>
      <c r="K66" s="4"/>
      <c r="L66" s="4"/>
      <c r="M66" s="4"/>
      <c r="N66" s="4"/>
      <c r="S66" t="s">
        <v>183</v>
      </c>
      <c r="U66" t="s">
        <v>199</v>
      </c>
    </row>
    <row r="67" spans="1:21">
      <c r="A67" s="7"/>
      <c r="B67" s="7"/>
      <c r="C67" s="7"/>
      <c r="D67" s="5" t="s">
        <v>190</v>
      </c>
      <c r="E67" s="4"/>
      <c r="F67" s="4"/>
      <c r="G67" s="4"/>
      <c r="H67" s="4"/>
      <c r="I67" s="4" t="s">
        <v>183</v>
      </c>
      <c r="J67" s="4"/>
      <c r="K67" s="4"/>
      <c r="L67" s="4"/>
      <c r="M67" s="4"/>
      <c r="N67" s="4"/>
      <c r="S67" t="s">
        <v>183</v>
      </c>
      <c r="U67" t="s">
        <v>199</v>
      </c>
    </row>
    <row r="68" spans="1:21">
      <c r="A68" s="7"/>
      <c r="B68" s="7"/>
      <c r="C68" s="7"/>
      <c r="D68" s="5" t="s">
        <v>191</v>
      </c>
      <c r="E68" s="4"/>
      <c r="F68" s="4"/>
      <c r="G68" s="4"/>
      <c r="H68" s="4"/>
      <c r="I68" s="4" t="s">
        <v>183</v>
      </c>
      <c r="J68" s="4"/>
      <c r="K68" s="4"/>
      <c r="L68" s="4"/>
      <c r="M68" s="4"/>
      <c r="N68" s="4"/>
      <c r="S68" t="s">
        <v>183</v>
      </c>
      <c r="U68" t="s">
        <v>199</v>
      </c>
    </row>
    <row r="69" spans="1:21">
      <c r="A69" s="7"/>
      <c r="B69" s="7"/>
      <c r="C69" s="7"/>
      <c r="D69" s="5" t="s">
        <v>192</v>
      </c>
      <c r="E69" s="4"/>
      <c r="F69" s="4"/>
      <c r="G69" s="4"/>
      <c r="H69" s="4"/>
      <c r="I69" s="4" t="s">
        <v>183</v>
      </c>
      <c r="J69" s="4"/>
      <c r="K69" s="4"/>
      <c r="L69" s="4"/>
      <c r="M69" s="4"/>
      <c r="N69" s="4"/>
      <c r="S69" t="s">
        <v>183</v>
      </c>
      <c r="U69" t="s">
        <v>199</v>
      </c>
    </row>
    <row r="70" spans="1:21">
      <c r="A70" s="7"/>
      <c r="B70" s="7"/>
      <c r="C70" s="7"/>
      <c r="D70" s="5" t="s">
        <v>193</v>
      </c>
      <c r="E70" s="4"/>
      <c r="F70" s="4"/>
      <c r="G70" s="4"/>
      <c r="H70" s="4"/>
      <c r="I70" s="4"/>
      <c r="J70" s="16" t="s">
        <v>183</v>
      </c>
      <c r="K70" s="4"/>
      <c r="L70" s="4"/>
      <c r="M70" s="4"/>
      <c r="N70" s="4"/>
      <c r="S70" t="s">
        <v>183</v>
      </c>
      <c r="U70" t="s">
        <v>200</v>
      </c>
    </row>
    <row r="71" spans="1:21">
      <c r="A71" s="7"/>
      <c r="B71" s="7"/>
      <c r="C71" s="7"/>
      <c r="D71" s="5" t="s">
        <v>194</v>
      </c>
      <c r="E71" s="4"/>
      <c r="F71" s="4"/>
      <c r="G71" s="4"/>
      <c r="H71" s="4"/>
      <c r="I71" s="4"/>
      <c r="J71" s="4"/>
      <c r="K71" s="16" t="s">
        <v>183</v>
      </c>
      <c r="L71" s="4"/>
      <c r="M71" s="4"/>
      <c r="N71" s="4"/>
      <c r="S71" t="s">
        <v>183</v>
      </c>
      <c r="U71" t="s">
        <v>200</v>
      </c>
    </row>
    <row r="72" spans="1:21">
      <c r="A72" s="7"/>
      <c r="B72" s="7"/>
      <c r="C72" s="8"/>
      <c r="D72" s="5" t="s">
        <v>173</v>
      </c>
      <c r="E72" s="4"/>
      <c r="F72" s="4"/>
      <c r="G72" s="4"/>
      <c r="H72" s="4"/>
      <c r="I72" s="4"/>
      <c r="J72" s="4"/>
      <c r="K72" s="4"/>
      <c r="L72" s="16" t="s">
        <v>183</v>
      </c>
      <c r="M72" s="4"/>
      <c r="N72" s="4"/>
      <c r="S72" t="s">
        <v>183</v>
      </c>
      <c r="U72" t="s">
        <v>200</v>
      </c>
    </row>
    <row r="73" spans="1:21">
      <c r="A73" s="7"/>
      <c r="B73" s="7"/>
      <c r="C73" s="6" t="s">
        <v>195</v>
      </c>
      <c r="D73" s="5" t="s">
        <v>182</v>
      </c>
      <c r="E73" s="4" t="s">
        <v>183</v>
      </c>
      <c r="F73" s="15" t="s">
        <v>183</v>
      </c>
      <c r="G73" s="4" t="s">
        <v>183</v>
      </c>
      <c r="H73" s="4" t="s">
        <v>183</v>
      </c>
      <c r="I73" s="4"/>
      <c r="J73" s="4"/>
      <c r="K73" s="4"/>
      <c r="L73" s="4"/>
      <c r="M73" s="4"/>
      <c r="N73" s="4"/>
      <c r="O73" t="s">
        <v>183</v>
      </c>
      <c r="R73" t="s">
        <v>183</v>
      </c>
      <c r="S73" t="s">
        <v>183</v>
      </c>
      <c r="T73" t="s">
        <v>183</v>
      </c>
      <c r="U73" t="s">
        <v>184</v>
      </c>
    </row>
    <row r="74" spans="1:21">
      <c r="A74" s="7"/>
      <c r="B74" s="7"/>
      <c r="C74" s="11" t="s">
        <v>196</v>
      </c>
      <c r="D74" s="5" t="s">
        <v>187</v>
      </c>
      <c r="E74" s="4" t="s">
        <v>183</v>
      </c>
      <c r="F74" s="4"/>
      <c r="G74" s="4"/>
      <c r="H74" s="4"/>
      <c r="I74" s="4"/>
      <c r="J74" s="4"/>
      <c r="K74" s="4"/>
      <c r="L74" s="4"/>
      <c r="M74" s="4" t="s">
        <v>183</v>
      </c>
      <c r="N74" s="4"/>
      <c r="O74" t="s">
        <v>183</v>
      </c>
      <c r="R74" t="s">
        <v>183</v>
      </c>
      <c r="S74" t="s">
        <v>183</v>
      </c>
      <c r="T74" t="s">
        <v>183</v>
      </c>
      <c r="U74" t="s">
        <v>184</v>
      </c>
    </row>
    <row r="75" spans="1:21">
      <c r="A75" s="7"/>
      <c r="B75" s="7"/>
      <c r="C75" s="7"/>
      <c r="D75" s="5" t="s">
        <v>188</v>
      </c>
      <c r="E75" s="4" t="s">
        <v>183</v>
      </c>
      <c r="F75" s="4"/>
      <c r="G75" s="4"/>
      <c r="H75" s="4"/>
      <c r="I75" s="4"/>
      <c r="J75" s="4"/>
      <c r="K75" s="4"/>
      <c r="L75" s="4"/>
      <c r="M75" s="4"/>
      <c r="N75" s="4" t="s">
        <v>183</v>
      </c>
      <c r="O75" t="s">
        <v>183</v>
      </c>
      <c r="R75" t="s">
        <v>183</v>
      </c>
      <c r="S75" t="s">
        <v>183</v>
      </c>
      <c r="T75" t="s">
        <v>183</v>
      </c>
      <c r="U75" t="s">
        <v>184</v>
      </c>
    </row>
    <row r="76" spans="1:21">
      <c r="A76" s="7"/>
      <c r="B76" s="7"/>
      <c r="C76" s="7"/>
      <c r="D76" s="5" t="s">
        <v>189</v>
      </c>
      <c r="E76" s="4" t="s">
        <v>183</v>
      </c>
      <c r="F76" s="4"/>
      <c r="G76" s="4"/>
      <c r="H76" s="4"/>
      <c r="I76" s="4" t="s">
        <v>183</v>
      </c>
      <c r="J76" s="4"/>
      <c r="K76" s="4"/>
      <c r="L76" s="4"/>
      <c r="M76" s="4"/>
      <c r="N76" s="4"/>
      <c r="O76" t="s">
        <v>183</v>
      </c>
      <c r="R76" t="s">
        <v>183</v>
      </c>
      <c r="S76" t="s">
        <v>183</v>
      </c>
      <c r="T76" t="s">
        <v>183</v>
      </c>
      <c r="U76" t="s">
        <v>199</v>
      </c>
    </row>
    <row r="77" spans="1:21">
      <c r="A77" s="7"/>
      <c r="B77" s="7"/>
      <c r="C77" s="7"/>
      <c r="D77" s="5" t="s">
        <v>190</v>
      </c>
      <c r="E77" s="4" t="s">
        <v>183</v>
      </c>
      <c r="F77" s="4"/>
      <c r="G77" s="4"/>
      <c r="H77" s="4"/>
      <c r="I77" s="4" t="s">
        <v>183</v>
      </c>
      <c r="J77" s="4"/>
      <c r="K77" s="4"/>
      <c r="L77" s="4"/>
      <c r="M77" s="4"/>
      <c r="N77" s="4"/>
      <c r="O77" t="s">
        <v>183</v>
      </c>
      <c r="R77" t="s">
        <v>183</v>
      </c>
      <c r="S77" t="s">
        <v>183</v>
      </c>
      <c r="T77" t="s">
        <v>183</v>
      </c>
      <c r="U77" t="s">
        <v>199</v>
      </c>
    </row>
    <row r="78" spans="1:21">
      <c r="A78" s="7"/>
      <c r="B78" s="7"/>
      <c r="C78" s="7"/>
      <c r="D78" s="5" t="s">
        <v>191</v>
      </c>
      <c r="E78" s="4" t="s">
        <v>183</v>
      </c>
      <c r="F78" s="4"/>
      <c r="G78" s="4"/>
      <c r="H78" s="4"/>
      <c r="I78" s="4" t="s">
        <v>183</v>
      </c>
      <c r="J78" s="4"/>
      <c r="K78" s="4"/>
      <c r="L78" s="4"/>
      <c r="M78" s="4"/>
      <c r="N78" s="4"/>
      <c r="O78" t="s">
        <v>183</v>
      </c>
      <c r="R78" t="s">
        <v>183</v>
      </c>
      <c r="S78" t="s">
        <v>183</v>
      </c>
      <c r="T78" t="s">
        <v>183</v>
      </c>
      <c r="U78" t="s">
        <v>199</v>
      </c>
    </row>
    <row r="79" spans="1:21">
      <c r="A79" s="7"/>
      <c r="B79" s="7"/>
      <c r="C79" s="7"/>
      <c r="D79" s="5" t="s">
        <v>192</v>
      </c>
      <c r="E79" s="4" t="s">
        <v>183</v>
      </c>
      <c r="F79" s="4"/>
      <c r="G79" s="4"/>
      <c r="H79" s="4"/>
      <c r="I79" s="4" t="s">
        <v>183</v>
      </c>
      <c r="J79" s="4"/>
      <c r="K79" s="4"/>
      <c r="L79" s="4"/>
      <c r="M79" s="4"/>
      <c r="N79" s="4"/>
      <c r="O79" t="s">
        <v>183</v>
      </c>
      <c r="R79" t="s">
        <v>183</v>
      </c>
      <c r="S79" t="s">
        <v>183</v>
      </c>
      <c r="T79" t="s">
        <v>183</v>
      </c>
      <c r="U79" t="s">
        <v>199</v>
      </c>
    </row>
    <row r="80" spans="1:21">
      <c r="A80" s="7"/>
      <c r="B80" s="7"/>
      <c r="C80" s="7"/>
      <c r="D80" s="5" t="s">
        <v>193</v>
      </c>
      <c r="E80" s="4" t="s">
        <v>183</v>
      </c>
      <c r="F80" s="4"/>
      <c r="G80" s="4"/>
      <c r="H80" s="4"/>
      <c r="I80" s="4"/>
      <c r="J80" s="16" t="s">
        <v>183</v>
      </c>
      <c r="K80" s="4"/>
      <c r="L80" s="4"/>
      <c r="M80" s="4"/>
      <c r="N80" s="4"/>
      <c r="O80" t="s">
        <v>183</v>
      </c>
      <c r="R80" t="s">
        <v>183</v>
      </c>
      <c r="S80" t="s">
        <v>183</v>
      </c>
      <c r="T80" t="s">
        <v>183</v>
      </c>
      <c r="U80" t="s">
        <v>200</v>
      </c>
    </row>
    <row r="81" spans="1:21">
      <c r="A81" s="7"/>
      <c r="B81" s="7"/>
      <c r="C81" s="7"/>
      <c r="D81" s="5" t="s">
        <v>194</v>
      </c>
      <c r="E81" s="4" t="s">
        <v>183</v>
      </c>
      <c r="F81" s="4"/>
      <c r="G81" s="4"/>
      <c r="H81" s="4"/>
      <c r="I81" s="4"/>
      <c r="J81" s="4"/>
      <c r="K81" s="16" t="s">
        <v>183</v>
      </c>
      <c r="L81" s="4"/>
      <c r="M81" s="4"/>
      <c r="N81" s="4"/>
      <c r="O81" t="s">
        <v>183</v>
      </c>
      <c r="R81" t="s">
        <v>183</v>
      </c>
      <c r="S81" t="s">
        <v>183</v>
      </c>
      <c r="T81" t="s">
        <v>183</v>
      </c>
      <c r="U81" t="s">
        <v>200</v>
      </c>
    </row>
    <row r="82" spans="1:21">
      <c r="A82" s="7"/>
      <c r="B82" s="8"/>
      <c r="C82" s="8"/>
      <c r="D82" s="5" t="s">
        <v>173</v>
      </c>
      <c r="E82" s="4" t="s">
        <v>183</v>
      </c>
      <c r="F82" s="4"/>
      <c r="G82" s="4"/>
      <c r="H82" s="4"/>
      <c r="I82" s="4"/>
      <c r="J82" s="4"/>
      <c r="K82" s="4"/>
      <c r="L82" s="16" t="s">
        <v>183</v>
      </c>
      <c r="M82" s="4"/>
      <c r="N82" s="4"/>
      <c r="O82" t="s">
        <v>183</v>
      </c>
      <c r="R82" t="s">
        <v>183</v>
      </c>
      <c r="S82" t="s">
        <v>183</v>
      </c>
      <c r="T82" t="s">
        <v>183</v>
      </c>
      <c r="U82" t="s">
        <v>200</v>
      </c>
    </row>
    <row r="83" spans="1:21">
      <c r="A83" s="8"/>
      <c r="B83" s="9" t="s">
        <v>198</v>
      </c>
      <c r="C83" s="10"/>
      <c r="D83" s="12" t="s">
        <v>201</v>
      </c>
      <c r="E83" s="4" t="s">
        <v>183</v>
      </c>
      <c r="F83" s="4" t="s">
        <v>183</v>
      </c>
      <c r="G83" s="4" t="s">
        <v>183</v>
      </c>
      <c r="H83" s="4" t="s">
        <v>183</v>
      </c>
      <c r="I83" s="4" t="s">
        <v>183</v>
      </c>
      <c r="J83" s="4"/>
      <c r="K83" s="4"/>
      <c r="L83" s="4"/>
      <c r="M83" s="4"/>
      <c r="N83" s="4"/>
      <c r="O83" t="s">
        <v>183</v>
      </c>
      <c r="R83" t="s">
        <v>183</v>
      </c>
      <c r="T83" t="s">
        <v>183</v>
      </c>
      <c r="U83" t="s">
        <v>184</v>
      </c>
    </row>
  </sheetData>
  <phoneticPr fontId="7"/>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I72"/>
  <sheetViews>
    <sheetView showGridLines="0" zoomScaleNormal="100" workbookViewId="0"/>
  </sheetViews>
  <sheetFormatPr defaultColWidth="4.83203125" defaultRowHeight="11.5"/>
  <cols>
    <col min="1" max="1" width="4.83203125" style="207"/>
    <col min="2" max="6" width="5.25" style="207" customWidth="1"/>
    <col min="7" max="9" width="4.25" style="207" customWidth="1"/>
    <col min="10" max="23" width="5.25" style="207" customWidth="1"/>
    <col min="24" max="24" width="18" style="207" customWidth="1"/>
    <col min="25" max="25" width="4.83203125" style="207" customWidth="1"/>
    <col min="26" max="26" width="4.83203125" style="207"/>
    <col min="27" max="27" width="7.83203125" style="207" hidden="1" customWidth="1"/>
    <col min="28" max="28" width="6.75" style="207" hidden="1" customWidth="1"/>
    <col min="29" max="29" width="4.83203125" style="207"/>
    <col min="30" max="30" width="21" style="207" bestFit="1" customWidth="1"/>
    <col min="31" max="31" width="15.58203125" style="207" bestFit="1" customWidth="1"/>
    <col min="32" max="32" width="14.25" style="207" bestFit="1" customWidth="1"/>
    <col min="33" max="33" width="12.75" style="207" bestFit="1" customWidth="1"/>
    <col min="34" max="16384" width="4.83203125" style="207"/>
  </cols>
  <sheetData>
    <row r="1" spans="2:28">
      <c r="AA1" s="208" t="s">
        <v>202</v>
      </c>
      <c r="AB1" s="209" t="s">
        <v>203</v>
      </c>
    </row>
    <row r="2" spans="2:28" ht="19.399999999999999" customHeight="1">
      <c r="B2" s="339" t="s">
        <v>204</v>
      </c>
      <c r="C2" s="340"/>
      <c r="D2" s="340"/>
      <c r="E2" s="340"/>
      <c r="F2" s="341"/>
      <c r="G2" s="210"/>
      <c r="H2" s="345" t="s">
        <v>205</v>
      </c>
      <c r="I2" s="345"/>
      <c r="J2" s="345"/>
      <c r="K2" s="345"/>
      <c r="L2" s="345"/>
      <c r="M2" s="345"/>
      <c r="N2" s="345"/>
      <c r="O2" s="345"/>
      <c r="P2" s="345"/>
      <c r="Q2" s="345"/>
      <c r="R2" s="345"/>
      <c r="S2" s="345"/>
      <c r="T2" s="345"/>
      <c r="U2" s="345"/>
      <c r="V2" s="345"/>
      <c r="W2" s="345"/>
      <c r="X2" s="345"/>
      <c r="Y2" s="346"/>
      <c r="AA2" s="211"/>
      <c r="AB2" s="212" t="str">
        <f>IF(AA2=1,"D",IF(AA2=2,AB3,IF(AA2=3,AB10,"")))</f>
        <v/>
      </c>
    </row>
    <row r="3" spans="2:28" ht="19.399999999999999" customHeight="1">
      <c r="B3" s="342"/>
      <c r="C3" s="343"/>
      <c r="D3" s="343"/>
      <c r="E3" s="343"/>
      <c r="F3" s="344"/>
      <c r="G3" s="213"/>
      <c r="H3" s="347" t="s">
        <v>206</v>
      </c>
      <c r="I3" s="347"/>
      <c r="J3" s="347"/>
      <c r="K3" s="347"/>
      <c r="L3" s="347"/>
      <c r="M3" s="347"/>
      <c r="N3" s="347"/>
      <c r="O3" s="347"/>
      <c r="P3" s="347"/>
      <c r="Q3" s="347"/>
      <c r="R3" s="347"/>
      <c r="S3" s="347"/>
      <c r="T3" s="347"/>
      <c r="U3" s="347"/>
      <c r="V3" s="347"/>
      <c r="W3" s="347"/>
      <c r="X3" s="347"/>
      <c r="Y3" s="348"/>
      <c r="AA3" s="211"/>
      <c r="AB3" s="212" t="str">
        <f>IF(AA2&lt;&gt;2,"",IF(AND(AB4="",AB7=""),"",IF(OR(AB4="A",AB7="A"),"A","B-1")))</f>
        <v/>
      </c>
    </row>
    <row r="4" spans="2:28" ht="18.75" customHeight="1">
      <c r="B4" s="342"/>
      <c r="C4" s="343"/>
      <c r="D4" s="343"/>
      <c r="E4" s="343"/>
      <c r="F4" s="344"/>
      <c r="G4" s="213"/>
      <c r="H4" s="349" t="s">
        <v>207</v>
      </c>
      <c r="I4" s="345"/>
      <c r="J4" s="345"/>
      <c r="K4" s="345"/>
      <c r="L4" s="345"/>
      <c r="M4" s="345"/>
      <c r="N4" s="345"/>
      <c r="O4" s="345"/>
      <c r="P4" s="345"/>
      <c r="Q4" s="345"/>
      <c r="R4" s="345"/>
      <c r="S4" s="345"/>
      <c r="T4" s="345"/>
      <c r="U4" s="345"/>
      <c r="V4" s="345"/>
      <c r="W4" s="345"/>
      <c r="X4" s="345"/>
      <c r="Y4" s="346"/>
      <c r="Z4" s="214"/>
      <c r="AA4" s="211"/>
      <c r="AB4" s="212" t="str">
        <f>IF(AA4=TRUE,IF(AA5=1,"B-1",IF(AA5=2,"A","")),"")</f>
        <v/>
      </c>
    </row>
    <row r="5" spans="2:28" ht="18.75" customHeight="1">
      <c r="B5" s="342"/>
      <c r="C5" s="343"/>
      <c r="D5" s="343"/>
      <c r="E5" s="343"/>
      <c r="F5" s="344"/>
      <c r="G5" s="213"/>
      <c r="H5" s="215"/>
      <c r="I5" s="216"/>
      <c r="J5" s="350" t="s">
        <v>208</v>
      </c>
      <c r="K5" s="350"/>
      <c r="L5" s="350"/>
      <c r="M5" s="350"/>
      <c r="N5" s="350"/>
      <c r="O5" s="350"/>
      <c r="P5" s="350"/>
      <c r="Q5" s="350"/>
      <c r="R5" s="350"/>
      <c r="S5" s="350"/>
      <c r="T5" s="350"/>
      <c r="U5" s="350"/>
      <c r="V5" s="350"/>
      <c r="W5" s="350"/>
      <c r="X5" s="350"/>
      <c r="Y5" s="351"/>
      <c r="Z5" s="214"/>
      <c r="AA5" s="211"/>
      <c r="AB5" s="212"/>
    </row>
    <row r="6" spans="2:28" ht="18.75" customHeight="1">
      <c r="B6" s="342"/>
      <c r="C6" s="343"/>
      <c r="D6" s="343"/>
      <c r="E6" s="343"/>
      <c r="F6" s="344"/>
      <c r="G6" s="213"/>
      <c r="H6" s="215"/>
      <c r="I6" s="217"/>
      <c r="J6" s="352" t="s">
        <v>209</v>
      </c>
      <c r="K6" s="352"/>
      <c r="L6" s="352"/>
      <c r="M6" s="352"/>
      <c r="N6" s="352"/>
      <c r="O6" s="352"/>
      <c r="P6" s="352"/>
      <c r="Q6" s="352"/>
      <c r="R6" s="352"/>
      <c r="S6" s="352"/>
      <c r="T6" s="352"/>
      <c r="U6" s="352"/>
      <c r="V6" s="352"/>
      <c r="W6" s="352"/>
      <c r="X6" s="352"/>
      <c r="Y6" s="353"/>
      <c r="Z6" s="214"/>
      <c r="AA6" s="211"/>
      <c r="AB6" s="212"/>
    </row>
    <row r="7" spans="2:28" ht="18.75" customHeight="1">
      <c r="B7" s="342"/>
      <c r="C7" s="343"/>
      <c r="D7" s="343"/>
      <c r="E7" s="343"/>
      <c r="F7" s="344"/>
      <c r="G7" s="213"/>
      <c r="H7" s="354" t="s">
        <v>210</v>
      </c>
      <c r="I7" s="345"/>
      <c r="J7" s="345"/>
      <c r="K7" s="345"/>
      <c r="L7" s="345"/>
      <c r="M7" s="345"/>
      <c r="N7" s="345"/>
      <c r="O7" s="345"/>
      <c r="P7" s="345"/>
      <c r="Q7" s="345"/>
      <c r="R7" s="345"/>
      <c r="S7" s="345"/>
      <c r="T7" s="345"/>
      <c r="U7" s="345"/>
      <c r="V7" s="345"/>
      <c r="W7" s="345"/>
      <c r="X7" s="345"/>
      <c r="Y7" s="346"/>
      <c r="AA7" s="211"/>
      <c r="AB7" s="212" t="str">
        <f>IF(AA7=TRUE,IF(AA8=1,"B-1",IF(AA8=2,"A","")),"")</f>
        <v/>
      </c>
    </row>
    <row r="8" spans="2:28" ht="18.75" customHeight="1">
      <c r="B8" s="342"/>
      <c r="C8" s="343"/>
      <c r="D8" s="343"/>
      <c r="E8" s="343"/>
      <c r="F8" s="344"/>
      <c r="G8" s="213"/>
      <c r="H8" s="215"/>
      <c r="I8" s="216"/>
      <c r="J8" s="207" t="s">
        <v>211</v>
      </c>
      <c r="Y8" s="218"/>
      <c r="AA8" s="211"/>
      <c r="AB8" s="212"/>
    </row>
    <row r="9" spans="2:28" ht="18.75" customHeight="1" thickBot="1">
      <c r="B9" s="342"/>
      <c r="C9" s="343"/>
      <c r="D9" s="343"/>
      <c r="E9" s="343"/>
      <c r="F9" s="344"/>
      <c r="G9" s="213"/>
      <c r="H9" s="219"/>
      <c r="I9" s="220"/>
      <c r="J9" s="217" t="s">
        <v>212</v>
      </c>
      <c r="K9" s="217"/>
      <c r="L9" s="217"/>
      <c r="M9" s="217"/>
      <c r="N9" s="217"/>
      <c r="O9" s="217"/>
      <c r="P9" s="217"/>
      <c r="Q9" s="217"/>
      <c r="R9" s="217"/>
      <c r="S9" s="217"/>
      <c r="T9" s="217"/>
      <c r="U9" s="217"/>
      <c r="V9" s="217"/>
      <c r="W9" s="217"/>
      <c r="X9" s="217"/>
      <c r="Y9" s="221"/>
      <c r="AA9" s="211"/>
      <c r="AB9" s="212"/>
    </row>
    <row r="10" spans="2:28" ht="19.399999999999999" customHeight="1">
      <c r="B10" s="364" t="s">
        <v>213</v>
      </c>
      <c r="C10" s="365"/>
      <c r="D10" s="368" t="str">
        <f>AB2</f>
        <v/>
      </c>
      <c r="E10" s="369"/>
      <c r="F10" s="222"/>
      <c r="G10" s="213"/>
      <c r="H10" s="347" t="s">
        <v>214</v>
      </c>
      <c r="I10" s="347"/>
      <c r="J10" s="347"/>
      <c r="K10" s="347"/>
      <c r="L10" s="347"/>
      <c r="M10" s="347"/>
      <c r="N10" s="347"/>
      <c r="O10" s="347"/>
      <c r="P10" s="347"/>
      <c r="Q10" s="347"/>
      <c r="R10" s="347"/>
      <c r="S10" s="347"/>
      <c r="T10" s="347"/>
      <c r="U10" s="347"/>
      <c r="V10" s="347"/>
      <c r="W10" s="347"/>
      <c r="X10" s="347"/>
      <c r="Y10" s="348"/>
      <c r="AA10" s="211"/>
      <c r="AB10" s="212" t="str">
        <f>IF(AA2&lt;&gt;3,"",IF(AA11=TRUE,"C","B-2"))</f>
        <v/>
      </c>
    </row>
    <row r="11" spans="2:28" ht="30.75" customHeight="1" thickBot="1">
      <c r="B11" s="366"/>
      <c r="C11" s="367"/>
      <c r="D11" s="370"/>
      <c r="E11" s="371"/>
      <c r="F11" s="223"/>
      <c r="G11" s="224"/>
      <c r="H11" s="225"/>
      <c r="I11" s="337" t="s">
        <v>2224</v>
      </c>
      <c r="J11" s="337"/>
      <c r="K11" s="337"/>
      <c r="L11" s="337"/>
      <c r="M11" s="337"/>
      <c r="N11" s="337"/>
      <c r="O11" s="337"/>
      <c r="P11" s="337"/>
      <c r="Q11" s="337"/>
      <c r="R11" s="337"/>
      <c r="S11" s="337"/>
      <c r="T11" s="337"/>
      <c r="U11" s="337"/>
      <c r="V11" s="337"/>
      <c r="W11" s="337"/>
      <c r="X11" s="337"/>
      <c r="Y11" s="338"/>
      <c r="AA11" s="211"/>
      <c r="AB11" s="209"/>
    </row>
    <row r="12" spans="2:28" ht="19.399999999999999" hidden="1" customHeight="1">
      <c r="B12" s="226"/>
      <c r="C12" s="226"/>
      <c r="D12" s="227"/>
      <c r="E12" s="227"/>
      <c r="F12" s="228"/>
      <c r="H12" s="229"/>
      <c r="I12" s="229"/>
      <c r="J12" s="229"/>
      <c r="K12" s="229"/>
      <c r="L12" s="229"/>
      <c r="M12" s="229"/>
      <c r="N12" s="229"/>
      <c r="O12" s="229"/>
      <c r="P12" s="229"/>
      <c r="Q12" s="229"/>
      <c r="R12" s="229"/>
      <c r="S12" s="229"/>
      <c r="T12" s="229"/>
      <c r="U12" s="229"/>
      <c r="V12" s="229"/>
      <c r="W12" s="229"/>
      <c r="X12" s="229"/>
      <c r="AA12" s="211"/>
      <c r="AB12" s="209"/>
    </row>
    <row r="13" spans="2:28" ht="19.399999999999999" hidden="1" customHeight="1">
      <c r="B13" s="226"/>
      <c r="C13" s="226"/>
      <c r="D13" s="227"/>
      <c r="E13" s="227"/>
      <c r="F13" s="228"/>
      <c r="H13" s="229"/>
      <c r="I13" s="229"/>
      <c r="J13" s="229"/>
      <c r="K13" s="229"/>
      <c r="L13" s="229"/>
      <c r="M13" s="229"/>
      <c r="N13" s="229"/>
      <c r="O13" s="229"/>
      <c r="P13" s="229"/>
      <c r="Q13" s="229"/>
      <c r="R13" s="229"/>
      <c r="S13" s="229"/>
      <c r="T13" s="229"/>
      <c r="U13" s="229"/>
      <c r="V13" s="229"/>
      <c r="W13" s="229"/>
      <c r="X13" s="229"/>
      <c r="AA13" s="211"/>
      <c r="AB13" s="209"/>
    </row>
    <row r="14" spans="2:28" ht="19.399999999999999" hidden="1" customHeight="1">
      <c r="B14" s="226"/>
      <c r="C14" s="226"/>
      <c r="D14" s="227"/>
      <c r="E14" s="227"/>
      <c r="F14" s="228"/>
      <c r="H14" s="229"/>
      <c r="I14" s="229"/>
      <c r="J14" s="229"/>
      <c r="K14" s="229"/>
      <c r="L14" s="229"/>
      <c r="M14" s="229"/>
      <c r="N14" s="229"/>
      <c r="O14" s="229"/>
      <c r="P14" s="229"/>
      <c r="Q14" s="229"/>
      <c r="R14" s="229"/>
      <c r="S14" s="229"/>
      <c r="T14" s="229"/>
      <c r="U14" s="229"/>
      <c r="V14" s="229"/>
      <c r="W14" s="229"/>
      <c r="X14" s="229"/>
      <c r="AA14" s="211"/>
      <c r="AB14" s="209"/>
    </row>
    <row r="15" spans="2:28" ht="19.399999999999999" hidden="1" customHeight="1">
      <c r="B15" s="226"/>
      <c r="C15" s="226"/>
      <c r="D15" s="227"/>
      <c r="E15" s="227"/>
      <c r="F15" s="228"/>
      <c r="H15" s="229"/>
      <c r="I15" s="229"/>
      <c r="J15" s="229"/>
      <c r="K15" s="229"/>
      <c r="L15" s="229"/>
      <c r="M15" s="229"/>
      <c r="N15" s="229"/>
      <c r="O15" s="229"/>
      <c r="P15" s="229"/>
      <c r="Q15" s="229"/>
      <c r="R15" s="229"/>
      <c r="S15" s="229"/>
      <c r="T15" s="229"/>
      <c r="U15" s="229"/>
      <c r="V15" s="229"/>
      <c r="W15" s="229"/>
      <c r="X15" s="229"/>
      <c r="AA15" s="211"/>
      <c r="AB15" s="209"/>
    </row>
    <row r="16" spans="2:28" ht="83.25" customHeight="1">
      <c r="G16" s="372" t="s">
        <v>215</v>
      </c>
      <c r="H16" s="372"/>
      <c r="I16" s="372"/>
      <c r="J16" s="372"/>
      <c r="K16" s="372"/>
      <c r="L16" s="372"/>
      <c r="M16" s="372"/>
      <c r="N16" s="372"/>
      <c r="O16" s="372"/>
      <c r="P16" s="372"/>
      <c r="Q16" s="372"/>
      <c r="R16" s="372"/>
      <c r="S16" s="372"/>
      <c r="T16" s="372"/>
      <c r="U16" s="372"/>
      <c r="V16" s="372"/>
      <c r="W16" s="372"/>
      <c r="X16" s="372"/>
      <c r="Y16" s="372"/>
      <c r="AA16" s="211"/>
      <c r="AB16" s="209"/>
    </row>
    <row r="17" spans="2:28" ht="18.75" customHeight="1">
      <c r="B17" s="373" t="s">
        <v>216</v>
      </c>
      <c r="C17" s="374"/>
      <c r="D17" s="374"/>
      <c r="E17" s="374"/>
      <c r="F17" s="375"/>
      <c r="G17" s="379" t="s">
        <v>217</v>
      </c>
      <c r="H17" s="379"/>
      <c r="I17" s="379"/>
      <c r="J17" s="379"/>
      <c r="K17" s="379"/>
      <c r="L17" s="379"/>
      <c r="M17" s="379"/>
      <c r="N17" s="379"/>
      <c r="O17" s="379"/>
      <c r="P17" s="379"/>
      <c r="Q17" s="379"/>
      <c r="R17" s="379"/>
      <c r="S17" s="379"/>
      <c r="T17" s="379"/>
      <c r="U17" s="379"/>
      <c r="V17" s="379"/>
      <c r="W17" s="379"/>
      <c r="X17" s="379"/>
      <c r="Y17" s="380"/>
      <c r="AA17" s="211"/>
      <c r="AB17" s="212" t="str">
        <f>IF(AA19=1,"C",IF(AA24=1,"A",IF(AA29=1,"B",IF(AA29=2,"C",""))))</f>
        <v/>
      </c>
    </row>
    <row r="18" spans="2:28" ht="28.5" customHeight="1">
      <c r="B18" s="376"/>
      <c r="C18" s="377"/>
      <c r="D18" s="377"/>
      <c r="E18" s="377"/>
      <c r="F18" s="378"/>
      <c r="G18" s="350" t="s">
        <v>218</v>
      </c>
      <c r="H18" s="350"/>
      <c r="I18" s="350"/>
      <c r="J18" s="350"/>
      <c r="K18" s="350"/>
      <c r="L18" s="350"/>
      <c r="M18" s="350"/>
      <c r="N18" s="350"/>
      <c r="O18" s="350"/>
      <c r="P18" s="350"/>
      <c r="Q18" s="350"/>
      <c r="R18" s="350"/>
      <c r="S18" s="350"/>
      <c r="T18" s="350"/>
      <c r="U18" s="350"/>
      <c r="V18" s="350"/>
      <c r="W18" s="350"/>
      <c r="X18" s="350"/>
      <c r="Y18" s="351"/>
      <c r="AA18" s="211"/>
      <c r="AB18" s="209"/>
    </row>
    <row r="19" spans="2:28" ht="18.75" customHeight="1">
      <c r="B19" s="376"/>
      <c r="C19" s="377"/>
      <c r="D19" s="377"/>
      <c r="E19" s="377"/>
      <c r="F19" s="378"/>
      <c r="G19" s="230"/>
      <c r="H19" s="383" t="s">
        <v>219</v>
      </c>
      <c r="I19" s="383"/>
      <c r="J19" s="383"/>
      <c r="K19" s="383" t="s">
        <v>220</v>
      </c>
      <c r="L19" s="383"/>
      <c r="M19" s="383"/>
      <c r="N19" s="230"/>
      <c r="O19" s="230"/>
      <c r="P19" s="230"/>
      <c r="Q19" s="230"/>
      <c r="R19" s="230"/>
      <c r="S19" s="230"/>
      <c r="T19" s="230"/>
      <c r="U19" s="230"/>
      <c r="V19" s="230"/>
      <c r="W19" s="230"/>
      <c r="X19" s="230"/>
      <c r="Y19" s="231"/>
      <c r="AA19" s="211"/>
      <c r="AB19" s="209"/>
    </row>
    <row r="20" spans="2:28" ht="18.75" customHeight="1">
      <c r="B20" s="376"/>
      <c r="C20" s="377"/>
      <c r="D20" s="377"/>
      <c r="E20" s="377"/>
      <c r="F20" s="378"/>
      <c r="G20" s="384" t="s">
        <v>2227</v>
      </c>
      <c r="H20" s="385"/>
      <c r="I20" s="385"/>
      <c r="J20" s="385"/>
      <c r="K20" s="385"/>
      <c r="L20" s="385"/>
      <c r="M20" s="385"/>
      <c r="N20" s="385"/>
      <c r="O20" s="385"/>
      <c r="P20" s="385"/>
      <c r="Q20" s="385"/>
      <c r="R20" s="385"/>
      <c r="S20" s="385"/>
      <c r="T20" s="385"/>
      <c r="U20" s="385"/>
      <c r="V20" s="385"/>
      <c r="W20" s="385"/>
      <c r="X20" s="385"/>
      <c r="Y20" s="386"/>
      <c r="AA20" s="211"/>
      <c r="AB20" s="209"/>
    </row>
    <row r="21" spans="2:28" ht="18.75" customHeight="1">
      <c r="B21" s="376"/>
      <c r="C21" s="377"/>
      <c r="D21" s="377"/>
      <c r="E21" s="377"/>
      <c r="F21" s="378"/>
      <c r="G21" s="334" t="s">
        <v>2228</v>
      </c>
      <c r="H21" s="334"/>
      <c r="I21" s="334"/>
      <c r="J21" s="334"/>
      <c r="K21" s="334"/>
      <c r="L21" s="334"/>
      <c r="M21" s="334"/>
      <c r="N21" s="334"/>
      <c r="O21" s="334"/>
      <c r="P21" s="334"/>
      <c r="Q21" s="334"/>
      <c r="R21" s="334"/>
      <c r="S21" s="334"/>
      <c r="T21" s="334"/>
      <c r="U21" s="334"/>
      <c r="V21" s="334"/>
      <c r="W21" s="334"/>
      <c r="X21" s="334"/>
      <c r="Y21" s="335"/>
      <c r="AA21" s="211"/>
      <c r="AB21" s="209"/>
    </row>
    <row r="22" spans="2:28" ht="18.75" customHeight="1">
      <c r="B22" s="376"/>
      <c r="C22" s="377"/>
      <c r="D22" s="377"/>
      <c r="E22" s="377"/>
      <c r="F22" s="378"/>
      <c r="G22" s="336" t="s">
        <v>2229</v>
      </c>
      <c r="H22" s="334"/>
      <c r="I22" s="334"/>
      <c r="J22" s="334"/>
      <c r="K22" s="334"/>
      <c r="L22" s="334"/>
      <c r="M22" s="334"/>
      <c r="N22" s="334"/>
      <c r="O22" s="334"/>
      <c r="P22" s="334"/>
      <c r="Q22" s="334"/>
      <c r="R22" s="334"/>
      <c r="S22" s="334"/>
      <c r="T22" s="334"/>
      <c r="U22" s="334"/>
      <c r="V22" s="334"/>
      <c r="W22" s="334"/>
      <c r="X22" s="334"/>
      <c r="Y22" s="335"/>
      <c r="AA22" s="211"/>
      <c r="AB22" s="209"/>
    </row>
    <row r="23" spans="2:28" ht="31.5" customHeight="1">
      <c r="B23" s="376"/>
      <c r="C23" s="377"/>
      <c r="D23" s="377"/>
      <c r="E23" s="377"/>
      <c r="F23" s="378"/>
      <c r="G23" s="334" t="s">
        <v>2230</v>
      </c>
      <c r="H23" s="334"/>
      <c r="I23" s="334"/>
      <c r="J23" s="334"/>
      <c r="K23" s="334"/>
      <c r="L23" s="334"/>
      <c r="M23" s="334"/>
      <c r="N23" s="334"/>
      <c r="O23" s="334"/>
      <c r="P23" s="334"/>
      <c r="Q23" s="334"/>
      <c r="R23" s="334"/>
      <c r="S23" s="334"/>
      <c r="T23" s="334"/>
      <c r="U23" s="334"/>
      <c r="V23" s="334"/>
      <c r="W23" s="334"/>
      <c r="X23" s="334"/>
      <c r="Y23" s="335"/>
      <c r="AA23" s="211"/>
      <c r="AB23" s="209"/>
    </row>
    <row r="24" spans="2:28" ht="18.75" customHeight="1">
      <c r="B24" s="376"/>
      <c r="C24" s="377"/>
      <c r="D24" s="377"/>
      <c r="E24" s="377"/>
      <c r="F24" s="378"/>
      <c r="G24" s="313"/>
      <c r="H24" s="363" t="s">
        <v>219</v>
      </c>
      <c r="I24" s="363"/>
      <c r="J24" s="363"/>
      <c r="K24" s="363" t="s">
        <v>220</v>
      </c>
      <c r="L24" s="363"/>
      <c r="M24" s="363"/>
      <c r="N24" s="234"/>
      <c r="O24" s="234"/>
      <c r="P24" s="234"/>
      <c r="Q24" s="234"/>
      <c r="R24" s="234"/>
      <c r="S24" s="234"/>
      <c r="T24" s="234"/>
      <c r="U24" s="234"/>
      <c r="V24" s="234"/>
      <c r="W24" s="234"/>
      <c r="X24" s="234"/>
      <c r="Y24" s="235"/>
      <c r="AA24" s="211"/>
      <c r="AB24" s="209"/>
    </row>
    <row r="25" spans="2:28" ht="18.75" customHeight="1">
      <c r="B25" s="376"/>
      <c r="C25" s="377"/>
      <c r="D25" s="377"/>
      <c r="E25" s="377"/>
      <c r="F25" s="378"/>
      <c r="G25" s="381" t="s">
        <v>221</v>
      </c>
      <c r="H25" s="381"/>
      <c r="I25" s="381"/>
      <c r="J25" s="381"/>
      <c r="K25" s="381"/>
      <c r="L25" s="381"/>
      <c r="M25" s="381"/>
      <c r="N25" s="381"/>
      <c r="O25" s="381"/>
      <c r="P25" s="381"/>
      <c r="Q25" s="381"/>
      <c r="R25" s="381"/>
      <c r="S25" s="381"/>
      <c r="T25" s="381"/>
      <c r="U25" s="381"/>
      <c r="V25" s="381"/>
      <c r="W25" s="381"/>
      <c r="X25" s="381"/>
      <c r="Y25" s="382"/>
      <c r="AA25" s="211"/>
      <c r="AB25" s="209"/>
    </row>
    <row r="26" spans="2:28" ht="18.75" customHeight="1">
      <c r="B26" s="376"/>
      <c r="C26" s="377"/>
      <c r="D26" s="377"/>
      <c r="E26" s="377"/>
      <c r="F26" s="378"/>
      <c r="G26" s="350" t="s">
        <v>222</v>
      </c>
      <c r="H26" s="350"/>
      <c r="I26" s="350"/>
      <c r="J26" s="350"/>
      <c r="K26" s="350"/>
      <c r="L26" s="350"/>
      <c r="M26" s="350"/>
      <c r="N26" s="350"/>
      <c r="O26" s="350"/>
      <c r="P26" s="350"/>
      <c r="Q26" s="350"/>
      <c r="R26" s="350"/>
      <c r="S26" s="350"/>
      <c r="T26" s="350"/>
      <c r="U26" s="350"/>
      <c r="V26" s="350"/>
      <c r="W26" s="350"/>
      <c r="X26" s="350"/>
      <c r="Y26" s="351"/>
      <c r="AA26" s="211"/>
      <c r="AB26" s="209"/>
    </row>
    <row r="27" spans="2:28" ht="18.75" customHeight="1" thickBot="1">
      <c r="B27" s="376"/>
      <c r="C27" s="377"/>
      <c r="D27" s="377"/>
      <c r="E27" s="377"/>
      <c r="F27" s="378"/>
      <c r="G27" s="350" t="s">
        <v>223</v>
      </c>
      <c r="H27" s="350"/>
      <c r="I27" s="350"/>
      <c r="J27" s="350"/>
      <c r="K27" s="350"/>
      <c r="L27" s="350"/>
      <c r="M27" s="350"/>
      <c r="N27" s="350"/>
      <c r="O27" s="350"/>
      <c r="P27" s="350"/>
      <c r="Q27" s="350"/>
      <c r="R27" s="350"/>
      <c r="S27" s="350"/>
      <c r="T27" s="350"/>
      <c r="U27" s="350"/>
      <c r="V27" s="350"/>
      <c r="W27" s="350"/>
      <c r="X27" s="350"/>
      <c r="Y27" s="351"/>
      <c r="AA27" s="211"/>
      <c r="AB27" s="209"/>
    </row>
    <row r="28" spans="2:28" ht="31.5" customHeight="1">
      <c r="B28" s="355" t="s">
        <v>213</v>
      </c>
      <c r="C28" s="356"/>
      <c r="D28" s="359" t="str">
        <f>AB17</f>
        <v/>
      </c>
      <c r="E28" s="360"/>
      <c r="F28" s="232"/>
      <c r="G28" s="350" t="s">
        <v>224</v>
      </c>
      <c r="H28" s="350"/>
      <c r="I28" s="350"/>
      <c r="J28" s="350"/>
      <c r="K28" s="350"/>
      <c r="L28" s="350"/>
      <c r="M28" s="350"/>
      <c r="N28" s="350"/>
      <c r="O28" s="350"/>
      <c r="P28" s="350"/>
      <c r="Q28" s="350"/>
      <c r="R28" s="350"/>
      <c r="S28" s="350"/>
      <c r="T28" s="350"/>
      <c r="U28" s="350"/>
      <c r="V28" s="350"/>
      <c r="W28" s="350"/>
      <c r="X28" s="350"/>
      <c r="Y28" s="351"/>
      <c r="AA28" s="211"/>
      <c r="AB28" s="209"/>
    </row>
    <row r="29" spans="2:28" ht="18.75" customHeight="1" thickBot="1">
      <c r="B29" s="357"/>
      <c r="C29" s="358"/>
      <c r="D29" s="361"/>
      <c r="E29" s="362"/>
      <c r="F29" s="233"/>
      <c r="G29" s="234"/>
      <c r="H29" s="363" t="s">
        <v>219</v>
      </c>
      <c r="I29" s="363"/>
      <c r="J29" s="363"/>
      <c r="K29" s="363" t="s">
        <v>220</v>
      </c>
      <c r="L29" s="363"/>
      <c r="M29" s="363"/>
      <c r="N29" s="234"/>
      <c r="O29" s="234"/>
      <c r="P29" s="234"/>
      <c r="Q29" s="234"/>
      <c r="R29" s="234"/>
      <c r="S29" s="234"/>
      <c r="T29" s="234"/>
      <c r="U29" s="234"/>
      <c r="V29" s="234"/>
      <c r="W29" s="234"/>
      <c r="X29" s="234"/>
      <c r="Y29" s="235"/>
      <c r="AA29" s="211"/>
      <c r="AB29" s="209"/>
    </row>
    <row r="30" spans="2:28" ht="21.75" customHeight="1">
      <c r="G30" s="318" t="s">
        <v>2195</v>
      </c>
      <c r="H30" s="314"/>
      <c r="I30" s="314"/>
      <c r="J30" s="314"/>
      <c r="K30" s="314"/>
      <c r="L30" s="314"/>
      <c r="M30" s="314"/>
      <c r="N30" s="314"/>
      <c r="O30" s="314"/>
      <c r="P30" s="314"/>
      <c r="Q30" s="314"/>
      <c r="R30" s="314"/>
      <c r="S30" s="314"/>
      <c r="T30" s="314"/>
      <c r="U30" s="314"/>
      <c r="V30" s="314"/>
      <c r="W30" s="314"/>
      <c r="X30" s="314"/>
      <c r="Y30" s="314"/>
      <c r="AA30" s="211"/>
      <c r="AB30" s="209"/>
    </row>
    <row r="31" spans="2:28" ht="18.75" customHeight="1">
      <c r="G31" s="230"/>
      <c r="H31" s="230"/>
      <c r="I31" s="230"/>
      <c r="J31" s="230"/>
      <c r="K31" s="230"/>
      <c r="L31" s="230"/>
      <c r="M31" s="230"/>
      <c r="N31" s="230"/>
      <c r="O31" s="230"/>
      <c r="P31" s="230"/>
      <c r="Q31" s="230"/>
      <c r="R31" s="230"/>
      <c r="S31" s="230"/>
      <c r="T31" s="230"/>
      <c r="U31" s="230"/>
      <c r="V31" s="230"/>
      <c r="W31" s="230"/>
      <c r="X31" s="230"/>
      <c r="Y31" s="230"/>
      <c r="AA31" s="211"/>
      <c r="AB31" s="209"/>
    </row>
    <row r="32" spans="2:28" ht="18.75" customHeight="1">
      <c r="Y32" s="230"/>
      <c r="AA32" s="211"/>
      <c r="AB32" s="209"/>
    </row>
    <row r="33" spans="2:28">
      <c r="AA33" s="209"/>
      <c r="AB33" s="209"/>
    </row>
    <row r="34" spans="2:28">
      <c r="AA34" s="209"/>
      <c r="AB34" s="209"/>
    </row>
    <row r="35" spans="2:28" ht="18">
      <c r="B35" s="236"/>
      <c r="Y35" s="236"/>
      <c r="Z35" s="237"/>
      <c r="AA35" s="236"/>
      <c r="AB35" s="238"/>
    </row>
    <row r="36" spans="2:28" ht="13">
      <c r="B36" s="236"/>
      <c r="Y36" s="236"/>
      <c r="Z36" s="236"/>
      <c r="AA36" s="236"/>
      <c r="AB36" s="236"/>
    </row>
    <row r="37" spans="2:28" ht="13">
      <c r="B37" s="236"/>
      <c r="Y37" s="236"/>
      <c r="Z37" s="236"/>
      <c r="AA37" s="236"/>
      <c r="AB37" s="236"/>
    </row>
    <row r="38" spans="2:28" ht="13">
      <c r="B38" s="236"/>
      <c r="Y38" s="236"/>
      <c r="Z38" s="236"/>
      <c r="AA38" s="236"/>
      <c r="AB38" s="236"/>
    </row>
    <row r="39" spans="2:28" ht="13">
      <c r="B39" s="236"/>
      <c r="Y39" s="236"/>
      <c r="Z39" s="236"/>
      <c r="AA39" s="236"/>
      <c r="AB39" s="236"/>
    </row>
    <row r="40" spans="2:28" ht="13">
      <c r="B40" s="236"/>
      <c r="Y40" s="236"/>
      <c r="Z40" s="236"/>
      <c r="AA40" s="236"/>
      <c r="AB40" s="236"/>
    </row>
    <row r="41" spans="2:28" ht="13">
      <c r="B41" s="236"/>
      <c r="Y41" s="236"/>
      <c r="Z41" s="236"/>
      <c r="AA41" s="236"/>
      <c r="AB41" s="236"/>
    </row>
    <row r="42" spans="2:28" ht="13">
      <c r="B42" s="236"/>
      <c r="Y42" s="236"/>
      <c r="Z42" s="236"/>
      <c r="AA42" s="236"/>
      <c r="AB42" s="236"/>
    </row>
    <row r="43" spans="2:28" ht="13">
      <c r="B43" s="236"/>
      <c r="Y43" s="236"/>
      <c r="Z43" s="236"/>
      <c r="AA43" s="236"/>
      <c r="AB43" s="236"/>
    </row>
    <row r="44" spans="2:28" ht="13">
      <c r="B44" s="236"/>
      <c r="Y44" s="236"/>
      <c r="Z44" s="236"/>
      <c r="AA44" s="236"/>
      <c r="AB44" s="236"/>
    </row>
    <row r="45" spans="2:28" ht="13">
      <c r="B45" s="236"/>
      <c r="Y45" s="236"/>
      <c r="Z45" s="236"/>
      <c r="AA45" s="236"/>
      <c r="AB45" s="236"/>
    </row>
    <row r="46" spans="2:28" ht="13">
      <c r="B46" s="236"/>
      <c r="Y46" s="236"/>
      <c r="Z46" s="236"/>
      <c r="AA46" s="236"/>
      <c r="AB46" s="236"/>
    </row>
    <row r="47" spans="2:28" ht="13">
      <c r="B47" s="236"/>
      <c r="Y47" s="236"/>
      <c r="Z47" s="236"/>
      <c r="AA47" s="236"/>
      <c r="AB47" s="236"/>
    </row>
    <row r="48" spans="2:28" ht="13">
      <c r="B48" s="236"/>
      <c r="Y48" s="236"/>
      <c r="Z48" s="236"/>
      <c r="AA48" s="236"/>
      <c r="AB48" s="236"/>
    </row>
    <row r="49" spans="2:28" ht="13">
      <c r="B49" s="236"/>
      <c r="Y49" s="236"/>
      <c r="Z49" s="236"/>
      <c r="AA49" s="236"/>
      <c r="AB49" s="236"/>
    </row>
    <row r="50" spans="2:28" ht="13">
      <c r="B50" s="236"/>
      <c r="Y50" s="236"/>
      <c r="Z50" s="236"/>
      <c r="AA50" s="236"/>
      <c r="AB50" s="236"/>
    </row>
    <row r="51" spans="2:28" ht="13">
      <c r="B51" s="236"/>
      <c r="Y51" s="236"/>
      <c r="Z51" s="236"/>
      <c r="AA51" s="236"/>
      <c r="AB51" s="236"/>
    </row>
    <row r="52" spans="2:28" ht="13">
      <c r="B52" s="236"/>
      <c r="Y52" s="236"/>
      <c r="Z52" s="236"/>
      <c r="AA52" s="236"/>
      <c r="AB52" s="236"/>
    </row>
    <row r="53" spans="2:28" ht="13">
      <c r="B53" s="236"/>
      <c r="Y53" s="236"/>
      <c r="Z53" s="236"/>
      <c r="AA53" s="236"/>
      <c r="AB53" s="236"/>
    </row>
    <row r="54" spans="2:28" ht="18">
      <c r="B54" s="236"/>
      <c r="Y54" s="239"/>
      <c r="Z54" s="239"/>
      <c r="AA54" s="239"/>
      <c r="AB54" s="239"/>
    </row>
    <row r="72" spans="35:35">
      <c r="AI72" s="207" t="b">
        <v>1</v>
      </c>
    </row>
  </sheetData>
  <mergeCells count="31">
    <mergeCell ref="G26:Y26"/>
    <mergeCell ref="B10:C11"/>
    <mergeCell ref="D10:E11"/>
    <mergeCell ref="H10:Y10"/>
    <mergeCell ref="G16:Y16"/>
    <mergeCell ref="B17:F27"/>
    <mergeCell ref="G17:Y17"/>
    <mergeCell ref="G18:Y18"/>
    <mergeCell ref="H24:J24"/>
    <mergeCell ref="G27:Y27"/>
    <mergeCell ref="K24:M24"/>
    <mergeCell ref="G25:Y25"/>
    <mergeCell ref="H19:J19"/>
    <mergeCell ref="K19:M19"/>
    <mergeCell ref="G20:Y20"/>
    <mergeCell ref="G21:Y21"/>
    <mergeCell ref="B28:C29"/>
    <mergeCell ref="D28:E29"/>
    <mergeCell ref="G28:Y28"/>
    <mergeCell ref="H29:J29"/>
    <mergeCell ref="K29:M29"/>
    <mergeCell ref="G23:Y23"/>
    <mergeCell ref="G22:Y22"/>
    <mergeCell ref="I11:Y11"/>
    <mergeCell ref="B2:F9"/>
    <mergeCell ref="H2:Y2"/>
    <mergeCell ref="H3:Y3"/>
    <mergeCell ref="H4:Y4"/>
    <mergeCell ref="J5:Y5"/>
    <mergeCell ref="J6:Y6"/>
    <mergeCell ref="H7:Y7"/>
  </mergeCells>
  <phoneticPr fontId="7"/>
  <conditionalFormatting sqref="H4:Y4 H8:I9 H7:Y7 H5:J6">
    <cfRule type="expression" dxfId="260" priority="6">
      <formula>$AA$2&lt;&gt;2</formula>
    </cfRule>
  </conditionalFormatting>
  <conditionalFormatting sqref="H11:I11">
    <cfRule type="expression" dxfId="259" priority="5">
      <formula>$AA$2&lt;&gt;3</formula>
    </cfRule>
  </conditionalFormatting>
  <conditionalFormatting sqref="AB35">
    <cfRule type="expression" dxfId="258" priority="7">
      <formula>$AD$55="判定前"</formula>
    </cfRule>
  </conditionalFormatting>
  <conditionalFormatting sqref="G21:Y21 G26:Y29 G23:Y24 G22">
    <cfRule type="expression" dxfId="257" priority="4">
      <formula>$AA$19=1</formula>
    </cfRule>
  </conditionalFormatting>
  <conditionalFormatting sqref="G26:Y29">
    <cfRule type="expression" dxfId="256" priority="3">
      <formula>$AA$24=1</formula>
    </cfRule>
  </conditionalFormatting>
  <conditionalFormatting sqref="I5:J6">
    <cfRule type="expression" dxfId="255" priority="2">
      <formula>$AA$4&lt;&gt;TRUE</formula>
    </cfRule>
  </conditionalFormatting>
  <conditionalFormatting sqref="I8:Y9">
    <cfRule type="expression" dxfId="254" priority="1">
      <formula>$AA$7&lt;&gt;TRUE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Check Box 1">
              <controlPr defaultSize="0" autoFill="0" autoLine="0" autoPict="0">
                <anchor moveWithCells="1">
                  <from>
                    <xdr:col>7</xdr:col>
                    <xdr:colOff>88900</xdr:colOff>
                    <xdr:row>10</xdr:row>
                    <xdr:rowOff>0</xdr:rowOff>
                  </from>
                  <to>
                    <xdr:col>24</xdr:col>
                    <xdr:colOff>247650</xdr:colOff>
                    <xdr:row>10</xdr:row>
                    <xdr:rowOff>241300</xdr:rowOff>
                  </to>
                </anchor>
              </controlPr>
            </control>
          </mc:Choice>
        </mc:AlternateContent>
        <mc:AlternateContent xmlns:mc="http://schemas.openxmlformats.org/markup-compatibility/2006">
          <mc:Choice Requires="x14">
            <control shapeId="58370" r:id="rId5" name="Option Button 2">
              <controlPr defaultSize="0" autoFill="0" autoLine="0" autoPict="0">
                <anchor moveWithCells="1">
                  <from>
                    <xdr:col>6</xdr:col>
                    <xdr:colOff>38100</xdr:colOff>
                    <xdr:row>1</xdr:row>
                    <xdr:rowOff>0</xdr:rowOff>
                  </from>
                  <to>
                    <xdr:col>23</xdr:col>
                    <xdr:colOff>742950</xdr:colOff>
                    <xdr:row>2</xdr:row>
                    <xdr:rowOff>0</xdr:rowOff>
                  </to>
                </anchor>
              </controlPr>
            </control>
          </mc:Choice>
        </mc:AlternateContent>
        <mc:AlternateContent xmlns:mc="http://schemas.openxmlformats.org/markup-compatibility/2006">
          <mc:Choice Requires="x14">
            <control shapeId="58371" r:id="rId6" name="Option Button 3">
              <controlPr defaultSize="0" autoFill="0" autoLine="0" autoPict="0">
                <anchor moveWithCells="1">
                  <from>
                    <xdr:col>6</xdr:col>
                    <xdr:colOff>38100</xdr:colOff>
                    <xdr:row>2</xdr:row>
                    <xdr:rowOff>0</xdr:rowOff>
                  </from>
                  <to>
                    <xdr:col>23</xdr:col>
                    <xdr:colOff>819150</xdr:colOff>
                    <xdr:row>3</xdr:row>
                    <xdr:rowOff>0</xdr:rowOff>
                  </to>
                </anchor>
              </controlPr>
            </control>
          </mc:Choice>
        </mc:AlternateContent>
        <mc:AlternateContent xmlns:mc="http://schemas.openxmlformats.org/markup-compatibility/2006">
          <mc:Choice Requires="x14">
            <control shapeId="58372" r:id="rId7" name="Option Button 4">
              <controlPr defaultSize="0" autoFill="0" autoLine="0" autoPict="0">
                <anchor moveWithCells="1">
                  <from>
                    <xdr:col>8</xdr:col>
                    <xdr:colOff>107950</xdr:colOff>
                    <xdr:row>4</xdr:row>
                    <xdr:rowOff>0</xdr:rowOff>
                  </from>
                  <to>
                    <xdr:col>24</xdr:col>
                    <xdr:colOff>171450</xdr:colOff>
                    <xdr:row>5</xdr:row>
                    <xdr:rowOff>0</xdr:rowOff>
                  </to>
                </anchor>
              </controlPr>
            </control>
          </mc:Choice>
        </mc:AlternateContent>
        <mc:AlternateContent xmlns:mc="http://schemas.openxmlformats.org/markup-compatibility/2006">
          <mc:Choice Requires="x14">
            <control shapeId="58373" r:id="rId8" name="Group Box 5">
              <controlPr defaultSize="0" autoFill="0" autoPict="0">
                <anchor moveWithCells="1">
                  <from>
                    <xdr:col>19</xdr:col>
                    <xdr:colOff>0</xdr:colOff>
                    <xdr:row>32</xdr:row>
                    <xdr:rowOff>0</xdr:rowOff>
                  </from>
                  <to>
                    <xdr:col>23</xdr:col>
                    <xdr:colOff>774700</xdr:colOff>
                    <xdr:row>37</xdr:row>
                    <xdr:rowOff>146050</xdr:rowOff>
                  </to>
                </anchor>
              </controlPr>
            </control>
          </mc:Choice>
        </mc:AlternateContent>
        <mc:AlternateContent xmlns:mc="http://schemas.openxmlformats.org/markup-compatibility/2006">
          <mc:Choice Requires="x14">
            <control shapeId="58374" r:id="rId9" name="Option Button 6">
              <controlPr defaultSize="0" autoFill="0" autoLine="0" autoPict="0">
                <anchor moveWithCells="1">
                  <from>
                    <xdr:col>8</xdr:col>
                    <xdr:colOff>107950</xdr:colOff>
                    <xdr:row>7</xdr:row>
                    <xdr:rowOff>0</xdr:rowOff>
                  </from>
                  <to>
                    <xdr:col>24</xdr:col>
                    <xdr:colOff>171450</xdr:colOff>
                    <xdr:row>8</xdr:row>
                    <xdr:rowOff>0</xdr:rowOff>
                  </to>
                </anchor>
              </controlPr>
            </control>
          </mc:Choice>
        </mc:AlternateContent>
        <mc:AlternateContent xmlns:mc="http://schemas.openxmlformats.org/markup-compatibility/2006">
          <mc:Choice Requires="x14">
            <control shapeId="58375" r:id="rId10" name="Option Button 7">
              <controlPr defaultSize="0" autoFill="0" autoLine="0" autoPict="0">
                <anchor moveWithCells="1">
                  <from>
                    <xdr:col>8</xdr:col>
                    <xdr:colOff>107950</xdr:colOff>
                    <xdr:row>8</xdr:row>
                    <xdr:rowOff>0</xdr:rowOff>
                  </from>
                  <to>
                    <xdr:col>24</xdr:col>
                    <xdr:colOff>171450</xdr:colOff>
                    <xdr:row>9</xdr:row>
                    <xdr:rowOff>0</xdr:rowOff>
                  </to>
                </anchor>
              </controlPr>
            </control>
          </mc:Choice>
        </mc:AlternateContent>
        <mc:AlternateContent xmlns:mc="http://schemas.openxmlformats.org/markup-compatibility/2006">
          <mc:Choice Requires="x14">
            <control shapeId="58376" r:id="rId11" name="Group Box 8">
              <controlPr defaultSize="0" autoFill="0" autoPict="0">
                <anchor moveWithCells="1">
                  <from>
                    <xdr:col>7</xdr:col>
                    <xdr:colOff>0</xdr:colOff>
                    <xdr:row>3</xdr:row>
                    <xdr:rowOff>0</xdr:rowOff>
                  </from>
                  <to>
                    <xdr:col>23</xdr:col>
                    <xdr:colOff>927100</xdr:colOff>
                    <xdr:row>6</xdr:row>
                    <xdr:rowOff>57150</xdr:rowOff>
                  </to>
                </anchor>
              </controlPr>
            </control>
          </mc:Choice>
        </mc:AlternateContent>
        <mc:AlternateContent xmlns:mc="http://schemas.openxmlformats.org/markup-compatibility/2006">
          <mc:Choice Requires="x14">
            <control shapeId="58377" r:id="rId12" name="Group Box 9">
              <controlPr defaultSize="0" autoFill="0" autoPict="0">
                <anchor moveWithCells="1">
                  <from>
                    <xdr:col>7</xdr:col>
                    <xdr:colOff>0</xdr:colOff>
                    <xdr:row>6</xdr:row>
                    <xdr:rowOff>0</xdr:rowOff>
                  </from>
                  <to>
                    <xdr:col>23</xdr:col>
                    <xdr:colOff>895350</xdr:colOff>
                    <xdr:row>8</xdr:row>
                    <xdr:rowOff>228600</xdr:rowOff>
                  </to>
                </anchor>
              </controlPr>
            </control>
          </mc:Choice>
        </mc:AlternateContent>
        <mc:AlternateContent xmlns:mc="http://schemas.openxmlformats.org/markup-compatibility/2006">
          <mc:Choice Requires="x14">
            <control shapeId="58378" r:id="rId13" name="Group Box 10">
              <controlPr defaultSize="0" autoFill="0" autoPict="0">
                <anchor moveWithCells="1">
                  <from>
                    <xdr:col>6</xdr:col>
                    <xdr:colOff>0</xdr:colOff>
                    <xdr:row>0</xdr:row>
                    <xdr:rowOff>95250</xdr:rowOff>
                  </from>
                  <to>
                    <xdr:col>23</xdr:col>
                    <xdr:colOff>1022350</xdr:colOff>
                    <xdr:row>10</xdr:row>
                    <xdr:rowOff>285750</xdr:rowOff>
                  </to>
                </anchor>
              </controlPr>
            </control>
          </mc:Choice>
        </mc:AlternateContent>
        <mc:AlternateContent xmlns:mc="http://schemas.openxmlformats.org/markup-compatibility/2006">
          <mc:Choice Requires="x14">
            <control shapeId="58379" r:id="rId14" name="Group Box 11">
              <controlPr defaultSize="0" autoFill="0" autoPict="0">
                <anchor moveWithCells="1">
                  <from>
                    <xdr:col>7</xdr:col>
                    <xdr:colOff>0</xdr:colOff>
                    <xdr:row>3</xdr:row>
                    <xdr:rowOff>0</xdr:rowOff>
                  </from>
                  <to>
                    <xdr:col>25</xdr:col>
                    <xdr:colOff>0</xdr:colOff>
                    <xdr:row>6</xdr:row>
                    <xdr:rowOff>0</xdr:rowOff>
                  </to>
                </anchor>
              </controlPr>
            </control>
          </mc:Choice>
        </mc:AlternateContent>
        <mc:AlternateContent xmlns:mc="http://schemas.openxmlformats.org/markup-compatibility/2006">
          <mc:Choice Requires="x14">
            <control shapeId="58380" r:id="rId15" name="Group Box 12">
              <controlPr defaultSize="0" autoFill="0" autoPict="0">
                <anchor moveWithCells="1">
                  <from>
                    <xdr:col>7</xdr:col>
                    <xdr:colOff>0</xdr:colOff>
                    <xdr:row>6</xdr:row>
                    <xdr:rowOff>0</xdr:rowOff>
                  </from>
                  <to>
                    <xdr:col>25</xdr:col>
                    <xdr:colOff>0</xdr:colOff>
                    <xdr:row>9</xdr:row>
                    <xdr:rowOff>0</xdr:rowOff>
                  </to>
                </anchor>
              </controlPr>
            </control>
          </mc:Choice>
        </mc:AlternateContent>
        <mc:AlternateContent xmlns:mc="http://schemas.openxmlformats.org/markup-compatibility/2006">
          <mc:Choice Requires="x14">
            <control shapeId="58391" r:id="rId16" name="Option Button 23">
              <controlPr defaultSize="0" autoFill="0" autoLine="0" autoPict="0">
                <anchor moveWithCells="1">
                  <from>
                    <xdr:col>8</xdr:col>
                    <xdr:colOff>107950</xdr:colOff>
                    <xdr:row>5</xdr:row>
                    <xdr:rowOff>0</xdr:rowOff>
                  </from>
                  <to>
                    <xdr:col>24</xdr:col>
                    <xdr:colOff>171450</xdr:colOff>
                    <xdr:row>6</xdr:row>
                    <xdr:rowOff>0</xdr:rowOff>
                  </to>
                </anchor>
              </controlPr>
            </control>
          </mc:Choice>
        </mc:AlternateContent>
        <mc:AlternateContent xmlns:mc="http://schemas.openxmlformats.org/markup-compatibility/2006">
          <mc:Choice Requires="x14">
            <control shapeId="58393" r:id="rId17" name="Check Box 25">
              <controlPr defaultSize="0" autoFill="0" autoLine="0" autoPict="0">
                <anchor moveWithCells="1">
                  <from>
                    <xdr:col>7</xdr:col>
                    <xdr:colOff>95250</xdr:colOff>
                    <xdr:row>2</xdr:row>
                    <xdr:rowOff>241300</xdr:rowOff>
                  </from>
                  <to>
                    <xdr:col>24</xdr:col>
                    <xdr:colOff>247650</xdr:colOff>
                    <xdr:row>4</xdr:row>
                    <xdr:rowOff>0</xdr:rowOff>
                  </to>
                </anchor>
              </controlPr>
            </control>
          </mc:Choice>
        </mc:AlternateContent>
        <mc:AlternateContent xmlns:mc="http://schemas.openxmlformats.org/markup-compatibility/2006">
          <mc:Choice Requires="x14">
            <control shapeId="58394" r:id="rId18" name="Check Box 26">
              <controlPr defaultSize="0" autoFill="0" autoLine="0" autoPict="0">
                <anchor moveWithCells="1">
                  <from>
                    <xdr:col>7</xdr:col>
                    <xdr:colOff>95250</xdr:colOff>
                    <xdr:row>5</xdr:row>
                    <xdr:rowOff>241300</xdr:rowOff>
                  </from>
                  <to>
                    <xdr:col>24</xdr:col>
                    <xdr:colOff>247650</xdr:colOff>
                    <xdr:row>7</xdr:row>
                    <xdr:rowOff>0</xdr:rowOff>
                  </to>
                </anchor>
              </controlPr>
            </control>
          </mc:Choice>
        </mc:AlternateContent>
        <mc:AlternateContent xmlns:mc="http://schemas.openxmlformats.org/markup-compatibility/2006">
          <mc:Choice Requires="x14">
            <control shapeId="58395" r:id="rId19" name="Option Button 27">
              <controlPr defaultSize="0" autoFill="0" autoLine="0" autoPict="0">
                <anchor moveWithCells="1">
                  <from>
                    <xdr:col>6</xdr:col>
                    <xdr:colOff>38100</xdr:colOff>
                    <xdr:row>9</xdr:row>
                    <xdr:rowOff>0</xdr:rowOff>
                  </from>
                  <to>
                    <xdr:col>23</xdr:col>
                    <xdr:colOff>819150</xdr:colOff>
                    <xdr:row>10</xdr:row>
                    <xdr:rowOff>0</xdr:rowOff>
                  </to>
                </anchor>
              </controlPr>
            </control>
          </mc:Choice>
        </mc:AlternateContent>
        <mc:AlternateContent xmlns:mc="http://schemas.openxmlformats.org/markup-compatibility/2006">
          <mc:Choice Requires="x14">
            <control shapeId="58381" r:id="rId20" name="Group Box 13">
              <controlPr defaultSize="0" autoFill="0" autoPict="0">
                <anchor moveWithCells="1">
                  <from>
                    <xdr:col>5</xdr:col>
                    <xdr:colOff>400050</xdr:colOff>
                    <xdr:row>17</xdr:row>
                    <xdr:rowOff>0</xdr:rowOff>
                  </from>
                  <to>
                    <xdr:col>25</xdr:col>
                    <xdr:colOff>0</xdr:colOff>
                    <xdr:row>19</xdr:row>
                    <xdr:rowOff>0</xdr:rowOff>
                  </to>
                </anchor>
              </controlPr>
            </control>
          </mc:Choice>
        </mc:AlternateContent>
        <mc:AlternateContent xmlns:mc="http://schemas.openxmlformats.org/markup-compatibility/2006">
          <mc:Choice Requires="x14">
            <control shapeId="58383" r:id="rId21" name="Option Button 15">
              <controlPr defaultSize="0" autoFill="0" autoLine="0" autoPict="0">
                <anchor moveWithCells="1">
                  <from>
                    <xdr:col>7</xdr:col>
                    <xdr:colOff>0</xdr:colOff>
                    <xdr:row>18</xdr:row>
                    <xdr:rowOff>0</xdr:rowOff>
                  </from>
                  <to>
                    <xdr:col>10</xdr:col>
                    <xdr:colOff>152400</xdr:colOff>
                    <xdr:row>19</xdr:row>
                    <xdr:rowOff>0</xdr:rowOff>
                  </to>
                </anchor>
              </controlPr>
            </control>
          </mc:Choice>
        </mc:AlternateContent>
        <mc:AlternateContent xmlns:mc="http://schemas.openxmlformats.org/markup-compatibility/2006">
          <mc:Choice Requires="x14">
            <control shapeId="58384" r:id="rId22" name="Option Button 16">
              <controlPr defaultSize="0" autoFill="0" autoLine="0" autoPict="0">
                <anchor moveWithCells="1">
                  <from>
                    <xdr:col>10</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58386" r:id="rId23" name="Option Button 18">
              <controlPr defaultSize="0" autoFill="0" autoLine="0" autoPict="0">
                <anchor moveWithCells="1">
                  <from>
                    <xdr:col>7</xdr:col>
                    <xdr:colOff>0</xdr:colOff>
                    <xdr:row>23</xdr:row>
                    <xdr:rowOff>0</xdr:rowOff>
                  </from>
                  <to>
                    <xdr:col>10</xdr:col>
                    <xdr:colOff>152400</xdr:colOff>
                    <xdr:row>24</xdr:row>
                    <xdr:rowOff>0</xdr:rowOff>
                  </to>
                </anchor>
              </controlPr>
            </control>
          </mc:Choice>
        </mc:AlternateContent>
        <mc:AlternateContent xmlns:mc="http://schemas.openxmlformats.org/markup-compatibility/2006">
          <mc:Choice Requires="x14">
            <control shapeId="58387" r:id="rId24" name="Option Button 19">
              <controlPr defaultSize="0" autoFill="0" autoLine="0" autoPict="0">
                <anchor moveWithCells="1">
                  <from>
                    <xdr:col>10</xdr:col>
                    <xdr:colOff>0</xdr:colOff>
                    <xdr:row>23</xdr:row>
                    <xdr:rowOff>0</xdr:rowOff>
                  </from>
                  <to>
                    <xdr:col>13</xdr:col>
                    <xdr:colOff>0</xdr:colOff>
                    <xdr:row>24</xdr:row>
                    <xdr:rowOff>0</xdr:rowOff>
                  </to>
                </anchor>
              </controlPr>
            </control>
          </mc:Choice>
        </mc:AlternateContent>
        <mc:AlternateContent xmlns:mc="http://schemas.openxmlformats.org/markup-compatibility/2006">
          <mc:Choice Requires="x14">
            <control shapeId="58388" r:id="rId25" name="Group Box 20">
              <controlPr defaultSize="0" autoFill="0" autoPict="0">
                <anchor moveWithCells="1">
                  <from>
                    <xdr:col>5</xdr:col>
                    <xdr:colOff>400050</xdr:colOff>
                    <xdr:row>25</xdr:row>
                    <xdr:rowOff>0</xdr:rowOff>
                  </from>
                  <to>
                    <xdr:col>25</xdr:col>
                    <xdr:colOff>0</xdr:colOff>
                    <xdr:row>29</xdr:row>
                    <xdr:rowOff>0</xdr:rowOff>
                  </to>
                </anchor>
              </controlPr>
            </control>
          </mc:Choice>
        </mc:AlternateContent>
        <mc:AlternateContent xmlns:mc="http://schemas.openxmlformats.org/markup-compatibility/2006">
          <mc:Choice Requires="x14">
            <control shapeId="58389" r:id="rId26" name="Option Button 21">
              <controlPr defaultSize="0" autoFill="0" autoLine="0" autoPict="0">
                <anchor moveWithCells="1">
                  <from>
                    <xdr:col>7</xdr:col>
                    <xdr:colOff>0</xdr:colOff>
                    <xdr:row>28</xdr:row>
                    <xdr:rowOff>0</xdr:rowOff>
                  </from>
                  <to>
                    <xdr:col>10</xdr:col>
                    <xdr:colOff>152400</xdr:colOff>
                    <xdr:row>29</xdr:row>
                    <xdr:rowOff>0</xdr:rowOff>
                  </to>
                </anchor>
              </controlPr>
            </control>
          </mc:Choice>
        </mc:AlternateContent>
        <mc:AlternateContent xmlns:mc="http://schemas.openxmlformats.org/markup-compatibility/2006">
          <mc:Choice Requires="x14">
            <control shapeId="58390" r:id="rId27" name="Option Button 22">
              <controlPr defaultSize="0" autoFill="0" autoLine="0" autoPict="0">
                <anchor moveWithCells="1">
                  <from>
                    <xdr:col>10</xdr:col>
                    <xdr:colOff>0</xdr:colOff>
                    <xdr:row>28</xdr:row>
                    <xdr:rowOff>0</xdr:rowOff>
                  </from>
                  <to>
                    <xdr:col>13</xdr:col>
                    <xdr:colOff>0</xdr:colOff>
                    <xdr:row>29</xdr:row>
                    <xdr:rowOff>0</xdr:rowOff>
                  </to>
                </anchor>
              </controlPr>
            </control>
          </mc:Choice>
        </mc:AlternateContent>
        <mc:AlternateContent xmlns:mc="http://schemas.openxmlformats.org/markup-compatibility/2006">
          <mc:Choice Requires="x14">
            <control shapeId="58396" r:id="rId28" name="Group Box 28">
              <controlPr defaultSize="0" autoFill="0" autoPict="0">
                <anchor moveWithCells="1">
                  <from>
                    <xdr:col>6</xdr:col>
                    <xdr:colOff>0</xdr:colOff>
                    <xdr:row>20</xdr:row>
                    <xdr:rowOff>0</xdr:rowOff>
                  </from>
                  <to>
                    <xdr:col>25</xdr:col>
                    <xdr:colOff>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AA109"/>
  <sheetViews>
    <sheetView showGridLines="0" zoomScale="70" zoomScaleNormal="70" workbookViewId="0">
      <pane ySplit="7" topLeftCell="A55" activePane="bottomLeft" state="frozen"/>
      <selection activeCell="B5" sqref="B5"/>
      <selection pane="bottomLeft"/>
    </sheetView>
  </sheetViews>
  <sheetFormatPr defaultRowHeight="18" outlineLevelCol="1"/>
  <cols>
    <col min="1" max="2" width="5.58203125" customWidth="1"/>
    <col min="3" max="3" width="9.08203125" bestFit="1" customWidth="1"/>
    <col min="4" max="4" width="8.58203125" customWidth="1"/>
    <col min="5" max="5" width="100.58203125" style="20" customWidth="1"/>
    <col min="6" max="6" width="16.58203125" customWidth="1"/>
    <col min="7" max="7" width="20.58203125" customWidth="1"/>
    <col min="8" max="8" width="55.58203125" customWidth="1"/>
    <col min="9" max="11" width="15.58203125" style="24" hidden="1" customWidth="1" outlineLevel="1"/>
    <col min="12" max="12" width="18.58203125" style="24" customWidth="1" collapsed="1"/>
    <col min="13" max="13" width="50.58203125" style="49" customWidth="1"/>
    <col min="14" max="14" width="17.58203125" style="49" hidden="1" customWidth="1" outlineLevel="1"/>
    <col min="15" max="21" width="15.58203125" style="24" hidden="1" customWidth="1" outlineLevel="1"/>
    <col min="22" max="25" width="15.58203125" hidden="1" customWidth="1" outlineLevel="1"/>
    <col min="26" max="26" width="40.75" customWidth="1" collapsed="1"/>
    <col min="27" max="27" width="18.58203125" customWidth="1"/>
  </cols>
  <sheetData>
    <row r="1" spans="1:27" ht="33" customHeight="1">
      <c r="A1" s="43" t="s">
        <v>225</v>
      </c>
      <c r="L1" s="387" t="str" cm="1">
        <f t="array" ref="L1">IF(COUNTIF(N10:N105,1)=0,インデックス!$CJ$187,IF(AND(インデックス!$AL$63,SUMPRODUCT((N10:N105=1)*($Z10:$Z105&lt;&gt;""))=0),インデックス!$CJ$188,インデックス!$CJ$189))</f>
        <v>全件評価完了</v>
      </c>
      <c r="M1" s="387"/>
    </row>
    <row r="2" spans="1:27" ht="25.5" customHeight="1">
      <c r="B2" s="42" t="s">
        <v>226</v>
      </c>
      <c r="L2" s="387"/>
      <c r="M2" s="387"/>
    </row>
    <row r="3" spans="1:27" ht="26.5">
      <c r="B3" s="42" t="s">
        <v>227</v>
      </c>
    </row>
    <row r="4" spans="1:27" ht="26.5">
      <c r="B4" s="42" t="s">
        <v>228</v>
      </c>
    </row>
    <row r="6" spans="1:27">
      <c r="E6" s="2"/>
      <c r="I6" s="160"/>
      <c r="J6" s="160"/>
      <c r="K6" s="160"/>
      <c r="L6" s="163" t="s">
        <v>229</v>
      </c>
      <c r="M6" s="161"/>
      <c r="N6" s="161"/>
      <c r="O6" s="25" t="b">
        <f>AND(インデックス!$AL$38,インデックス!$AL$63)</f>
        <v>0</v>
      </c>
      <c r="P6" s="25" t="b">
        <f>インデックス!$AL$39</f>
        <v>0</v>
      </c>
      <c r="Q6" s="25" t="b">
        <f>OR(インデックス!$AL$37,インデックス!$AL$40)</f>
        <v>0</v>
      </c>
      <c r="R6" s="32" t="b">
        <f>OR(AND(インデックス!$AL$63,インデックス!$AL$32),AND(インデックス!$AL$63,インデックス!$AL$33,インデックス!$AL$34))</f>
        <v>0</v>
      </c>
      <c r="S6" s="26" t="b">
        <f>AND(TRUE,NOT(OR(インデックス!$AL$51,インデックス!$AL$69)))</f>
        <v>1</v>
      </c>
      <c r="T6" s="26" t="b">
        <f>AND(インデックス!$AL$93,NOT(OR(インデックス!$AL$51,インデックス!$AL$69)))</f>
        <v>0</v>
      </c>
      <c r="U6" s="160"/>
      <c r="V6" s="162"/>
      <c r="W6" s="162"/>
      <c r="X6" s="162"/>
      <c r="Y6" s="162"/>
      <c r="Z6" s="162"/>
      <c r="AA6" s="162"/>
    </row>
    <row r="7" spans="1:27" ht="67.5">
      <c r="A7" s="293"/>
      <c r="B7" s="293"/>
      <c r="C7" s="293" t="s">
        <v>230</v>
      </c>
      <c r="D7" s="293" t="s">
        <v>155</v>
      </c>
      <c r="E7" s="292" t="s">
        <v>231</v>
      </c>
      <c r="F7" s="294" t="s">
        <v>232</v>
      </c>
      <c r="G7" s="64" t="s">
        <v>233</v>
      </c>
      <c r="H7" s="291" t="s">
        <v>1985</v>
      </c>
      <c r="I7" s="64" t="s">
        <v>234</v>
      </c>
      <c r="J7" s="64" t="s">
        <v>235</v>
      </c>
      <c r="K7" s="64" t="s">
        <v>236</v>
      </c>
      <c r="L7" s="159" t="s">
        <v>1998</v>
      </c>
      <c r="M7" s="73" t="s">
        <v>237</v>
      </c>
      <c r="N7" s="290" t="s">
        <v>1991</v>
      </c>
      <c r="O7" s="64" t="s">
        <v>238</v>
      </c>
      <c r="P7" s="64" t="s">
        <v>239</v>
      </c>
      <c r="Q7" s="159" t="s">
        <v>240</v>
      </c>
      <c r="R7" s="74" t="s">
        <v>195</v>
      </c>
      <c r="S7" s="74" t="s">
        <v>241</v>
      </c>
      <c r="T7" s="74" t="s">
        <v>242</v>
      </c>
      <c r="U7" s="74" t="s">
        <v>243</v>
      </c>
      <c r="V7" s="74" t="s">
        <v>244</v>
      </c>
      <c r="W7" s="74" t="s">
        <v>245</v>
      </c>
      <c r="X7" s="74" t="s">
        <v>246</v>
      </c>
      <c r="Y7" s="74" t="s">
        <v>247</v>
      </c>
      <c r="Z7" s="74" t="s">
        <v>248</v>
      </c>
      <c r="AA7" s="74" t="s">
        <v>249</v>
      </c>
    </row>
    <row r="8" spans="1:27" ht="22.5">
      <c r="A8" s="75" t="s">
        <v>250</v>
      </c>
      <c r="B8" s="75"/>
      <c r="C8" s="76"/>
      <c r="D8" s="76"/>
      <c r="E8" s="136"/>
      <c r="F8" s="78"/>
      <c r="G8" s="79"/>
      <c r="H8" s="79"/>
      <c r="I8" s="80"/>
      <c r="J8" s="80"/>
      <c r="K8" s="80"/>
      <c r="L8" s="80"/>
      <c r="M8" s="81"/>
      <c r="N8" s="81"/>
      <c r="O8" s="80"/>
      <c r="P8" s="80"/>
      <c r="Q8" s="80"/>
      <c r="R8" s="80"/>
      <c r="S8" s="80"/>
      <c r="T8" s="80"/>
      <c r="U8" s="80"/>
      <c r="V8" s="80"/>
      <c r="W8" s="80"/>
      <c r="X8" s="80"/>
      <c r="Y8" s="80"/>
      <c r="Z8" s="80"/>
      <c r="AA8" s="80"/>
    </row>
    <row r="9" spans="1:27" ht="22.5">
      <c r="A9" s="75"/>
      <c r="B9" s="82"/>
      <c r="C9" s="83"/>
      <c r="D9" s="83"/>
      <c r="E9" s="119"/>
      <c r="F9" s="85"/>
      <c r="G9" s="86"/>
      <c r="H9" s="86"/>
      <c r="I9" s="87"/>
      <c r="J9" s="87"/>
      <c r="K9" s="87"/>
      <c r="L9" s="87"/>
      <c r="M9" s="88"/>
      <c r="N9" s="88"/>
      <c r="O9" s="87"/>
      <c r="P9" s="87"/>
      <c r="Q9" s="87"/>
      <c r="R9" s="89"/>
      <c r="S9" s="89"/>
      <c r="T9" s="89"/>
      <c r="U9" s="89"/>
      <c r="V9" s="89"/>
      <c r="W9" s="89"/>
      <c r="X9" s="89"/>
      <c r="Y9" s="89"/>
      <c r="Z9" s="89"/>
      <c r="AA9" s="89"/>
    </row>
    <row r="10" spans="1:27" ht="22.5">
      <c r="A10" s="75"/>
      <c r="B10" s="82"/>
      <c r="C10" s="90" t="s">
        <v>251</v>
      </c>
      <c r="D10" s="90" t="s">
        <v>252</v>
      </c>
      <c r="E10" s="91" t="s">
        <v>253</v>
      </c>
      <c r="F10" s="110" t="s">
        <v>254</v>
      </c>
      <c r="G10" s="100"/>
      <c r="H10" s="100"/>
      <c r="I10" s="111"/>
      <c r="J10" s="111"/>
      <c r="K10" s="111"/>
      <c r="L10" s="111"/>
      <c r="M10" s="248"/>
      <c r="N10" s="111" cm="1">
        <f t="array" ref="N10">IF(U10=TRUE,_xlfn.IFS(L10=1,2,L10="",IF(M10="",1,2)),0)</f>
        <v>0</v>
      </c>
      <c r="O10" s="102" t="s">
        <v>255</v>
      </c>
      <c r="P10" s="102" t="s">
        <v>255</v>
      </c>
      <c r="Q10" s="102" t="s">
        <v>255</v>
      </c>
      <c r="R10" s="96" t="s">
        <v>183</v>
      </c>
      <c r="S10" s="96" t="s">
        <v>183</v>
      </c>
      <c r="T10" s="96"/>
      <c r="U10" s="170" t="b">
        <f>AND(OR(AND($O$6=TRUE,$O10&lt;&gt;""),AND($P$6=TRUE,$P10&lt;&gt;""),AND($Q$6=TRUE,$Q10&lt;&gt;"")),AND($R$6=TRUE,$R10&lt;&gt;""),OR(AND($S$6=TRUE,$S10&lt;&gt;""),AND($T$6=TRUE,$T10&lt;&gt;"")))</f>
        <v>0</v>
      </c>
      <c r="V10" s="170" t="s">
        <v>183</v>
      </c>
      <c r="W10" s="170"/>
      <c r="X10" s="170"/>
      <c r="Y10" s="170"/>
      <c r="Z10" s="170" t="str">
        <f>IF(V10&lt;&gt;"","セキュリティ管理/","")&amp;IF(W10&lt;&gt;"","マルウェア/","")&amp;IF(X10&lt;&gt;"","クラウド/","")&amp;IF(Y10&lt;&gt;"","別表1,2,3","")</f>
        <v>セキュリティ管理/</v>
      </c>
      <c r="AA10" s="170"/>
    </row>
    <row r="11" spans="1:27" ht="45">
      <c r="A11" s="75"/>
      <c r="B11" s="82"/>
      <c r="C11" s="90" t="s">
        <v>256</v>
      </c>
      <c r="D11" s="90" t="s">
        <v>257</v>
      </c>
      <c r="E11" s="91" t="s">
        <v>2081</v>
      </c>
      <c r="F11" s="110" t="s">
        <v>254</v>
      </c>
      <c r="G11" s="100"/>
      <c r="H11" s="100"/>
      <c r="I11" s="111"/>
      <c r="J11" s="111"/>
      <c r="K11" s="111"/>
      <c r="L11" s="111"/>
      <c r="M11" s="248"/>
      <c r="N11" s="111" cm="1">
        <f t="array" ref="N11">IF(U11=TRUE,_xlfn.IFS(L11=1,2,L11="",IF(M11="",1,2)),0)</f>
        <v>0</v>
      </c>
      <c r="O11" s="102" t="s">
        <v>255</v>
      </c>
      <c r="P11" s="102" t="s">
        <v>255</v>
      </c>
      <c r="Q11" s="102" t="s">
        <v>255</v>
      </c>
      <c r="R11" s="96" t="s">
        <v>183</v>
      </c>
      <c r="S11" s="96" t="s">
        <v>183</v>
      </c>
      <c r="T11" s="96"/>
      <c r="U11" s="170" t="b">
        <f>AND(OR(AND($O$6=TRUE,$O11&lt;&gt;""),AND($P$6=TRUE,$P11&lt;&gt;""),AND($Q$6=TRUE,$Q11&lt;&gt;"")),AND($R$6=TRUE,$R11&lt;&gt;""),OR(AND($S$6=TRUE,$S11&lt;&gt;""),AND($T$6=TRUE,$T11&lt;&gt;"")))</f>
        <v>0</v>
      </c>
      <c r="V11" s="170" t="s">
        <v>183</v>
      </c>
      <c r="W11" s="170"/>
      <c r="X11" s="170"/>
      <c r="Y11" s="170"/>
      <c r="Z11" s="170" t="str">
        <f>IF(V11&lt;&gt;"","セキュリティ管理/","")&amp;IF(W11&lt;&gt;"","マルウェア/","")&amp;IF(X11&lt;&gt;"","クラウド/","")&amp;IF(Y11&lt;&gt;"","別表1,2,3","")</f>
        <v>セキュリティ管理/</v>
      </c>
      <c r="AA11" s="170"/>
    </row>
    <row r="12" spans="1:27" ht="22.5">
      <c r="A12" s="75"/>
      <c r="B12" s="82"/>
      <c r="C12" s="90" t="s">
        <v>258</v>
      </c>
      <c r="D12" s="90" t="s">
        <v>259</v>
      </c>
      <c r="E12" s="91" t="s">
        <v>260</v>
      </c>
      <c r="F12" s="110" t="s">
        <v>254</v>
      </c>
      <c r="G12" s="100"/>
      <c r="H12" s="100"/>
      <c r="I12" s="111"/>
      <c r="J12" s="111"/>
      <c r="K12" s="111"/>
      <c r="L12" s="111"/>
      <c r="M12" s="248"/>
      <c r="N12" s="111" cm="1">
        <f t="array" ref="N12">IF(U12=TRUE,_xlfn.IFS(L12=1,2,L12="",IF(M12="",1,2)),0)</f>
        <v>0</v>
      </c>
      <c r="O12" s="102" t="s">
        <v>255</v>
      </c>
      <c r="P12" s="102" t="s">
        <v>255</v>
      </c>
      <c r="Q12" s="102" t="s">
        <v>255</v>
      </c>
      <c r="R12" s="96" t="s">
        <v>183</v>
      </c>
      <c r="S12" s="96" t="s">
        <v>183</v>
      </c>
      <c r="T12" s="96"/>
      <c r="U12" s="170" t="b">
        <f>AND(OR(AND($O$6=TRUE,$O12&lt;&gt;""),AND($P$6=TRUE,$P12&lt;&gt;""),AND($Q$6=TRUE,$Q12&lt;&gt;"")),AND($R$6=TRUE,$R12&lt;&gt;""),OR(AND($S$6=TRUE,$S12&lt;&gt;""),AND($T$6=TRUE,$T12&lt;&gt;"")))</f>
        <v>0</v>
      </c>
      <c r="V12" s="170"/>
      <c r="W12" s="170"/>
      <c r="X12" s="170" t="s">
        <v>183</v>
      </c>
      <c r="Y12" s="170"/>
      <c r="Z12" s="170" t="str">
        <f>IF(V12&lt;&gt;"","セキュリティ管理/","")&amp;IF(W12&lt;&gt;"","マルウェア/","")&amp;IF(X12&lt;&gt;"","クラウド/","")&amp;IF(Y12&lt;&gt;"","別表1,2,3","")</f>
        <v>クラウド/</v>
      </c>
      <c r="AA12" s="170"/>
    </row>
    <row r="13" spans="1:27" ht="22.5">
      <c r="A13" s="75"/>
      <c r="B13" s="82"/>
      <c r="C13" s="90" t="s">
        <v>261</v>
      </c>
      <c r="D13" s="90" t="s">
        <v>262</v>
      </c>
      <c r="E13" s="91" t="s">
        <v>263</v>
      </c>
      <c r="F13" s="110" t="s">
        <v>254</v>
      </c>
      <c r="G13" s="100"/>
      <c r="H13" s="100"/>
      <c r="I13" s="111"/>
      <c r="J13" s="111"/>
      <c r="K13" s="111"/>
      <c r="L13" s="111"/>
      <c r="M13" s="248"/>
      <c r="N13" s="111" cm="1">
        <f t="array" ref="N13">IF(U13=TRUE,_xlfn.IFS(L13=1,2,L13="",IF(M13="",1,2)),0)</f>
        <v>0</v>
      </c>
      <c r="O13" s="102" t="s">
        <v>255</v>
      </c>
      <c r="P13" s="102" t="s">
        <v>255</v>
      </c>
      <c r="Q13" s="102" t="s">
        <v>255</v>
      </c>
      <c r="R13" s="96" t="s">
        <v>183</v>
      </c>
      <c r="S13" s="96" t="s">
        <v>183</v>
      </c>
      <c r="T13" s="96"/>
      <c r="U13" s="170" t="b">
        <f>AND(OR(AND($O$6=TRUE,$O13&lt;&gt;""),AND($P$6=TRUE,$P13&lt;&gt;""),AND($Q$6=TRUE,$Q13&lt;&gt;"")),AND($R$6=TRUE,$R13&lt;&gt;""),OR(AND($S$6=TRUE,$S13&lt;&gt;""),AND($T$6=TRUE,$T13&lt;&gt;"")))</f>
        <v>0</v>
      </c>
      <c r="V13" s="170"/>
      <c r="W13" s="170"/>
      <c r="X13" s="170" t="s">
        <v>183</v>
      </c>
      <c r="Y13" s="170"/>
      <c r="Z13" s="170" t="str">
        <f>IF(V13&lt;&gt;"","セキュリティ管理/","")&amp;IF(W13&lt;&gt;"","マルウェア/","")&amp;IF(X13&lt;&gt;"","クラウド/","")&amp;IF(Y13&lt;&gt;"","別表1,2,3","")</f>
        <v>クラウド/</v>
      </c>
      <c r="AA13" s="170"/>
    </row>
    <row r="14" spans="1:27" ht="45">
      <c r="A14" s="75"/>
      <c r="B14" s="82"/>
      <c r="C14" s="90" t="s">
        <v>264</v>
      </c>
      <c r="D14" s="90" t="s">
        <v>265</v>
      </c>
      <c r="E14" s="91" t="s">
        <v>266</v>
      </c>
      <c r="F14" s="110" t="s">
        <v>254</v>
      </c>
      <c r="G14" s="100"/>
      <c r="H14" s="100"/>
      <c r="I14" s="111"/>
      <c r="J14" s="111"/>
      <c r="K14" s="111"/>
      <c r="L14" s="111"/>
      <c r="M14" s="248"/>
      <c r="N14" s="111" cm="1">
        <f t="array" ref="N14">IF(U14=TRUE,_xlfn.IFS(L14=1,2,L14="",IF(M14="",1,2)),0)</f>
        <v>0</v>
      </c>
      <c r="O14" s="102" t="s">
        <v>255</v>
      </c>
      <c r="P14" s="102" t="s">
        <v>255</v>
      </c>
      <c r="Q14" s="102" t="s">
        <v>255</v>
      </c>
      <c r="R14" s="96" t="s">
        <v>183</v>
      </c>
      <c r="S14" s="96" t="s">
        <v>183</v>
      </c>
      <c r="T14" s="96"/>
      <c r="U14" s="170" t="b">
        <f>AND(OR(AND($O$6=TRUE,$O14&lt;&gt;""),AND($P$6=TRUE,$P14&lt;&gt;""),AND($Q$6=TRUE,$Q14&lt;&gt;"")),AND($R$6=TRUE,$R14&lt;&gt;""),OR(AND($S$6=TRUE,$S14&lt;&gt;""),AND($T$6=TRUE,$T14&lt;&gt;"")))</f>
        <v>0</v>
      </c>
      <c r="V14" s="170"/>
      <c r="W14" s="170"/>
      <c r="X14" s="170" t="s">
        <v>183</v>
      </c>
      <c r="Y14" s="170"/>
      <c r="Z14" s="170" t="str">
        <f>IF(V14&lt;&gt;"","セキュリティ管理/","")&amp;IF(W14&lt;&gt;"","マルウェア/","")&amp;IF(X14&lt;&gt;"","クラウド/","")&amp;IF(Y14&lt;&gt;"","別表1,2,3","")</f>
        <v>クラウド/</v>
      </c>
      <c r="AA14" s="170"/>
    </row>
    <row r="15" spans="1:27" ht="22.5">
      <c r="A15" s="75" t="s">
        <v>267</v>
      </c>
      <c r="B15" s="75"/>
      <c r="C15" s="113"/>
      <c r="D15" s="76"/>
      <c r="E15" s="136"/>
      <c r="F15" s="138"/>
      <c r="G15" s="139"/>
      <c r="H15" s="139"/>
      <c r="I15" s="140"/>
      <c r="J15" s="140"/>
      <c r="K15" s="140"/>
      <c r="L15" s="140"/>
      <c r="M15" s="255"/>
      <c r="N15" s="255"/>
      <c r="O15" s="140"/>
      <c r="P15" s="140"/>
      <c r="Q15" s="140"/>
      <c r="R15" s="80"/>
      <c r="S15" s="80"/>
      <c r="T15" s="80"/>
      <c r="U15" s="80" t="s">
        <v>268</v>
      </c>
      <c r="V15" s="80"/>
      <c r="W15" s="80"/>
      <c r="X15" s="80"/>
      <c r="Y15" s="80"/>
      <c r="Z15" s="80"/>
      <c r="AA15" s="80"/>
    </row>
    <row r="16" spans="1:27" ht="22.5">
      <c r="A16" s="75"/>
      <c r="B16" s="82"/>
      <c r="C16" s="115"/>
      <c r="D16" s="83"/>
      <c r="E16" s="119"/>
      <c r="F16" s="141"/>
      <c r="G16" s="142"/>
      <c r="H16" s="142"/>
      <c r="I16" s="143"/>
      <c r="J16" s="143"/>
      <c r="K16" s="143"/>
      <c r="L16" s="143"/>
      <c r="M16" s="256"/>
      <c r="N16" s="256"/>
      <c r="O16" s="143"/>
      <c r="P16" s="143"/>
      <c r="Q16" s="143"/>
      <c r="R16" s="89"/>
      <c r="S16" s="89"/>
      <c r="T16" s="89"/>
      <c r="U16" s="89" t="s">
        <v>268</v>
      </c>
      <c r="V16" s="89"/>
      <c r="W16" s="89"/>
      <c r="X16" s="89"/>
      <c r="Y16" s="89"/>
      <c r="Z16" s="89"/>
      <c r="AA16" s="89"/>
    </row>
    <row r="17" spans="1:27" ht="45">
      <c r="A17" s="75"/>
      <c r="B17" s="82"/>
      <c r="C17" s="90" t="s">
        <v>269</v>
      </c>
      <c r="D17" s="90" t="s">
        <v>270</v>
      </c>
      <c r="E17" s="91" t="s">
        <v>271</v>
      </c>
      <c r="F17" s="110" t="s">
        <v>254</v>
      </c>
      <c r="G17" s="100"/>
      <c r="H17" s="100"/>
      <c r="I17" s="111"/>
      <c r="J17" s="111"/>
      <c r="K17" s="111"/>
      <c r="L17" s="111"/>
      <c r="M17" s="248"/>
      <c r="N17" s="111" cm="1">
        <f t="array" ref="N17">IF(U17=TRUE,_xlfn.IFS(L17=1,2,L17="",IF(M17="",1,2)),0)</f>
        <v>0</v>
      </c>
      <c r="O17" s="102" t="s">
        <v>255</v>
      </c>
      <c r="P17" s="102" t="s">
        <v>255</v>
      </c>
      <c r="Q17" s="102" t="s">
        <v>255</v>
      </c>
      <c r="R17" s="96" t="s">
        <v>183</v>
      </c>
      <c r="S17" s="96" t="s">
        <v>183</v>
      </c>
      <c r="T17" s="96"/>
      <c r="U17" s="170" t="b">
        <f>AND(OR(AND($O$6=TRUE,$O17&lt;&gt;""),AND($P$6=TRUE,$P17&lt;&gt;""),AND($Q$6=TRUE,$Q17&lt;&gt;"")),AND($R$6=TRUE,$R17&lt;&gt;""),OR(AND($S$6=TRUE,$S17&lt;&gt;""),AND($T$6=TRUE,$T17&lt;&gt;"")))</f>
        <v>0</v>
      </c>
      <c r="V17" s="170" t="s">
        <v>183</v>
      </c>
      <c r="W17" s="170"/>
      <c r="X17" s="170"/>
      <c r="Y17" s="170"/>
      <c r="Z17" s="170" t="str">
        <f>IF(V17&lt;&gt;"","セキュリティ管理/","")&amp;IF(W17&lt;&gt;"","マルウェア/","")&amp;IF(X17&lt;&gt;"","クラウド/","")&amp;IF(Y17&lt;&gt;"","別表1,2,3","")</f>
        <v>セキュリティ管理/</v>
      </c>
      <c r="AA17" s="170"/>
    </row>
    <row r="18" spans="1:27" ht="22.5">
      <c r="A18" s="75" t="s">
        <v>272</v>
      </c>
      <c r="B18" s="75"/>
      <c r="C18" s="113"/>
      <c r="D18" s="76"/>
      <c r="E18" s="136"/>
      <c r="F18" s="138"/>
      <c r="G18" s="139"/>
      <c r="H18" s="139"/>
      <c r="I18" s="140"/>
      <c r="J18" s="140"/>
      <c r="K18" s="140"/>
      <c r="L18" s="140"/>
      <c r="M18" s="255"/>
      <c r="N18" s="255"/>
      <c r="O18" s="140"/>
      <c r="P18" s="140"/>
      <c r="Q18" s="140"/>
      <c r="R18" s="80"/>
      <c r="S18" s="80"/>
      <c r="T18" s="80"/>
      <c r="U18" s="80" t="s">
        <v>268</v>
      </c>
      <c r="V18" s="80"/>
      <c r="W18" s="80"/>
      <c r="X18" s="80"/>
      <c r="Y18" s="80"/>
      <c r="Z18" s="80"/>
      <c r="AA18" s="80"/>
    </row>
    <row r="19" spans="1:27" ht="22.5">
      <c r="A19" s="75"/>
      <c r="B19" s="82"/>
      <c r="C19" s="115"/>
      <c r="D19" s="83"/>
      <c r="E19" s="119"/>
      <c r="F19" s="141"/>
      <c r="G19" s="142"/>
      <c r="H19" s="142"/>
      <c r="I19" s="143"/>
      <c r="J19" s="143"/>
      <c r="K19" s="143"/>
      <c r="L19" s="143"/>
      <c r="M19" s="256"/>
      <c r="N19" s="256"/>
      <c r="O19" s="143"/>
      <c r="P19" s="143"/>
      <c r="Q19" s="143"/>
      <c r="R19" s="89"/>
      <c r="S19" s="89"/>
      <c r="T19" s="89"/>
      <c r="U19" s="89" t="s">
        <v>268</v>
      </c>
      <c r="V19" s="89"/>
      <c r="W19" s="89"/>
      <c r="X19" s="89"/>
      <c r="Y19" s="89"/>
      <c r="Z19" s="89"/>
      <c r="AA19" s="89"/>
    </row>
    <row r="20" spans="1:27" ht="67.5">
      <c r="A20" s="75"/>
      <c r="B20" s="82"/>
      <c r="C20" s="71" t="s">
        <v>273</v>
      </c>
      <c r="D20" s="90" t="s">
        <v>274</v>
      </c>
      <c r="E20" s="91" t="s">
        <v>275</v>
      </c>
      <c r="F20" s="110" t="s">
        <v>254</v>
      </c>
      <c r="G20" s="100"/>
      <c r="H20" s="100"/>
      <c r="I20" s="111"/>
      <c r="J20" s="111"/>
      <c r="K20" s="111"/>
      <c r="L20" s="111"/>
      <c r="M20" s="248"/>
      <c r="N20" s="111" cm="1">
        <f t="array" ref="N20">IF(U20=TRUE,_xlfn.IFS(L20=1,2,L20="",IF(M20="",1,2)),0)</f>
        <v>0</v>
      </c>
      <c r="O20" s="102" t="s">
        <v>255</v>
      </c>
      <c r="P20" s="102" t="s">
        <v>255</v>
      </c>
      <c r="Q20" s="102" t="s">
        <v>255</v>
      </c>
      <c r="R20" s="96" t="s">
        <v>183</v>
      </c>
      <c r="S20" s="96" t="s">
        <v>183</v>
      </c>
      <c r="T20" s="96"/>
      <c r="U20" s="170" t="b">
        <f>AND(OR(AND($O$6=TRUE,$O20&lt;&gt;""),AND($P$6=TRUE,$P20&lt;&gt;""),AND($Q$6=TRUE,$Q20&lt;&gt;"")),AND($R$6=TRUE,$R20&lt;&gt;""),OR(AND($S$6=TRUE,$S20&lt;&gt;""),AND($T$6=TRUE,$T20&lt;&gt;"")))</f>
        <v>0</v>
      </c>
      <c r="V20" s="170" t="s">
        <v>183</v>
      </c>
      <c r="W20" s="170"/>
      <c r="X20" s="170"/>
      <c r="Y20" s="170"/>
      <c r="Z20" s="170" t="str">
        <f>IF(V20&lt;&gt;"","セキュリティ管理/","")&amp;IF(W20&lt;&gt;"","マルウェア/","")&amp;IF(X20&lt;&gt;"","クラウド/","")&amp;IF(Y20&lt;&gt;"","別表1,2,3","")</f>
        <v>セキュリティ管理/</v>
      </c>
      <c r="AA20" s="170"/>
    </row>
    <row r="21" spans="1:27" ht="45">
      <c r="A21" s="75"/>
      <c r="B21" s="82"/>
      <c r="C21" s="71" t="s">
        <v>276</v>
      </c>
      <c r="D21" s="90" t="s">
        <v>277</v>
      </c>
      <c r="E21" s="91" t="s">
        <v>278</v>
      </c>
      <c r="F21" s="110" t="s">
        <v>254</v>
      </c>
      <c r="G21" s="100"/>
      <c r="H21" s="100"/>
      <c r="I21" s="111"/>
      <c r="J21" s="111"/>
      <c r="K21" s="111"/>
      <c r="L21" s="111"/>
      <c r="M21" s="248"/>
      <c r="N21" s="111" cm="1">
        <f t="array" ref="N21">IF(U21=TRUE,_xlfn.IFS(L21=1,2,L21="",IF(M21="",1,2)),0)</f>
        <v>0</v>
      </c>
      <c r="O21" s="102" t="s">
        <v>255</v>
      </c>
      <c r="P21" s="102" t="s">
        <v>255</v>
      </c>
      <c r="Q21" s="102" t="s">
        <v>255</v>
      </c>
      <c r="R21" s="96" t="s">
        <v>183</v>
      </c>
      <c r="S21" s="96" t="s">
        <v>183</v>
      </c>
      <c r="T21" s="96"/>
      <c r="U21" s="170" t="b">
        <f>AND(OR(AND($O$6=TRUE,$O21&lt;&gt;""),AND($P$6=TRUE,$P21&lt;&gt;""),AND($Q$6=TRUE,$Q21&lt;&gt;"")),AND($R$6=TRUE,$R21&lt;&gt;""),OR(AND($S$6=TRUE,$S21&lt;&gt;""),AND($T$6=TRUE,$T21&lt;&gt;"")))</f>
        <v>0</v>
      </c>
      <c r="V21" s="170" t="s">
        <v>183</v>
      </c>
      <c r="W21" s="170"/>
      <c r="X21" s="170"/>
      <c r="Y21" s="170"/>
      <c r="Z21" s="170" t="str">
        <f>IF(V21&lt;&gt;"","セキュリティ管理/","")&amp;IF(W21&lt;&gt;"","マルウェア/","")&amp;IF(X21&lt;&gt;"","クラウド/","")&amp;IF(Y21&lt;&gt;"","別表1,2,3","")</f>
        <v>セキュリティ管理/</v>
      </c>
      <c r="AA21" s="170"/>
    </row>
    <row r="22" spans="1:27" ht="22.5">
      <c r="A22" s="75"/>
      <c r="B22" s="82"/>
      <c r="C22" s="71" t="s">
        <v>279</v>
      </c>
      <c r="D22" s="90" t="s">
        <v>280</v>
      </c>
      <c r="E22" s="91" t="s">
        <v>281</v>
      </c>
      <c r="F22" s="92" t="s">
        <v>254</v>
      </c>
      <c r="G22" s="100"/>
      <c r="H22" s="100"/>
      <c r="I22" s="94"/>
      <c r="J22" s="94"/>
      <c r="K22" s="94"/>
      <c r="L22" s="94"/>
      <c r="M22" s="247"/>
      <c r="N22" s="111" cm="1">
        <f t="array" ref="N22">IF(U22=TRUE,_xlfn.IFS(L22=1,2,L22="",IF(M22="",1,2)),0)</f>
        <v>0</v>
      </c>
      <c r="O22" s="102" t="s">
        <v>255</v>
      </c>
      <c r="P22" s="102" t="s">
        <v>255</v>
      </c>
      <c r="Q22" s="102" t="s">
        <v>255</v>
      </c>
      <c r="R22" s="96" t="s">
        <v>183</v>
      </c>
      <c r="S22" s="96" t="s">
        <v>183</v>
      </c>
      <c r="T22" s="96"/>
      <c r="U22" s="170" t="b">
        <f>AND(OR(AND($O$6=TRUE,$O22&lt;&gt;""),AND($P$6=TRUE,$P22&lt;&gt;""),AND($Q$6=TRUE,$Q22&lt;&gt;"")),AND($R$6=TRUE,$R22&lt;&gt;""),OR(AND($S$6=TRUE,$S22&lt;&gt;""),AND($T$6=TRUE,$T22&lt;&gt;"")))</f>
        <v>0</v>
      </c>
      <c r="V22" s="170" t="s">
        <v>183</v>
      </c>
      <c r="W22" s="170"/>
      <c r="X22" s="170"/>
      <c r="Y22" s="170"/>
      <c r="Z22" s="170" t="str">
        <f>IF(V22&lt;&gt;"","セキュリティ管理/","")&amp;IF(W22&lt;&gt;"","マルウェア/","")&amp;IF(X22&lt;&gt;"","クラウド/","")&amp;IF(Y22&lt;&gt;"","別表1,2,3","")</f>
        <v>セキュリティ管理/</v>
      </c>
      <c r="AA22" s="170"/>
    </row>
    <row r="23" spans="1:27" ht="22.5">
      <c r="A23" s="75" t="s">
        <v>282</v>
      </c>
      <c r="B23" s="75"/>
      <c r="C23" s="113"/>
      <c r="D23" s="76"/>
      <c r="E23" s="136"/>
      <c r="F23" s="138"/>
      <c r="G23" s="139"/>
      <c r="H23" s="139"/>
      <c r="I23" s="140"/>
      <c r="J23" s="140"/>
      <c r="K23" s="140"/>
      <c r="L23" s="140"/>
      <c r="M23" s="255"/>
      <c r="N23" s="255"/>
      <c r="O23" s="140"/>
      <c r="P23" s="140"/>
      <c r="Q23" s="140"/>
      <c r="R23" s="80"/>
      <c r="S23" s="80"/>
      <c r="T23" s="80"/>
      <c r="U23" s="80" t="s">
        <v>268</v>
      </c>
      <c r="V23" s="80"/>
      <c r="W23" s="80"/>
      <c r="X23" s="80"/>
      <c r="Y23" s="80"/>
      <c r="Z23" s="80"/>
      <c r="AA23" s="80"/>
    </row>
    <row r="24" spans="1:27" ht="22.5">
      <c r="A24" s="75"/>
      <c r="B24" s="82"/>
      <c r="C24" s="115"/>
      <c r="D24" s="83"/>
      <c r="E24" s="119"/>
      <c r="F24" s="141"/>
      <c r="G24" s="142"/>
      <c r="H24" s="142"/>
      <c r="I24" s="143"/>
      <c r="J24" s="143"/>
      <c r="K24" s="143"/>
      <c r="L24" s="143"/>
      <c r="M24" s="256"/>
      <c r="N24" s="256"/>
      <c r="O24" s="143"/>
      <c r="P24" s="143"/>
      <c r="Q24" s="143"/>
      <c r="R24" s="89"/>
      <c r="S24" s="89"/>
      <c r="T24" s="89"/>
      <c r="U24" s="89" t="s">
        <v>268</v>
      </c>
      <c r="V24" s="89"/>
      <c r="W24" s="89"/>
      <c r="X24" s="89"/>
      <c r="Y24" s="89"/>
      <c r="Z24" s="89"/>
      <c r="AA24" s="89"/>
    </row>
    <row r="25" spans="1:27" ht="164.5" customHeight="1">
      <c r="A25" s="75"/>
      <c r="B25" s="82"/>
      <c r="C25" s="90" t="s">
        <v>283</v>
      </c>
      <c r="D25" s="90" t="s">
        <v>284</v>
      </c>
      <c r="E25" s="91" t="s">
        <v>285</v>
      </c>
      <c r="F25" s="110" t="s">
        <v>254</v>
      </c>
      <c r="G25" s="100"/>
      <c r="H25" s="100"/>
      <c r="I25" s="111"/>
      <c r="J25" s="111"/>
      <c r="K25" s="111"/>
      <c r="L25" s="111"/>
      <c r="M25" s="248"/>
      <c r="N25" s="111" cm="1">
        <f t="array" ref="N25">IF(U25=TRUE,_xlfn.IFS(L25=1,2,L25="",IF(M25="",1,2)),0)</f>
        <v>0</v>
      </c>
      <c r="O25" s="102" t="s">
        <v>255</v>
      </c>
      <c r="P25" s="102" t="s">
        <v>255</v>
      </c>
      <c r="Q25" s="102" t="s">
        <v>255</v>
      </c>
      <c r="R25" s="96" t="s">
        <v>183</v>
      </c>
      <c r="S25" s="96" t="s">
        <v>183</v>
      </c>
      <c r="T25" s="96"/>
      <c r="U25" s="170" t="b">
        <f t="shared" ref="U25:U63" si="0">AND(OR(AND($O$6=TRUE,$O25&lt;&gt;""),AND($P$6=TRUE,$P25&lt;&gt;""),AND($Q$6=TRUE,$Q25&lt;&gt;"")),AND($R$6=TRUE,$R25&lt;&gt;""),OR(AND($S$6=TRUE,$S25&lt;&gt;""),AND($T$6=TRUE,$T25&lt;&gt;"")))</f>
        <v>0</v>
      </c>
      <c r="V25" s="170" t="s">
        <v>183</v>
      </c>
      <c r="W25" s="170"/>
      <c r="X25" s="170"/>
      <c r="Y25" s="170"/>
      <c r="Z25" s="170" t="str">
        <f t="shared" ref="Z25:Z88" si="1">IF(V25&lt;&gt;"","セキュリティ管理/","")&amp;IF(W25&lt;&gt;"","マルウェア/","")&amp;IF(X25&lt;&gt;"","クラウド/","")&amp;IF(Y25&lt;&gt;"","別表1,2,3","")</f>
        <v>セキュリティ管理/</v>
      </c>
      <c r="AA25" s="170"/>
    </row>
    <row r="26" spans="1:27" ht="157.5">
      <c r="A26" s="75"/>
      <c r="B26" s="82"/>
      <c r="C26" s="90" t="s">
        <v>286</v>
      </c>
      <c r="D26" s="90" t="s">
        <v>287</v>
      </c>
      <c r="E26" s="91" t="s">
        <v>288</v>
      </c>
      <c r="F26" s="92" t="s">
        <v>254</v>
      </c>
      <c r="G26" s="100"/>
      <c r="H26" s="100"/>
      <c r="I26" s="93"/>
      <c r="J26" s="93"/>
      <c r="K26" s="93"/>
      <c r="L26" s="94"/>
      <c r="M26" s="247"/>
      <c r="N26" s="111" cm="1">
        <f t="array" ref="N26">IF(U26=TRUE,_xlfn.IFS(L26=1,2,L26="",IF(M26="",1,2)),0)</f>
        <v>0</v>
      </c>
      <c r="O26" s="95" t="s">
        <v>255</v>
      </c>
      <c r="P26" s="95" t="s">
        <v>255</v>
      </c>
      <c r="Q26" s="102" t="s">
        <v>255</v>
      </c>
      <c r="R26" s="96" t="s">
        <v>183</v>
      </c>
      <c r="S26" s="96" t="s">
        <v>183</v>
      </c>
      <c r="T26" s="96"/>
      <c r="U26" s="170" t="b">
        <f t="shared" si="0"/>
        <v>0</v>
      </c>
      <c r="V26" s="170" t="s">
        <v>183</v>
      </c>
      <c r="W26" s="170"/>
      <c r="X26" s="170"/>
      <c r="Y26" s="170" t="s">
        <v>183</v>
      </c>
      <c r="Z26" s="170" t="str">
        <f t="shared" si="1"/>
        <v>セキュリティ管理/別表1,2,3</v>
      </c>
      <c r="AA26" s="170"/>
    </row>
    <row r="27" spans="1:27" ht="67.5">
      <c r="A27" s="75"/>
      <c r="B27" s="82"/>
      <c r="C27" s="90" t="s">
        <v>289</v>
      </c>
      <c r="D27" s="90" t="s">
        <v>290</v>
      </c>
      <c r="E27" s="91" t="s">
        <v>291</v>
      </c>
      <c r="F27" s="92" t="s">
        <v>254</v>
      </c>
      <c r="G27" s="100"/>
      <c r="H27" s="100"/>
      <c r="I27" s="93"/>
      <c r="J27" s="93"/>
      <c r="K27" s="93"/>
      <c r="L27" s="94"/>
      <c r="M27" s="247"/>
      <c r="N27" s="111" cm="1">
        <f t="array" ref="N27">IF(U27=TRUE,_xlfn.IFS(L27=1,2,L27="",IF(M27="",1,2)),0)</f>
        <v>0</v>
      </c>
      <c r="O27" s="102" t="s">
        <v>255</v>
      </c>
      <c r="P27" s="102" t="s">
        <v>255</v>
      </c>
      <c r="Q27" s="102" t="s">
        <v>255</v>
      </c>
      <c r="R27" s="96" t="s">
        <v>183</v>
      </c>
      <c r="S27" s="96"/>
      <c r="T27" s="96" t="s">
        <v>183</v>
      </c>
      <c r="U27" s="170" t="b">
        <f t="shared" si="0"/>
        <v>0</v>
      </c>
      <c r="V27" s="170"/>
      <c r="W27" s="170"/>
      <c r="X27" s="170"/>
      <c r="Y27" s="170" t="s">
        <v>183</v>
      </c>
      <c r="Z27" s="170" t="str">
        <f t="shared" si="1"/>
        <v>別表1,2,3</v>
      </c>
      <c r="AA27" s="170"/>
    </row>
    <row r="28" spans="1:27" ht="67.5">
      <c r="A28" s="75"/>
      <c r="B28" s="82"/>
      <c r="C28" s="90" t="s">
        <v>292</v>
      </c>
      <c r="D28" s="90" t="s">
        <v>293</v>
      </c>
      <c r="E28" s="91" t="s">
        <v>294</v>
      </c>
      <c r="F28" s="92" t="s">
        <v>254</v>
      </c>
      <c r="G28" s="100"/>
      <c r="H28" s="100"/>
      <c r="I28" s="93"/>
      <c r="J28" s="93"/>
      <c r="K28" s="93"/>
      <c r="L28" s="94"/>
      <c r="M28" s="247"/>
      <c r="N28" s="111" cm="1">
        <f t="array" ref="N28">IF(U28=TRUE,_xlfn.IFS(L28=1,2,L28="",IF(M28="",1,2)),0)</f>
        <v>0</v>
      </c>
      <c r="O28" s="95" t="s">
        <v>255</v>
      </c>
      <c r="P28" s="95" t="s">
        <v>255</v>
      </c>
      <c r="Q28" s="102" t="s">
        <v>255</v>
      </c>
      <c r="R28" s="96" t="s">
        <v>183</v>
      </c>
      <c r="S28" s="96" t="s">
        <v>183</v>
      </c>
      <c r="T28" s="96"/>
      <c r="U28" s="170" t="b">
        <f t="shared" si="0"/>
        <v>0</v>
      </c>
      <c r="V28" s="170" t="s">
        <v>183</v>
      </c>
      <c r="W28" s="170"/>
      <c r="X28" s="170"/>
      <c r="Y28" s="170"/>
      <c r="Z28" s="170" t="str">
        <f t="shared" si="1"/>
        <v>セキュリティ管理/</v>
      </c>
      <c r="AA28" s="170"/>
    </row>
    <row r="29" spans="1:27" ht="202.5">
      <c r="A29" s="75"/>
      <c r="B29" s="82"/>
      <c r="C29" s="90" t="s">
        <v>295</v>
      </c>
      <c r="D29" s="90" t="s">
        <v>296</v>
      </c>
      <c r="E29" s="91" t="s">
        <v>297</v>
      </c>
      <c r="F29" s="110" t="s">
        <v>254</v>
      </c>
      <c r="G29" s="100"/>
      <c r="H29" s="100"/>
      <c r="I29" s="111"/>
      <c r="J29" s="111"/>
      <c r="K29" s="111"/>
      <c r="L29" s="111"/>
      <c r="M29" s="248"/>
      <c r="N29" s="111" cm="1">
        <f t="array" ref="N29">IF(U29=TRUE,_xlfn.IFS(L29=1,2,L29="",IF(M29="",1,2)),0)</f>
        <v>0</v>
      </c>
      <c r="O29" s="102" t="s">
        <v>255</v>
      </c>
      <c r="P29" s="102" t="s">
        <v>255</v>
      </c>
      <c r="Q29" s="102" t="s">
        <v>255</v>
      </c>
      <c r="R29" s="96" t="s">
        <v>183</v>
      </c>
      <c r="S29" s="96" t="s">
        <v>183</v>
      </c>
      <c r="T29" s="96"/>
      <c r="U29" s="170" t="b">
        <f t="shared" si="0"/>
        <v>0</v>
      </c>
      <c r="V29" s="170" t="s">
        <v>183</v>
      </c>
      <c r="W29" s="170"/>
      <c r="X29" s="170"/>
      <c r="Y29" s="170"/>
      <c r="Z29" s="170" t="str">
        <f t="shared" si="1"/>
        <v>セキュリティ管理/</v>
      </c>
      <c r="AA29" s="170"/>
    </row>
    <row r="30" spans="1:27" ht="67.5">
      <c r="A30" s="75"/>
      <c r="B30" s="82"/>
      <c r="C30" s="90" t="s">
        <v>298</v>
      </c>
      <c r="D30" s="90" t="s">
        <v>299</v>
      </c>
      <c r="E30" s="107" t="s">
        <v>300</v>
      </c>
      <c r="F30" s="92" t="s">
        <v>254</v>
      </c>
      <c r="G30" s="100"/>
      <c r="H30" s="100"/>
      <c r="I30" s="93"/>
      <c r="J30" s="93"/>
      <c r="K30" s="93"/>
      <c r="L30" s="94"/>
      <c r="M30" s="247"/>
      <c r="N30" s="111" cm="1">
        <f t="array" ref="N30">IF(U30=TRUE,_xlfn.IFS(L30=1,2,L30="",IF(M30="",1,2)),0)</f>
        <v>0</v>
      </c>
      <c r="O30" s="95" t="s">
        <v>255</v>
      </c>
      <c r="P30" s="95" t="s">
        <v>255</v>
      </c>
      <c r="Q30" s="102" t="s">
        <v>255</v>
      </c>
      <c r="R30" s="96" t="s">
        <v>183</v>
      </c>
      <c r="S30" s="96" t="s">
        <v>183</v>
      </c>
      <c r="T30" s="96"/>
      <c r="U30" s="170" t="b">
        <f t="shared" si="0"/>
        <v>0</v>
      </c>
      <c r="V30" s="170" t="s">
        <v>183</v>
      </c>
      <c r="W30" s="170"/>
      <c r="X30" s="170"/>
      <c r="Y30" s="170" t="s">
        <v>183</v>
      </c>
      <c r="Z30" s="170" t="str">
        <f t="shared" si="1"/>
        <v>セキュリティ管理/別表1,2,3</v>
      </c>
      <c r="AA30" s="170"/>
    </row>
    <row r="31" spans="1:27" ht="45">
      <c r="A31" s="75"/>
      <c r="B31" s="82"/>
      <c r="C31" s="90" t="s">
        <v>301</v>
      </c>
      <c r="D31" s="90" t="s">
        <v>302</v>
      </c>
      <c r="E31" s="91" t="s">
        <v>303</v>
      </c>
      <c r="F31" s="93" t="s">
        <v>254</v>
      </c>
      <c r="G31" s="100"/>
      <c r="H31" s="100"/>
      <c r="I31" s="93"/>
      <c r="J31" s="93"/>
      <c r="K31" s="93"/>
      <c r="L31" s="94"/>
      <c r="M31" s="247"/>
      <c r="N31" s="111" cm="1">
        <f t="array" ref="N31">IF(U31=TRUE,_xlfn.IFS(L31=1,2,L31="",IF(M31="",1,2)),0)</f>
        <v>0</v>
      </c>
      <c r="O31" s="95" t="s">
        <v>255</v>
      </c>
      <c r="P31" s="95" t="s">
        <v>255</v>
      </c>
      <c r="Q31" s="102" t="s">
        <v>255</v>
      </c>
      <c r="R31" s="96" t="s">
        <v>183</v>
      </c>
      <c r="S31" s="96" t="s">
        <v>183</v>
      </c>
      <c r="T31" s="96"/>
      <c r="U31" s="170" t="b">
        <f t="shared" si="0"/>
        <v>0</v>
      </c>
      <c r="V31" s="170" t="s">
        <v>255</v>
      </c>
      <c r="W31" s="170"/>
      <c r="X31" s="170"/>
      <c r="Y31" s="170"/>
      <c r="Z31" s="170" t="str">
        <f t="shared" si="1"/>
        <v>セキュリティ管理/</v>
      </c>
      <c r="AA31" s="170"/>
    </row>
    <row r="32" spans="1:27" ht="45">
      <c r="A32" s="75"/>
      <c r="B32" s="82"/>
      <c r="C32" s="90" t="s">
        <v>304</v>
      </c>
      <c r="D32" s="90" t="s">
        <v>305</v>
      </c>
      <c r="E32" s="91" t="s">
        <v>306</v>
      </c>
      <c r="F32" s="92" t="s">
        <v>254</v>
      </c>
      <c r="G32" s="100"/>
      <c r="H32" s="100"/>
      <c r="I32" s="93"/>
      <c r="J32" s="93"/>
      <c r="K32" s="93"/>
      <c r="L32" s="94"/>
      <c r="M32" s="247"/>
      <c r="N32" s="111" cm="1">
        <f t="array" ref="N32">IF(U32=TRUE,_xlfn.IFS(L32=1,2,L32="",IF(M32="",1,2)),0)</f>
        <v>0</v>
      </c>
      <c r="O32" s="95" t="s">
        <v>255</v>
      </c>
      <c r="P32" s="95" t="s">
        <v>255</v>
      </c>
      <c r="Q32" s="102" t="s">
        <v>255</v>
      </c>
      <c r="R32" s="96" t="s">
        <v>183</v>
      </c>
      <c r="S32" s="96" t="s">
        <v>183</v>
      </c>
      <c r="T32" s="96"/>
      <c r="U32" s="170" t="b">
        <f t="shared" si="0"/>
        <v>0</v>
      </c>
      <c r="V32" s="170" t="s">
        <v>255</v>
      </c>
      <c r="W32" s="170"/>
      <c r="X32" s="170"/>
      <c r="Y32" s="170"/>
      <c r="Z32" s="170" t="str">
        <f t="shared" si="1"/>
        <v>セキュリティ管理/</v>
      </c>
      <c r="AA32" s="170"/>
    </row>
    <row r="33" spans="1:27" ht="157.5">
      <c r="A33" s="75"/>
      <c r="B33" s="82"/>
      <c r="C33" s="90" t="s">
        <v>307</v>
      </c>
      <c r="D33" s="90" t="s">
        <v>308</v>
      </c>
      <c r="E33" s="91" t="s">
        <v>309</v>
      </c>
      <c r="F33" s="110" t="s">
        <v>254</v>
      </c>
      <c r="G33" s="100"/>
      <c r="H33" s="100"/>
      <c r="I33" s="111"/>
      <c r="J33" s="111"/>
      <c r="K33" s="111"/>
      <c r="L33" s="111"/>
      <c r="M33" s="248"/>
      <c r="N33" s="111" cm="1">
        <f t="array" ref="N33">IF(U33=TRUE,_xlfn.IFS(L33=1,2,L33="",IF(M33="",1,2)),0)</f>
        <v>0</v>
      </c>
      <c r="O33" s="102" t="s">
        <v>255</v>
      </c>
      <c r="P33" s="102" t="s">
        <v>255</v>
      </c>
      <c r="Q33" s="102" t="s">
        <v>255</v>
      </c>
      <c r="R33" s="96" t="s">
        <v>183</v>
      </c>
      <c r="S33" s="96" t="s">
        <v>183</v>
      </c>
      <c r="T33" s="96"/>
      <c r="U33" s="170" t="b">
        <f t="shared" si="0"/>
        <v>0</v>
      </c>
      <c r="V33" s="170" t="s">
        <v>183</v>
      </c>
      <c r="W33" s="170"/>
      <c r="X33" s="170"/>
      <c r="Y33" s="170"/>
      <c r="Z33" s="170" t="str">
        <f t="shared" si="1"/>
        <v>セキュリティ管理/</v>
      </c>
      <c r="AA33" s="170"/>
    </row>
    <row r="34" spans="1:27" ht="45">
      <c r="A34" s="75"/>
      <c r="B34" s="82"/>
      <c r="C34" s="90" t="s">
        <v>310</v>
      </c>
      <c r="D34" s="90" t="s">
        <v>311</v>
      </c>
      <c r="E34" s="91" t="s">
        <v>312</v>
      </c>
      <c r="F34" s="92" t="s">
        <v>254</v>
      </c>
      <c r="G34" s="100"/>
      <c r="H34" s="100"/>
      <c r="I34" s="93"/>
      <c r="J34" s="93"/>
      <c r="K34" s="93"/>
      <c r="L34" s="94"/>
      <c r="M34" s="247"/>
      <c r="N34" s="111" cm="1">
        <f t="array" ref="N34">IF(U34=TRUE,_xlfn.IFS(L34=1,2,L34="",IF(M34="",1,2)),0)</f>
        <v>0</v>
      </c>
      <c r="O34" s="95" t="s">
        <v>255</v>
      </c>
      <c r="P34" s="95" t="s">
        <v>255</v>
      </c>
      <c r="Q34" s="102" t="s">
        <v>255</v>
      </c>
      <c r="R34" s="96" t="s">
        <v>183</v>
      </c>
      <c r="S34" s="96" t="s">
        <v>183</v>
      </c>
      <c r="T34" s="96"/>
      <c r="U34" s="170" t="b">
        <f t="shared" si="0"/>
        <v>0</v>
      </c>
      <c r="V34" s="170" t="s">
        <v>183</v>
      </c>
      <c r="W34" s="170"/>
      <c r="X34" s="170"/>
      <c r="Y34" s="170"/>
      <c r="Z34" s="170" t="str">
        <f t="shared" si="1"/>
        <v>セキュリティ管理/</v>
      </c>
      <c r="AA34" s="170"/>
    </row>
    <row r="35" spans="1:27" ht="135">
      <c r="A35" s="75"/>
      <c r="B35" s="82"/>
      <c r="C35" s="90" t="s">
        <v>313</v>
      </c>
      <c r="D35" s="90" t="s">
        <v>314</v>
      </c>
      <c r="E35" s="91" t="s">
        <v>315</v>
      </c>
      <c r="F35" s="92" t="s">
        <v>254</v>
      </c>
      <c r="G35" s="100"/>
      <c r="H35" s="100"/>
      <c r="I35" s="93"/>
      <c r="J35" s="93"/>
      <c r="K35" s="93"/>
      <c r="L35" s="94"/>
      <c r="M35" s="247"/>
      <c r="N35" s="111" cm="1">
        <f t="array" ref="N35">IF(U35=TRUE,_xlfn.IFS(L35=1,2,L35="",IF(M35="",1,2)),0)</f>
        <v>0</v>
      </c>
      <c r="O35" s="95" t="s">
        <v>255</v>
      </c>
      <c r="P35" s="95" t="s">
        <v>255</v>
      </c>
      <c r="Q35" s="102" t="s">
        <v>255</v>
      </c>
      <c r="R35" s="96" t="s">
        <v>183</v>
      </c>
      <c r="S35" s="96" t="s">
        <v>183</v>
      </c>
      <c r="T35" s="96"/>
      <c r="U35" s="170" t="b">
        <f t="shared" si="0"/>
        <v>0</v>
      </c>
      <c r="V35" s="170" t="s">
        <v>183</v>
      </c>
      <c r="W35" s="170"/>
      <c r="X35" s="170"/>
      <c r="Y35" s="170" t="s">
        <v>183</v>
      </c>
      <c r="Z35" s="170" t="str">
        <f t="shared" si="1"/>
        <v>セキュリティ管理/別表1,2,3</v>
      </c>
      <c r="AA35" s="170"/>
    </row>
    <row r="36" spans="1:27" ht="360">
      <c r="A36" s="75"/>
      <c r="B36" s="82"/>
      <c r="C36" s="90" t="s">
        <v>316</v>
      </c>
      <c r="D36" s="90" t="s">
        <v>317</v>
      </c>
      <c r="E36" s="91" t="s">
        <v>2197</v>
      </c>
      <c r="F36" s="92" t="s">
        <v>254</v>
      </c>
      <c r="G36" s="100"/>
      <c r="H36" s="100"/>
      <c r="I36" s="93"/>
      <c r="J36" s="93"/>
      <c r="K36" s="93"/>
      <c r="L36" s="94"/>
      <c r="M36" s="247"/>
      <c r="N36" s="111" cm="1">
        <f t="array" ref="N36">IF(U36=TRUE,_xlfn.IFS(L36=1,2,L36="",IF(M36="",1,2)),0)</f>
        <v>0</v>
      </c>
      <c r="O36" s="95" t="s">
        <v>255</v>
      </c>
      <c r="P36" s="95" t="s">
        <v>255</v>
      </c>
      <c r="Q36" s="102" t="s">
        <v>255</v>
      </c>
      <c r="R36" s="96" t="s">
        <v>183</v>
      </c>
      <c r="S36" s="96"/>
      <c r="T36" s="96" t="s">
        <v>183</v>
      </c>
      <c r="U36" s="170" t="b">
        <f t="shared" si="0"/>
        <v>0</v>
      </c>
      <c r="V36" s="170"/>
      <c r="W36" s="170"/>
      <c r="X36" s="170"/>
      <c r="Y36" s="170" t="s">
        <v>255</v>
      </c>
      <c r="Z36" s="170" t="str">
        <f t="shared" si="1"/>
        <v>別表1,2,3</v>
      </c>
      <c r="AA36" s="170" t="s">
        <v>2198</v>
      </c>
    </row>
    <row r="37" spans="1:27" ht="90">
      <c r="A37" s="75"/>
      <c r="B37" s="82"/>
      <c r="C37" s="90" t="s">
        <v>318</v>
      </c>
      <c r="D37" s="90" t="s">
        <v>319</v>
      </c>
      <c r="E37" s="91" t="s">
        <v>2002</v>
      </c>
      <c r="F37" s="92" t="s">
        <v>254</v>
      </c>
      <c r="G37" s="100"/>
      <c r="H37" s="100"/>
      <c r="I37" s="93"/>
      <c r="J37" s="93"/>
      <c r="K37" s="93"/>
      <c r="L37" s="94"/>
      <c r="M37" s="247"/>
      <c r="N37" s="111" cm="1">
        <f t="array" ref="N37">IF(U37=TRUE,_xlfn.IFS(L37=1,2,L37="",IF(M37="",1,2)),0)</f>
        <v>0</v>
      </c>
      <c r="O37" s="95" t="s">
        <v>255</v>
      </c>
      <c r="P37" s="95" t="s">
        <v>255</v>
      </c>
      <c r="Q37" s="102" t="s">
        <v>255</v>
      </c>
      <c r="R37" s="96" t="s">
        <v>183</v>
      </c>
      <c r="S37" s="96" t="s">
        <v>183</v>
      </c>
      <c r="T37" s="96"/>
      <c r="U37" s="170" t="b">
        <f t="shared" si="0"/>
        <v>0</v>
      </c>
      <c r="V37" s="170" t="s">
        <v>255</v>
      </c>
      <c r="W37" s="170"/>
      <c r="X37" s="170"/>
      <c r="Y37" s="170"/>
      <c r="Z37" s="170" t="str">
        <f t="shared" si="1"/>
        <v>セキュリティ管理/</v>
      </c>
      <c r="AA37" s="170" t="s">
        <v>2198</v>
      </c>
    </row>
    <row r="38" spans="1:27" ht="67.5">
      <c r="A38" s="75"/>
      <c r="B38" s="82"/>
      <c r="C38" s="196" t="s">
        <v>2005</v>
      </c>
      <c r="D38" s="196" t="s">
        <v>2003</v>
      </c>
      <c r="E38" s="91" t="s">
        <v>2004</v>
      </c>
      <c r="F38" s="92" t="s">
        <v>254</v>
      </c>
      <c r="G38" s="100"/>
      <c r="H38" s="100"/>
      <c r="I38" s="93"/>
      <c r="J38" s="93"/>
      <c r="K38" s="93"/>
      <c r="L38" s="94"/>
      <c r="M38" s="247"/>
      <c r="N38" s="111" cm="1">
        <f t="array" ref="N38">IF(U38=TRUE,_xlfn.IFS(L38=1,2,L38="",IF(M38="",1,2)),0)</f>
        <v>0</v>
      </c>
      <c r="O38" s="95" t="s">
        <v>255</v>
      </c>
      <c r="P38" s="95" t="s">
        <v>255</v>
      </c>
      <c r="Q38" s="102" t="s">
        <v>255</v>
      </c>
      <c r="R38" s="96" t="s">
        <v>183</v>
      </c>
      <c r="S38" s="96" t="s">
        <v>183</v>
      </c>
      <c r="T38" s="96"/>
      <c r="U38" s="170" t="b">
        <f>AND(OR(AND($O$6=TRUE,$O38&lt;&gt;""),AND($P$6=TRUE,$P38&lt;&gt;""),AND($Q$6=TRUE,$Q38&lt;&gt;"")),AND($R$6=TRUE,$R38&lt;&gt;""),OR(AND($S$6=TRUE,$S38&lt;&gt;""),AND($T$6=TRUE,$T38&lt;&gt;"")))</f>
        <v>0</v>
      </c>
      <c r="V38" s="170"/>
      <c r="W38" s="170"/>
      <c r="X38" s="170"/>
      <c r="Y38" s="170"/>
      <c r="Z38" s="170" t="str">
        <f t="shared" ref="Z38" si="2">IF(V38&lt;&gt;"","セキュリティ管理/","")&amp;IF(W38&lt;&gt;"","マルウェア/","")&amp;IF(X38&lt;&gt;"","クラウド/","")&amp;IF(Y38&lt;&gt;"","別表1,2,3","")</f>
        <v/>
      </c>
      <c r="AA38" s="170" t="s">
        <v>2225</v>
      </c>
    </row>
    <row r="39" spans="1:27" ht="270">
      <c r="A39" s="75"/>
      <c r="B39" s="82"/>
      <c r="C39" s="90" t="s">
        <v>320</v>
      </c>
      <c r="D39" s="194" t="s">
        <v>2006</v>
      </c>
      <c r="E39" s="91" t="s">
        <v>321</v>
      </c>
      <c r="F39" s="92" t="s">
        <v>254</v>
      </c>
      <c r="G39" s="100"/>
      <c r="H39" s="91"/>
      <c r="I39" s="108"/>
      <c r="J39" s="108"/>
      <c r="K39" s="108"/>
      <c r="L39" s="108"/>
      <c r="M39" s="200"/>
      <c r="N39" s="111" cm="1">
        <f t="array" ref="N39">IF(U39=TRUE,_xlfn.IFS(L39=1,2,L39="",IF(M39="",1,2)),0)</f>
        <v>0</v>
      </c>
      <c r="O39" s="102" t="s">
        <v>255</v>
      </c>
      <c r="P39" s="102" t="s">
        <v>255</v>
      </c>
      <c r="Q39" s="102" t="s">
        <v>255</v>
      </c>
      <c r="R39" s="96" t="s">
        <v>183</v>
      </c>
      <c r="S39" s="96" t="s">
        <v>183</v>
      </c>
      <c r="T39" s="96"/>
      <c r="U39" s="170" t="b">
        <f t="shared" si="0"/>
        <v>0</v>
      </c>
      <c r="V39" s="170" t="s">
        <v>255</v>
      </c>
      <c r="W39" s="170"/>
      <c r="X39" s="170"/>
      <c r="Y39" s="170" t="s">
        <v>183</v>
      </c>
      <c r="Z39" s="170" t="str">
        <f t="shared" si="1"/>
        <v>セキュリティ管理/別表1,2,3</v>
      </c>
      <c r="AA39" s="170" t="s">
        <v>322</v>
      </c>
    </row>
    <row r="40" spans="1:27" ht="337.5">
      <c r="A40" s="75"/>
      <c r="B40" s="82"/>
      <c r="C40" s="90" t="s">
        <v>323</v>
      </c>
      <c r="D40" s="71" t="s">
        <v>325</v>
      </c>
      <c r="E40" s="107" t="s">
        <v>2199</v>
      </c>
      <c r="F40" s="92" t="s">
        <v>254</v>
      </c>
      <c r="G40" s="100"/>
      <c r="H40" s="100"/>
      <c r="I40" s="108"/>
      <c r="J40" s="108"/>
      <c r="K40" s="108"/>
      <c r="L40" s="108"/>
      <c r="M40" s="200"/>
      <c r="N40" s="111" cm="1">
        <f t="array" ref="N40">IF(U40=TRUE,_xlfn.IFS(L40=1,2,L40="",IF(M40="",1,2)),0)</f>
        <v>0</v>
      </c>
      <c r="O40" s="102" t="s">
        <v>255</v>
      </c>
      <c r="P40" s="102" t="s">
        <v>255</v>
      </c>
      <c r="Q40" s="102" t="s">
        <v>255</v>
      </c>
      <c r="R40" s="96" t="s">
        <v>183</v>
      </c>
      <c r="S40" s="96" t="s">
        <v>183</v>
      </c>
      <c r="T40" s="96"/>
      <c r="U40" s="170" t="b">
        <f t="shared" si="0"/>
        <v>0</v>
      </c>
      <c r="V40" s="170" t="s">
        <v>255</v>
      </c>
      <c r="W40" s="170"/>
      <c r="X40" s="170"/>
      <c r="Y40" s="170" t="s">
        <v>183</v>
      </c>
      <c r="Z40" s="170" t="str">
        <f t="shared" si="1"/>
        <v>セキュリティ管理/別表1,2,3</v>
      </c>
      <c r="AA40" s="170" t="s">
        <v>2198</v>
      </c>
    </row>
    <row r="41" spans="1:27" ht="202.5">
      <c r="A41" s="75"/>
      <c r="B41" s="82"/>
      <c r="C41" s="90" t="s">
        <v>324</v>
      </c>
      <c r="D41" s="196" t="s">
        <v>328</v>
      </c>
      <c r="E41" s="91" t="s">
        <v>326</v>
      </c>
      <c r="F41" s="92" t="s">
        <v>254</v>
      </c>
      <c r="G41" s="100"/>
      <c r="H41" s="100"/>
      <c r="I41" s="94"/>
      <c r="J41" s="94"/>
      <c r="K41" s="94"/>
      <c r="L41" s="94"/>
      <c r="M41" s="247"/>
      <c r="N41" s="111" cm="1">
        <f t="array" ref="N41">IF(U41=TRUE,_xlfn.IFS(L41=1,2,L41="",IF(M41="",1,2)),0)</f>
        <v>0</v>
      </c>
      <c r="O41" s="102" t="s">
        <v>255</v>
      </c>
      <c r="P41" s="102" t="s">
        <v>255</v>
      </c>
      <c r="Q41" s="102" t="s">
        <v>255</v>
      </c>
      <c r="R41" s="96" t="s">
        <v>183</v>
      </c>
      <c r="S41" s="96"/>
      <c r="T41" s="96" t="s">
        <v>183</v>
      </c>
      <c r="U41" s="170" t="b">
        <f t="shared" si="0"/>
        <v>0</v>
      </c>
      <c r="V41" s="170"/>
      <c r="W41" s="170"/>
      <c r="X41" s="170"/>
      <c r="Y41" s="170" t="s">
        <v>255</v>
      </c>
      <c r="Z41" s="170" t="str">
        <f t="shared" si="1"/>
        <v>別表1,2,3</v>
      </c>
      <c r="AA41" s="170"/>
    </row>
    <row r="42" spans="1:27" ht="67.5">
      <c r="A42" s="75"/>
      <c r="B42" s="82"/>
      <c r="C42" s="90" t="s">
        <v>327</v>
      </c>
      <c r="D42" s="196" t="s">
        <v>331</v>
      </c>
      <c r="E42" s="91" t="s">
        <v>329</v>
      </c>
      <c r="F42" s="92" t="s">
        <v>254</v>
      </c>
      <c r="G42" s="100"/>
      <c r="H42" s="100"/>
      <c r="I42" s="94"/>
      <c r="J42" s="94"/>
      <c r="K42" s="94"/>
      <c r="L42" s="94"/>
      <c r="M42" s="247"/>
      <c r="N42" s="111" cm="1">
        <f t="array" ref="N42">IF(U42=TRUE,_xlfn.IFS(L42=1,2,L42="",IF(M42="",1,2)),0)</f>
        <v>0</v>
      </c>
      <c r="O42" s="102" t="s">
        <v>255</v>
      </c>
      <c r="P42" s="102" t="s">
        <v>255</v>
      </c>
      <c r="Q42" s="102" t="s">
        <v>255</v>
      </c>
      <c r="R42" s="96" t="s">
        <v>183</v>
      </c>
      <c r="S42" s="96" t="s">
        <v>183</v>
      </c>
      <c r="T42" s="96"/>
      <c r="U42" s="170" t="b">
        <f t="shared" si="0"/>
        <v>0</v>
      </c>
      <c r="V42" s="170"/>
      <c r="W42" s="170" t="s">
        <v>183</v>
      </c>
      <c r="X42" s="170"/>
      <c r="Y42" s="170"/>
      <c r="Z42" s="170" t="str">
        <f t="shared" si="1"/>
        <v>マルウェア/</v>
      </c>
      <c r="AA42" s="170"/>
    </row>
    <row r="43" spans="1:27" ht="90">
      <c r="A43" s="75"/>
      <c r="B43" s="82"/>
      <c r="C43" s="90" t="s">
        <v>330</v>
      </c>
      <c r="D43" s="196" t="s">
        <v>2007</v>
      </c>
      <c r="E43" s="91" t="s">
        <v>332</v>
      </c>
      <c r="F43" s="92" t="s">
        <v>254</v>
      </c>
      <c r="G43" s="100"/>
      <c r="H43" s="100"/>
      <c r="I43" s="94"/>
      <c r="J43" s="94"/>
      <c r="K43" s="94"/>
      <c r="L43" s="94"/>
      <c r="M43" s="247"/>
      <c r="N43" s="111" cm="1">
        <f t="array" ref="N43">IF(U43=TRUE,_xlfn.IFS(L43=1,2,L43="",IF(M43="",1,2)),0)</f>
        <v>0</v>
      </c>
      <c r="O43" s="102" t="s">
        <v>255</v>
      </c>
      <c r="P43" s="102" t="s">
        <v>255</v>
      </c>
      <c r="Q43" s="102" t="s">
        <v>255</v>
      </c>
      <c r="R43" s="96" t="s">
        <v>183</v>
      </c>
      <c r="S43" s="96" t="s">
        <v>183</v>
      </c>
      <c r="T43" s="96"/>
      <c r="U43" s="170" t="b">
        <f t="shared" si="0"/>
        <v>0</v>
      </c>
      <c r="V43" s="170" t="s">
        <v>183</v>
      </c>
      <c r="W43" s="170"/>
      <c r="X43" s="170"/>
      <c r="Y43" s="170"/>
      <c r="Z43" s="170" t="str">
        <f t="shared" si="1"/>
        <v>セキュリティ管理/</v>
      </c>
      <c r="AA43" s="170"/>
    </row>
    <row r="44" spans="1:27" ht="292.5">
      <c r="A44" s="75"/>
      <c r="B44" s="82"/>
      <c r="C44" s="90" t="s">
        <v>333</v>
      </c>
      <c r="D44" s="196" t="s">
        <v>2008</v>
      </c>
      <c r="E44" s="91" t="s">
        <v>334</v>
      </c>
      <c r="F44" s="92" t="s">
        <v>254</v>
      </c>
      <c r="G44" s="100"/>
      <c r="H44" s="100"/>
      <c r="I44" s="94"/>
      <c r="J44" s="94"/>
      <c r="K44" s="94"/>
      <c r="L44" s="94"/>
      <c r="M44" s="247"/>
      <c r="N44" s="111" cm="1">
        <f t="array" ref="N44">IF(U44=TRUE,_xlfn.IFS(L44=1,2,L44="",IF(M44="",1,2)),0)</f>
        <v>0</v>
      </c>
      <c r="O44" s="102" t="s">
        <v>255</v>
      </c>
      <c r="P44" s="102" t="s">
        <v>255</v>
      </c>
      <c r="Q44" s="102" t="s">
        <v>255</v>
      </c>
      <c r="R44" s="96" t="s">
        <v>183</v>
      </c>
      <c r="S44" s="96" t="s">
        <v>183</v>
      </c>
      <c r="T44" s="96"/>
      <c r="U44" s="170" t="b">
        <f t="shared" si="0"/>
        <v>0</v>
      </c>
      <c r="V44" s="170" t="s">
        <v>183</v>
      </c>
      <c r="W44" s="170" t="s">
        <v>183</v>
      </c>
      <c r="X44" s="170"/>
      <c r="Y44" s="170" t="s">
        <v>183</v>
      </c>
      <c r="Z44" s="170" t="str">
        <f t="shared" si="1"/>
        <v>セキュリティ管理/マルウェア/別表1,2,3</v>
      </c>
      <c r="AA44" s="170"/>
    </row>
    <row r="45" spans="1:27" ht="202.5">
      <c r="A45" s="75"/>
      <c r="B45" s="82"/>
      <c r="C45" s="90" t="s">
        <v>335</v>
      </c>
      <c r="D45" s="196" t="s">
        <v>2009</v>
      </c>
      <c r="E45" s="91" t="s">
        <v>336</v>
      </c>
      <c r="F45" s="92" t="s">
        <v>254</v>
      </c>
      <c r="G45" s="100"/>
      <c r="H45" s="100"/>
      <c r="I45" s="94"/>
      <c r="J45" s="94"/>
      <c r="K45" s="94"/>
      <c r="L45" s="94"/>
      <c r="M45" s="247"/>
      <c r="N45" s="111" cm="1">
        <f t="array" ref="N45">IF(U45=TRUE,_xlfn.IFS(L45=1,2,L45="",IF(M45="",1,2)),0)</f>
        <v>0</v>
      </c>
      <c r="O45" s="102" t="s">
        <v>255</v>
      </c>
      <c r="P45" s="102" t="s">
        <v>255</v>
      </c>
      <c r="Q45" s="102" t="s">
        <v>255</v>
      </c>
      <c r="R45" s="96" t="s">
        <v>183</v>
      </c>
      <c r="S45" s="96" t="s">
        <v>183</v>
      </c>
      <c r="T45" s="96"/>
      <c r="U45" s="170" t="b">
        <f t="shared" si="0"/>
        <v>0</v>
      </c>
      <c r="V45" s="170" t="s">
        <v>255</v>
      </c>
      <c r="W45" s="170"/>
      <c r="X45" s="170"/>
      <c r="Y45" s="170" t="s">
        <v>183</v>
      </c>
      <c r="Z45" s="170" t="str">
        <f t="shared" si="1"/>
        <v>セキュリティ管理/別表1,2,3</v>
      </c>
      <c r="AA45" s="240" t="s">
        <v>337</v>
      </c>
    </row>
    <row r="46" spans="1:27" ht="135">
      <c r="A46" s="75"/>
      <c r="B46" s="82"/>
      <c r="C46" s="90" t="s">
        <v>338</v>
      </c>
      <c r="D46" s="196" t="s">
        <v>2010</v>
      </c>
      <c r="E46" s="91" t="s">
        <v>339</v>
      </c>
      <c r="F46" s="92" t="s">
        <v>254</v>
      </c>
      <c r="G46" s="100"/>
      <c r="H46" s="100"/>
      <c r="I46" s="144"/>
      <c r="J46" s="144"/>
      <c r="K46" s="94"/>
      <c r="L46" s="94"/>
      <c r="M46" s="247"/>
      <c r="N46" s="111" cm="1">
        <f t="array" ref="N46">IF(U46=TRUE,_xlfn.IFS(L46=1,2,L46="",IF(M46="",1,2)),0)</f>
        <v>0</v>
      </c>
      <c r="O46" s="102" t="s">
        <v>255</v>
      </c>
      <c r="P46" s="102" t="s">
        <v>255</v>
      </c>
      <c r="Q46" s="102" t="s">
        <v>255</v>
      </c>
      <c r="R46" s="96" t="s">
        <v>183</v>
      </c>
      <c r="S46" s="96"/>
      <c r="T46" s="96" t="s">
        <v>183</v>
      </c>
      <c r="U46" s="170" t="b">
        <f t="shared" si="0"/>
        <v>0</v>
      </c>
      <c r="V46" s="170"/>
      <c r="W46" s="170"/>
      <c r="X46" s="170"/>
      <c r="Y46" s="170" t="s">
        <v>255</v>
      </c>
      <c r="Z46" s="170" t="str">
        <f t="shared" si="1"/>
        <v>別表1,2,3</v>
      </c>
      <c r="AA46" s="170"/>
    </row>
    <row r="47" spans="1:27" ht="67.5">
      <c r="A47" s="75"/>
      <c r="B47" s="82"/>
      <c r="C47" s="90" t="s">
        <v>340</v>
      </c>
      <c r="D47" s="196" t="s">
        <v>2011</v>
      </c>
      <c r="E47" s="91" t="s">
        <v>341</v>
      </c>
      <c r="F47" s="92" t="s">
        <v>254</v>
      </c>
      <c r="G47" s="100"/>
      <c r="H47" s="100"/>
      <c r="I47" s="93"/>
      <c r="J47" s="93"/>
      <c r="K47" s="93"/>
      <c r="L47" s="94"/>
      <c r="M47" s="247"/>
      <c r="N47" s="111" cm="1">
        <f t="array" ref="N47">IF(U47=TRUE,_xlfn.IFS(L47=1,2,L47="",IF(M47="",1,2)),0)</f>
        <v>0</v>
      </c>
      <c r="O47" s="102" t="s">
        <v>255</v>
      </c>
      <c r="P47" s="102" t="s">
        <v>255</v>
      </c>
      <c r="Q47" s="102" t="s">
        <v>255</v>
      </c>
      <c r="R47" s="96" t="s">
        <v>183</v>
      </c>
      <c r="S47" s="96" t="s">
        <v>183</v>
      </c>
      <c r="T47" s="96"/>
      <c r="U47" s="170" t="b">
        <f t="shared" si="0"/>
        <v>0</v>
      </c>
      <c r="V47" s="170"/>
      <c r="W47" s="170" t="s">
        <v>255</v>
      </c>
      <c r="X47" s="170"/>
      <c r="Y47" s="170"/>
      <c r="Z47" s="170" t="str">
        <f t="shared" si="1"/>
        <v>マルウェア/</v>
      </c>
      <c r="AA47" s="170"/>
    </row>
    <row r="48" spans="1:27" ht="67.5">
      <c r="A48" s="75"/>
      <c r="B48" s="82"/>
      <c r="C48" s="90" t="s">
        <v>342</v>
      </c>
      <c r="D48" s="196" t="s">
        <v>2012</v>
      </c>
      <c r="E48" s="91" t="s">
        <v>343</v>
      </c>
      <c r="F48" s="92" t="s">
        <v>254</v>
      </c>
      <c r="G48" s="100"/>
      <c r="H48" s="100"/>
      <c r="I48" s="97"/>
      <c r="J48" s="97"/>
      <c r="K48" s="108"/>
      <c r="L48" s="108"/>
      <c r="M48" s="200"/>
      <c r="N48" s="111" cm="1">
        <f t="array" ref="N48">IF(U48=TRUE,_xlfn.IFS(L48=1,2,L48="",IF(M48="",1,2)),0)</f>
        <v>0</v>
      </c>
      <c r="O48" s="102" t="s">
        <v>255</v>
      </c>
      <c r="P48" s="102" t="s">
        <v>255</v>
      </c>
      <c r="Q48" s="102" t="s">
        <v>255</v>
      </c>
      <c r="R48" s="96" t="s">
        <v>183</v>
      </c>
      <c r="S48" s="96" t="s">
        <v>183</v>
      </c>
      <c r="T48" s="96"/>
      <c r="U48" s="170" t="b">
        <f t="shared" si="0"/>
        <v>0</v>
      </c>
      <c r="V48" s="170" t="s">
        <v>255</v>
      </c>
      <c r="W48" s="170"/>
      <c r="X48" s="170"/>
      <c r="Y48" s="170"/>
      <c r="Z48" s="170" t="str">
        <f t="shared" si="1"/>
        <v>セキュリティ管理/</v>
      </c>
      <c r="AA48" s="170"/>
    </row>
    <row r="49" spans="1:27" ht="225">
      <c r="A49" s="75"/>
      <c r="B49" s="82"/>
      <c r="C49" s="90" t="s">
        <v>344</v>
      </c>
      <c r="D49" s="196" t="s">
        <v>2013</v>
      </c>
      <c r="E49" s="91" t="s">
        <v>345</v>
      </c>
      <c r="F49" s="92" t="s">
        <v>254</v>
      </c>
      <c r="G49" s="100"/>
      <c r="H49" s="100"/>
      <c r="I49" s="94"/>
      <c r="J49" s="94"/>
      <c r="K49" s="94"/>
      <c r="L49" s="94"/>
      <c r="M49" s="247"/>
      <c r="N49" s="111" cm="1">
        <f t="array" ref="N49">IF(U49=TRUE,_xlfn.IFS(L49=1,2,L49="",IF(M49="",1,2)),0)</f>
        <v>0</v>
      </c>
      <c r="O49" s="102" t="s">
        <v>255</v>
      </c>
      <c r="P49" s="102" t="s">
        <v>255</v>
      </c>
      <c r="Q49" s="102" t="s">
        <v>255</v>
      </c>
      <c r="R49" s="96" t="s">
        <v>183</v>
      </c>
      <c r="S49" s="96" t="s">
        <v>183</v>
      </c>
      <c r="T49" s="96"/>
      <c r="U49" s="170" t="b">
        <f t="shared" si="0"/>
        <v>0</v>
      </c>
      <c r="V49" s="170"/>
      <c r="W49" s="170" t="s">
        <v>183</v>
      </c>
      <c r="X49" s="170"/>
      <c r="Y49" s="170"/>
      <c r="Z49" s="170" t="str">
        <f t="shared" si="1"/>
        <v>マルウェア/</v>
      </c>
      <c r="AA49" s="170"/>
    </row>
    <row r="50" spans="1:27" ht="180">
      <c r="A50" s="75"/>
      <c r="B50" s="82"/>
      <c r="C50" s="90" t="s">
        <v>346</v>
      </c>
      <c r="D50" s="196" t="s">
        <v>2014</v>
      </c>
      <c r="E50" s="91" t="s">
        <v>347</v>
      </c>
      <c r="F50" s="93" t="s">
        <v>254</v>
      </c>
      <c r="G50" s="100"/>
      <c r="H50" s="100"/>
      <c r="I50" s="94"/>
      <c r="J50" s="94"/>
      <c r="K50" s="94"/>
      <c r="L50" s="94"/>
      <c r="M50" s="247"/>
      <c r="N50" s="111" cm="1">
        <f t="array" ref="N50">IF(U50=TRUE,_xlfn.IFS(L50=1,2,L50="",IF(M50="",1,2)),0)</f>
        <v>0</v>
      </c>
      <c r="O50" s="102" t="s">
        <v>255</v>
      </c>
      <c r="P50" s="102" t="s">
        <v>255</v>
      </c>
      <c r="Q50" s="102" t="s">
        <v>255</v>
      </c>
      <c r="R50" s="96" t="s">
        <v>183</v>
      </c>
      <c r="S50" s="96" t="s">
        <v>183</v>
      </c>
      <c r="T50" s="96"/>
      <c r="U50" s="170" t="b">
        <f t="shared" si="0"/>
        <v>0</v>
      </c>
      <c r="V50" s="170"/>
      <c r="W50" s="170" t="s">
        <v>183</v>
      </c>
      <c r="X50" s="170"/>
      <c r="Y50" s="170"/>
      <c r="Z50" s="170" t="str">
        <f t="shared" si="1"/>
        <v>マルウェア/</v>
      </c>
      <c r="AA50" s="170"/>
    </row>
    <row r="51" spans="1:27" ht="202.5">
      <c r="A51" s="75"/>
      <c r="B51" s="82"/>
      <c r="C51" s="90" t="s">
        <v>348</v>
      </c>
      <c r="D51" s="196" t="s">
        <v>2015</v>
      </c>
      <c r="E51" s="91" t="s">
        <v>349</v>
      </c>
      <c r="F51" s="93" t="s">
        <v>254</v>
      </c>
      <c r="G51" s="100"/>
      <c r="H51" s="100"/>
      <c r="I51" s="94"/>
      <c r="J51" s="94"/>
      <c r="K51" s="94"/>
      <c r="L51" s="94"/>
      <c r="M51" s="247"/>
      <c r="N51" s="111" cm="1">
        <f t="array" ref="N51">IF(U51=TRUE,_xlfn.IFS(L51=1,2,L51="",IF(M51="",1,2)),0)</f>
        <v>0</v>
      </c>
      <c r="O51" s="102" t="s">
        <v>255</v>
      </c>
      <c r="P51" s="102" t="s">
        <v>255</v>
      </c>
      <c r="Q51" s="102" t="s">
        <v>255</v>
      </c>
      <c r="R51" s="96" t="s">
        <v>183</v>
      </c>
      <c r="S51" s="96" t="s">
        <v>183</v>
      </c>
      <c r="T51" s="96"/>
      <c r="U51" s="170" t="b">
        <f t="shared" si="0"/>
        <v>0</v>
      </c>
      <c r="V51" s="170"/>
      <c r="W51" s="170" t="s">
        <v>183</v>
      </c>
      <c r="X51" s="170"/>
      <c r="Y51" s="170" t="s">
        <v>183</v>
      </c>
      <c r="Z51" s="170" t="str">
        <f t="shared" si="1"/>
        <v>マルウェア/別表1,2,3</v>
      </c>
      <c r="AA51" s="170"/>
    </row>
    <row r="52" spans="1:27" ht="157.5">
      <c r="A52" s="75"/>
      <c r="B52" s="82"/>
      <c r="C52" s="90" t="s">
        <v>350</v>
      </c>
      <c r="D52" s="196" t="s">
        <v>2016</v>
      </c>
      <c r="E52" s="91" t="s">
        <v>351</v>
      </c>
      <c r="F52" s="92" t="s">
        <v>254</v>
      </c>
      <c r="G52" s="100"/>
      <c r="H52" s="100"/>
      <c r="I52" s="108"/>
      <c r="J52" s="108"/>
      <c r="K52" s="108"/>
      <c r="L52" s="108"/>
      <c r="M52" s="200"/>
      <c r="N52" s="111" cm="1">
        <f t="array" ref="N52">IF(U52=TRUE,_xlfn.IFS(L52=1,2,L52="",IF(M52="",1,2)),0)</f>
        <v>0</v>
      </c>
      <c r="O52" s="102" t="s">
        <v>255</v>
      </c>
      <c r="P52" s="102" t="s">
        <v>255</v>
      </c>
      <c r="Q52" s="102" t="s">
        <v>255</v>
      </c>
      <c r="R52" s="96" t="s">
        <v>183</v>
      </c>
      <c r="S52" s="96" t="s">
        <v>183</v>
      </c>
      <c r="T52" s="96"/>
      <c r="U52" s="170" t="b">
        <f t="shared" si="0"/>
        <v>0</v>
      </c>
      <c r="V52" s="170"/>
      <c r="W52" s="170" t="s">
        <v>183</v>
      </c>
      <c r="X52" s="170"/>
      <c r="Y52" s="170"/>
      <c r="Z52" s="170" t="str">
        <f t="shared" si="1"/>
        <v>マルウェア/</v>
      </c>
      <c r="AA52" s="170"/>
    </row>
    <row r="53" spans="1:27" ht="135">
      <c r="A53" s="75"/>
      <c r="B53" s="82"/>
      <c r="C53" s="90" t="s">
        <v>352</v>
      </c>
      <c r="D53" s="196" t="s">
        <v>2017</v>
      </c>
      <c r="E53" s="91" t="s">
        <v>353</v>
      </c>
      <c r="F53" s="92" t="s">
        <v>254</v>
      </c>
      <c r="G53" s="100"/>
      <c r="H53" s="100"/>
      <c r="I53" s="108"/>
      <c r="J53" s="108"/>
      <c r="K53" s="108"/>
      <c r="L53" s="108"/>
      <c r="M53" s="200"/>
      <c r="N53" s="111" cm="1">
        <f t="array" ref="N53">IF(U53=TRUE,_xlfn.IFS(L53=1,2,L53="",IF(M53="",1,2)),0)</f>
        <v>0</v>
      </c>
      <c r="O53" s="102" t="s">
        <v>255</v>
      </c>
      <c r="P53" s="102" t="s">
        <v>255</v>
      </c>
      <c r="Q53" s="102" t="s">
        <v>255</v>
      </c>
      <c r="R53" s="96" t="s">
        <v>183</v>
      </c>
      <c r="S53" s="96" t="s">
        <v>183</v>
      </c>
      <c r="T53" s="96"/>
      <c r="U53" s="170" t="b">
        <f t="shared" si="0"/>
        <v>0</v>
      </c>
      <c r="V53" s="170"/>
      <c r="W53" s="170" t="s">
        <v>183</v>
      </c>
      <c r="X53" s="170"/>
      <c r="Y53" s="170"/>
      <c r="Z53" s="170" t="str">
        <f t="shared" si="1"/>
        <v>マルウェア/</v>
      </c>
      <c r="AA53" s="170"/>
    </row>
    <row r="54" spans="1:27" ht="247.5">
      <c r="A54" s="75"/>
      <c r="B54" s="82"/>
      <c r="C54" s="90" t="s">
        <v>354</v>
      </c>
      <c r="D54" s="196" t="s">
        <v>2018</v>
      </c>
      <c r="E54" s="91" t="s">
        <v>355</v>
      </c>
      <c r="F54" s="92" t="s">
        <v>356</v>
      </c>
      <c r="G54" s="100"/>
      <c r="H54" s="100"/>
      <c r="I54" s="94"/>
      <c r="J54" s="94"/>
      <c r="K54" s="94"/>
      <c r="L54" s="94"/>
      <c r="M54" s="247"/>
      <c r="N54" s="111" cm="1">
        <f t="array" ref="N54">IF(U54=TRUE,_xlfn.IFS(L54=1,2,L54="",IF(M54="",1,2)),0)</f>
        <v>0</v>
      </c>
      <c r="O54" s="102" t="s">
        <v>255</v>
      </c>
      <c r="P54" s="102" t="s">
        <v>255</v>
      </c>
      <c r="Q54" s="102" t="s">
        <v>255</v>
      </c>
      <c r="R54" s="96" t="s">
        <v>183</v>
      </c>
      <c r="S54" s="96" t="s">
        <v>183</v>
      </c>
      <c r="T54" s="95"/>
      <c r="U54" s="170" t="b">
        <f t="shared" si="0"/>
        <v>0</v>
      </c>
      <c r="V54" s="94"/>
      <c r="W54" s="94"/>
      <c r="X54" s="94"/>
      <c r="Y54" s="94" t="s">
        <v>183</v>
      </c>
      <c r="Z54" s="170" t="str">
        <f t="shared" si="1"/>
        <v>別表1,2,3</v>
      </c>
      <c r="AA54" s="94"/>
    </row>
    <row r="55" spans="1:27" ht="270">
      <c r="A55" s="75"/>
      <c r="B55" s="82"/>
      <c r="C55" s="90" t="s">
        <v>357</v>
      </c>
      <c r="D55" s="196" t="s">
        <v>2019</v>
      </c>
      <c r="E55" s="91" t="s">
        <v>358</v>
      </c>
      <c r="F55" s="92" t="s">
        <v>254</v>
      </c>
      <c r="G55" s="100"/>
      <c r="H55" s="100"/>
      <c r="I55" s="144"/>
      <c r="J55" s="144"/>
      <c r="K55" s="94"/>
      <c r="L55" s="94"/>
      <c r="M55" s="247"/>
      <c r="N55" s="111" cm="1">
        <f t="array" ref="N55">IF(U55=TRUE,_xlfn.IFS(L55=1,2,L55="",IF(M55="",1,2)),0)</f>
        <v>0</v>
      </c>
      <c r="O55" s="102" t="s">
        <v>255</v>
      </c>
      <c r="P55" s="102" t="s">
        <v>255</v>
      </c>
      <c r="Q55" s="102" t="s">
        <v>255</v>
      </c>
      <c r="R55" s="96" t="s">
        <v>183</v>
      </c>
      <c r="S55" s="96"/>
      <c r="T55" s="96" t="s">
        <v>183</v>
      </c>
      <c r="U55" s="170" t="b">
        <f t="shared" si="0"/>
        <v>0</v>
      </c>
      <c r="V55" s="170"/>
      <c r="W55" s="170"/>
      <c r="X55" s="170"/>
      <c r="Y55" s="170" t="s">
        <v>183</v>
      </c>
      <c r="Z55" s="170" t="str">
        <f t="shared" si="1"/>
        <v>別表1,2,3</v>
      </c>
      <c r="AA55" s="170" t="s">
        <v>359</v>
      </c>
    </row>
    <row r="56" spans="1:27" ht="270">
      <c r="A56" s="75"/>
      <c r="B56" s="82"/>
      <c r="C56" s="90" t="s">
        <v>360</v>
      </c>
      <c r="D56" s="196" t="s">
        <v>2269</v>
      </c>
      <c r="E56" s="91" t="s">
        <v>2280</v>
      </c>
      <c r="F56" s="110" t="s">
        <v>361</v>
      </c>
      <c r="G56" s="100"/>
      <c r="H56" s="100"/>
      <c r="I56" s="111"/>
      <c r="J56" s="111"/>
      <c r="K56" s="111"/>
      <c r="L56" s="111"/>
      <c r="M56" s="248"/>
      <c r="N56" s="111" cm="1">
        <f t="array" ref="N56">IF(U56=TRUE,_xlfn.IFS(L56=1,2,L56="",IF(M56="",1,2)),0)</f>
        <v>0</v>
      </c>
      <c r="O56" s="102" t="s">
        <v>255</v>
      </c>
      <c r="P56" s="102" t="s">
        <v>255</v>
      </c>
      <c r="Q56" s="102" t="s">
        <v>255</v>
      </c>
      <c r="R56" s="96" t="s">
        <v>183</v>
      </c>
      <c r="S56" s="96" t="s">
        <v>183</v>
      </c>
      <c r="T56" s="96"/>
      <c r="U56" s="170" t="b">
        <f t="shared" si="0"/>
        <v>0</v>
      </c>
      <c r="V56" s="170" t="s">
        <v>183</v>
      </c>
      <c r="W56" s="170"/>
      <c r="X56" s="170"/>
      <c r="Y56" s="170"/>
      <c r="Z56" s="170" t="str">
        <f t="shared" si="1"/>
        <v>セキュリティ管理/</v>
      </c>
      <c r="AA56" s="170" t="s">
        <v>2276</v>
      </c>
    </row>
    <row r="57" spans="1:27" ht="202.5">
      <c r="A57" s="75"/>
      <c r="B57" s="82"/>
      <c r="C57" s="90" t="s">
        <v>362</v>
      </c>
      <c r="D57" s="196" t="s">
        <v>2020</v>
      </c>
      <c r="E57" s="91" t="s">
        <v>363</v>
      </c>
      <c r="F57" s="92" t="s">
        <v>254</v>
      </c>
      <c r="G57" s="100"/>
      <c r="H57" s="100"/>
      <c r="I57" s="94"/>
      <c r="J57" s="94"/>
      <c r="K57" s="94"/>
      <c r="L57" s="94"/>
      <c r="M57" s="247"/>
      <c r="N57" s="111" cm="1">
        <f t="array" ref="N57">IF(U57=TRUE,_xlfn.IFS(L57=1,2,L57="",IF(M57="",1,2)),0)</f>
        <v>0</v>
      </c>
      <c r="O57" s="102" t="s">
        <v>255</v>
      </c>
      <c r="P57" s="102" t="s">
        <v>255</v>
      </c>
      <c r="Q57" s="102" t="s">
        <v>255</v>
      </c>
      <c r="R57" s="96" t="s">
        <v>183</v>
      </c>
      <c r="S57" s="96" t="s">
        <v>183</v>
      </c>
      <c r="T57" s="96"/>
      <c r="U57" s="170" t="b">
        <f t="shared" si="0"/>
        <v>0</v>
      </c>
      <c r="V57" s="170"/>
      <c r="W57" s="170" t="s">
        <v>183</v>
      </c>
      <c r="X57" s="170"/>
      <c r="Y57" s="170"/>
      <c r="Z57" s="170" t="str">
        <f t="shared" si="1"/>
        <v>マルウェア/</v>
      </c>
      <c r="AA57" s="170"/>
    </row>
    <row r="58" spans="1:27" ht="270">
      <c r="A58" s="75"/>
      <c r="B58" s="82"/>
      <c r="C58" s="90" t="s">
        <v>364</v>
      </c>
      <c r="D58" s="196" t="s">
        <v>2021</v>
      </c>
      <c r="E58" s="91" t="s">
        <v>365</v>
      </c>
      <c r="F58" s="92" t="s">
        <v>254</v>
      </c>
      <c r="G58" s="100"/>
      <c r="H58" s="100"/>
      <c r="I58" s="145"/>
      <c r="J58" s="145"/>
      <c r="K58" s="145"/>
      <c r="L58" s="164"/>
      <c r="M58" s="257"/>
      <c r="N58" s="111" cm="1">
        <f t="array" ref="N58">IF(U58=TRUE,_xlfn.IFS(L58=1,2,L58="",IF(M58="",1,2)),0)</f>
        <v>0</v>
      </c>
      <c r="O58" s="95" t="s">
        <v>255</v>
      </c>
      <c r="P58" s="95" t="s">
        <v>255</v>
      </c>
      <c r="Q58" s="102" t="s">
        <v>255</v>
      </c>
      <c r="R58" s="96" t="s">
        <v>183</v>
      </c>
      <c r="S58" s="96" t="s">
        <v>183</v>
      </c>
      <c r="T58" s="96"/>
      <c r="U58" s="170" t="b">
        <f t="shared" si="0"/>
        <v>0</v>
      </c>
      <c r="V58" s="170"/>
      <c r="W58" s="170" t="s">
        <v>183</v>
      </c>
      <c r="X58" s="170"/>
      <c r="Y58" s="170"/>
      <c r="Z58" s="170" t="str">
        <f t="shared" si="1"/>
        <v>マルウェア/</v>
      </c>
      <c r="AA58" s="170"/>
    </row>
    <row r="59" spans="1:27" ht="180">
      <c r="A59" s="75"/>
      <c r="B59" s="82"/>
      <c r="C59" s="90" t="s">
        <v>366</v>
      </c>
      <c r="D59" s="196" t="s">
        <v>2022</v>
      </c>
      <c r="E59" s="91" t="s">
        <v>2191</v>
      </c>
      <c r="F59" s="92" t="s">
        <v>254</v>
      </c>
      <c r="G59" s="100"/>
      <c r="H59" s="100"/>
      <c r="I59" s="94"/>
      <c r="J59" s="94"/>
      <c r="K59" s="94"/>
      <c r="L59" s="94"/>
      <c r="M59" s="247"/>
      <c r="N59" s="111" cm="1">
        <f t="array" ref="N59">IF(U59=TRUE,_xlfn.IFS(L59=1,2,L59="",IF(M59="",1,2)),0)</f>
        <v>0</v>
      </c>
      <c r="O59" s="102" t="s">
        <v>255</v>
      </c>
      <c r="P59" s="102" t="s">
        <v>255</v>
      </c>
      <c r="Q59" s="102" t="s">
        <v>255</v>
      </c>
      <c r="R59" s="96" t="s">
        <v>183</v>
      </c>
      <c r="S59" s="96" t="s">
        <v>183</v>
      </c>
      <c r="T59" s="96"/>
      <c r="U59" s="170" t="b">
        <f t="shared" si="0"/>
        <v>0</v>
      </c>
      <c r="V59" s="170"/>
      <c r="W59" s="170" t="s">
        <v>183</v>
      </c>
      <c r="X59" s="170"/>
      <c r="Y59" s="170"/>
      <c r="Z59" s="170" t="str">
        <f t="shared" si="1"/>
        <v>マルウェア/</v>
      </c>
      <c r="AA59" s="170" t="s">
        <v>2231</v>
      </c>
    </row>
    <row r="60" spans="1:27" ht="90">
      <c r="A60" s="75"/>
      <c r="B60" s="82"/>
      <c r="C60" s="90" t="s">
        <v>367</v>
      </c>
      <c r="D60" s="196" t="s">
        <v>2023</v>
      </c>
      <c r="E60" s="91" t="s">
        <v>368</v>
      </c>
      <c r="F60" s="92" t="s">
        <v>254</v>
      </c>
      <c r="G60" s="100"/>
      <c r="H60" s="100"/>
      <c r="I60" s="108"/>
      <c r="J60" s="108"/>
      <c r="K60" s="108"/>
      <c r="L60" s="108"/>
      <c r="M60" s="200"/>
      <c r="N60" s="111" cm="1">
        <f t="array" ref="N60">IF(U60=TRUE,_xlfn.IFS(L60=1,2,L60="",IF(M60="",1,2)),0)</f>
        <v>0</v>
      </c>
      <c r="O60" s="102" t="s">
        <v>255</v>
      </c>
      <c r="P60" s="102" t="s">
        <v>255</v>
      </c>
      <c r="Q60" s="102" t="s">
        <v>255</v>
      </c>
      <c r="R60" s="96" t="s">
        <v>183</v>
      </c>
      <c r="S60" s="96" t="s">
        <v>183</v>
      </c>
      <c r="T60" s="96"/>
      <c r="U60" s="170" t="b">
        <f t="shared" si="0"/>
        <v>0</v>
      </c>
      <c r="V60" s="170"/>
      <c r="W60" s="170" t="s">
        <v>183</v>
      </c>
      <c r="X60" s="170"/>
      <c r="Y60" s="170"/>
      <c r="Z60" s="170" t="str">
        <f t="shared" si="1"/>
        <v>マルウェア/</v>
      </c>
      <c r="AA60" s="170"/>
    </row>
    <row r="61" spans="1:27" ht="67.5">
      <c r="A61" s="75"/>
      <c r="B61" s="82"/>
      <c r="C61" s="90" t="s">
        <v>369</v>
      </c>
      <c r="D61" s="196" t="s">
        <v>2024</v>
      </c>
      <c r="E61" s="91" t="s">
        <v>370</v>
      </c>
      <c r="F61" s="92" t="s">
        <v>254</v>
      </c>
      <c r="G61" s="100"/>
      <c r="H61" s="100"/>
      <c r="I61" s="108"/>
      <c r="J61" s="108"/>
      <c r="K61" s="108"/>
      <c r="L61" s="108"/>
      <c r="M61" s="200"/>
      <c r="N61" s="111" cm="1">
        <f t="array" ref="N61">IF(U61=TRUE,_xlfn.IFS(L61=1,2,L61="",IF(M61="",1,2)),0)</f>
        <v>0</v>
      </c>
      <c r="O61" s="102" t="s">
        <v>255</v>
      </c>
      <c r="P61" s="102" t="s">
        <v>255</v>
      </c>
      <c r="Q61" s="102" t="s">
        <v>255</v>
      </c>
      <c r="R61" s="96" t="s">
        <v>183</v>
      </c>
      <c r="S61" s="96" t="s">
        <v>183</v>
      </c>
      <c r="T61" s="96"/>
      <c r="U61" s="170" t="b">
        <f t="shared" si="0"/>
        <v>0</v>
      </c>
      <c r="V61" s="170"/>
      <c r="W61" s="170" t="s">
        <v>183</v>
      </c>
      <c r="X61" s="170"/>
      <c r="Y61" s="170"/>
      <c r="Z61" s="170" t="str">
        <f t="shared" si="1"/>
        <v>マルウェア/</v>
      </c>
      <c r="AA61" s="170"/>
    </row>
    <row r="62" spans="1:27" ht="180">
      <c r="A62" s="75"/>
      <c r="B62" s="101"/>
      <c r="C62" s="90" t="s">
        <v>371</v>
      </c>
      <c r="D62" s="196" t="s">
        <v>2025</v>
      </c>
      <c r="E62" s="91" t="s">
        <v>372</v>
      </c>
      <c r="F62" s="92" t="s">
        <v>356</v>
      </c>
      <c r="G62" s="100"/>
      <c r="H62" s="100"/>
      <c r="I62" s="93"/>
      <c r="J62" s="93"/>
      <c r="K62" s="93"/>
      <c r="L62" s="94"/>
      <c r="M62" s="247"/>
      <c r="N62" s="111" cm="1">
        <f t="array" ref="N62">IF(U62=TRUE,_xlfn.IFS(L62=1,2,L62="",IF(M62="",1,2)),0)</f>
        <v>0</v>
      </c>
      <c r="O62" s="96" t="s">
        <v>255</v>
      </c>
      <c r="P62" s="96" t="s">
        <v>255</v>
      </c>
      <c r="Q62" s="102" t="s">
        <v>255</v>
      </c>
      <c r="R62" s="96" t="s">
        <v>183</v>
      </c>
      <c r="S62" s="96" t="s">
        <v>183</v>
      </c>
      <c r="T62" s="96"/>
      <c r="U62" s="170" t="b">
        <f t="shared" si="0"/>
        <v>0</v>
      </c>
      <c r="V62" s="170"/>
      <c r="W62" s="170" t="s">
        <v>183</v>
      </c>
      <c r="X62" s="170"/>
      <c r="Y62" s="170"/>
      <c r="Z62" s="170" t="str">
        <f t="shared" si="1"/>
        <v>マルウェア/</v>
      </c>
      <c r="AA62" s="170"/>
    </row>
    <row r="63" spans="1:27" ht="409.5">
      <c r="A63" s="75"/>
      <c r="B63" s="82"/>
      <c r="C63" s="90" t="s">
        <v>373</v>
      </c>
      <c r="D63" s="196" t="s">
        <v>2026</v>
      </c>
      <c r="E63" s="91" t="s">
        <v>374</v>
      </c>
      <c r="F63" s="92" t="s">
        <v>254</v>
      </c>
      <c r="G63" s="100"/>
      <c r="H63" s="100"/>
      <c r="I63" s="108"/>
      <c r="J63" s="108"/>
      <c r="K63" s="108"/>
      <c r="L63" s="108"/>
      <c r="M63" s="200"/>
      <c r="N63" s="111" cm="1">
        <f t="array" ref="N63">IF(U63=TRUE,_xlfn.IFS(L63=1,2,L63="",IF(M63="",1,2)),0)</f>
        <v>0</v>
      </c>
      <c r="O63" s="102" t="s">
        <v>255</v>
      </c>
      <c r="P63" s="102" t="s">
        <v>255</v>
      </c>
      <c r="Q63" s="102" t="s">
        <v>255</v>
      </c>
      <c r="R63" s="96" t="s">
        <v>183</v>
      </c>
      <c r="S63" s="96" t="s">
        <v>183</v>
      </c>
      <c r="T63" s="96"/>
      <c r="U63" s="170" t="b">
        <f t="shared" si="0"/>
        <v>0</v>
      </c>
      <c r="V63" s="170"/>
      <c r="W63" s="170" t="s">
        <v>183</v>
      </c>
      <c r="X63" s="170"/>
      <c r="Y63" s="170"/>
      <c r="Z63" s="170" t="str">
        <f t="shared" si="1"/>
        <v>マルウェア/</v>
      </c>
      <c r="AA63" s="170"/>
    </row>
    <row r="64" spans="1:27" ht="225">
      <c r="A64" s="75"/>
      <c r="B64" s="82"/>
      <c r="C64" s="90" t="s">
        <v>375</v>
      </c>
      <c r="D64" s="196" t="s">
        <v>2027</v>
      </c>
      <c r="E64" s="91" t="s">
        <v>376</v>
      </c>
      <c r="F64" s="92" t="s">
        <v>254</v>
      </c>
      <c r="G64" s="100"/>
      <c r="H64" s="100"/>
      <c r="I64" s="93"/>
      <c r="J64" s="93"/>
      <c r="K64" s="93"/>
      <c r="L64" s="94"/>
      <c r="M64" s="247"/>
      <c r="N64" s="111" cm="1">
        <f t="array" ref="N64">IF(U64=TRUE,_xlfn.IFS(L64=1,2,L64="",IF(M64="",1,2)),0)</f>
        <v>0</v>
      </c>
      <c r="O64" s="95" t="s">
        <v>255</v>
      </c>
      <c r="P64" s="95" t="s">
        <v>255</v>
      </c>
      <c r="Q64" s="102" t="s">
        <v>255</v>
      </c>
      <c r="R64" s="96" t="s">
        <v>183</v>
      </c>
      <c r="S64" s="96" t="s">
        <v>183</v>
      </c>
      <c r="T64" s="96"/>
      <c r="U64" s="170" t="b">
        <f t="shared" ref="U64:U90" si="3">AND(OR(AND($O$6=TRUE,$O64&lt;&gt;""),AND($P$6=TRUE,$P64&lt;&gt;""),AND($Q$6=TRUE,$Q64&lt;&gt;"")),AND($R$6=TRUE,$R64&lt;&gt;""),OR(AND($S$6=TRUE,$S64&lt;&gt;""),AND($T$6=TRUE,$T64&lt;&gt;"")))</f>
        <v>0</v>
      </c>
      <c r="V64" s="170"/>
      <c r="W64" s="170" t="s">
        <v>183</v>
      </c>
      <c r="X64" s="170"/>
      <c r="Y64" s="170" t="s">
        <v>183</v>
      </c>
      <c r="Z64" s="170" t="str">
        <f t="shared" si="1"/>
        <v>マルウェア/別表1,2,3</v>
      </c>
      <c r="AA64" s="170"/>
    </row>
    <row r="65" spans="1:27" ht="225">
      <c r="A65" s="75"/>
      <c r="B65" s="82"/>
      <c r="C65" s="90" t="s">
        <v>377</v>
      </c>
      <c r="D65" s="196" t="s">
        <v>2028</v>
      </c>
      <c r="E65" s="91" t="s">
        <v>378</v>
      </c>
      <c r="F65" s="92" t="s">
        <v>254</v>
      </c>
      <c r="G65" s="100"/>
      <c r="H65" s="100"/>
      <c r="I65" s="93"/>
      <c r="J65" s="93"/>
      <c r="K65" s="93"/>
      <c r="L65" s="94"/>
      <c r="M65" s="247"/>
      <c r="N65" s="111" cm="1">
        <f t="array" ref="N65">IF(U65=TRUE,_xlfn.IFS(L65=1,2,L65="",IF(M65="",1,2)),0)</f>
        <v>0</v>
      </c>
      <c r="O65" s="95" t="s">
        <v>255</v>
      </c>
      <c r="P65" s="95" t="s">
        <v>255</v>
      </c>
      <c r="Q65" s="102" t="s">
        <v>255</v>
      </c>
      <c r="R65" s="96" t="s">
        <v>183</v>
      </c>
      <c r="S65" s="96" t="s">
        <v>183</v>
      </c>
      <c r="T65" s="96"/>
      <c r="U65" s="170" t="b">
        <f t="shared" si="3"/>
        <v>0</v>
      </c>
      <c r="V65" s="170"/>
      <c r="W65" s="170" t="s">
        <v>183</v>
      </c>
      <c r="X65" s="170"/>
      <c r="Y65" s="170"/>
      <c r="Z65" s="170" t="str">
        <f t="shared" si="1"/>
        <v>マルウェア/</v>
      </c>
      <c r="AA65" s="170"/>
    </row>
    <row r="66" spans="1:27" ht="157.5">
      <c r="A66" s="75"/>
      <c r="B66" s="82"/>
      <c r="C66" s="90" t="s">
        <v>379</v>
      </c>
      <c r="D66" s="196" t="s">
        <v>2029</v>
      </c>
      <c r="E66" s="91" t="s">
        <v>380</v>
      </c>
      <c r="F66" s="92" t="s">
        <v>254</v>
      </c>
      <c r="G66" s="100"/>
      <c r="H66" s="100"/>
      <c r="I66" s="146"/>
      <c r="J66" s="146"/>
      <c r="K66" s="146"/>
      <c r="L66" s="111"/>
      <c r="M66" s="257"/>
      <c r="N66" s="111" cm="1">
        <f t="array" ref="N66">IF(U66=TRUE,_xlfn.IFS(L66=1,2,L66="",IF(M66="",1,2)),0)</f>
        <v>0</v>
      </c>
      <c r="O66" s="96" t="s">
        <v>255</v>
      </c>
      <c r="P66" s="95" t="s">
        <v>255</v>
      </c>
      <c r="Q66" s="102" t="s">
        <v>255</v>
      </c>
      <c r="R66" s="96" t="s">
        <v>183</v>
      </c>
      <c r="S66" s="96" t="s">
        <v>183</v>
      </c>
      <c r="T66" s="96"/>
      <c r="U66" s="170" t="b">
        <f t="shared" si="3"/>
        <v>0</v>
      </c>
      <c r="V66" s="170"/>
      <c r="W66" s="170" t="s">
        <v>183</v>
      </c>
      <c r="X66" s="170"/>
      <c r="Y66" s="170"/>
      <c r="Z66" s="170" t="str">
        <f t="shared" si="1"/>
        <v>マルウェア/</v>
      </c>
      <c r="AA66" s="170"/>
    </row>
    <row r="67" spans="1:27" ht="225">
      <c r="A67" s="75"/>
      <c r="B67" s="82"/>
      <c r="C67" s="90" t="s">
        <v>381</v>
      </c>
      <c r="D67" s="196" t="s">
        <v>2030</v>
      </c>
      <c r="E67" s="91" t="s">
        <v>382</v>
      </c>
      <c r="F67" s="92" t="s">
        <v>254</v>
      </c>
      <c r="G67" s="100"/>
      <c r="H67" s="100"/>
      <c r="I67" s="93"/>
      <c r="J67" s="93"/>
      <c r="K67" s="93"/>
      <c r="L67" s="94"/>
      <c r="M67" s="247"/>
      <c r="N67" s="111" cm="1">
        <f t="array" ref="N67">IF(U67=TRUE,_xlfn.IFS(L67=1,2,L67="",IF(M67="",1,2)),0)</f>
        <v>0</v>
      </c>
      <c r="O67" s="102" t="s">
        <v>255</v>
      </c>
      <c r="P67" s="102" t="s">
        <v>255</v>
      </c>
      <c r="Q67" s="102" t="s">
        <v>255</v>
      </c>
      <c r="R67" s="96" t="s">
        <v>183</v>
      </c>
      <c r="S67" s="96"/>
      <c r="T67" s="96" t="s">
        <v>183</v>
      </c>
      <c r="U67" s="170" t="b">
        <f t="shared" si="3"/>
        <v>0</v>
      </c>
      <c r="V67" s="170"/>
      <c r="W67" s="170"/>
      <c r="X67" s="170"/>
      <c r="Y67" s="170" t="s">
        <v>183</v>
      </c>
      <c r="Z67" s="170" t="str">
        <f t="shared" si="1"/>
        <v>別表1,2,3</v>
      </c>
      <c r="AA67" s="170" t="s">
        <v>337</v>
      </c>
    </row>
    <row r="68" spans="1:27" ht="67.5">
      <c r="A68" s="75"/>
      <c r="B68" s="82"/>
      <c r="C68" s="90" t="s">
        <v>383</v>
      </c>
      <c r="D68" s="196" t="s">
        <v>2031</v>
      </c>
      <c r="E68" s="91" t="s">
        <v>384</v>
      </c>
      <c r="F68" s="92" t="s">
        <v>254</v>
      </c>
      <c r="G68" s="100"/>
      <c r="H68" s="100"/>
      <c r="I68" s="93"/>
      <c r="J68" s="93"/>
      <c r="K68" s="93"/>
      <c r="L68" s="94"/>
      <c r="M68" s="247"/>
      <c r="N68" s="111" cm="1">
        <f t="array" ref="N68">IF(U68=TRUE,_xlfn.IFS(L68=1,2,L68="",IF(M68="",1,2)),0)</f>
        <v>0</v>
      </c>
      <c r="O68" s="102" t="s">
        <v>255</v>
      </c>
      <c r="P68" s="102" t="s">
        <v>255</v>
      </c>
      <c r="Q68" s="102" t="s">
        <v>255</v>
      </c>
      <c r="R68" s="96" t="s">
        <v>183</v>
      </c>
      <c r="S68" s="96" t="s">
        <v>183</v>
      </c>
      <c r="T68" s="96"/>
      <c r="U68" s="170" t="b">
        <f t="shared" si="3"/>
        <v>0</v>
      </c>
      <c r="V68" s="170"/>
      <c r="W68" s="170" t="s">
        <v>183</v>
      </c>
      <c r="X68" s="170"/>
      <c r="Y68" s="170"/>
      <c r="Z68" s="170" t="str">
        <f t="shared" si="1"/>
        <v>マルウェア/</v>
      </c>
      <c r="AA68" s="170"/>
    </row>
    <row r="69" spans="1:27" ht="180">
      <c r="A69" s="75"/>
      <c r="B69" s="82"/>
      <c r="C69" s="90" t="s">
        <v>385</v>
      </c>
      <c r="D69" s="196" t="s">
        <v>2032</v>
      </c>
      <c r="E69" s="91" t="s">
        <v>386</v>
      </c>
      <c r="F69" s="92" t="s">
        <v>254</v>
      </c>
      <c r="G69" s="100"/>
      <c r="H69" s="100"/>
      <c r="I69" s="93"/>
      <c r="J69" s="93"/>
      <c r="K69" s="93"/>
      <c r="L69" s="94"/>
      <c r="M69" s="247"/>
      <c r="N69" s="111" cm="1">
        <f t="array" ref="N69">IF(U69=TRUE,_xlfn.IFS(L69=1,2,L69="",IF(M69="",1,2)),0)</f>
        <v>0</v>
      </c>
      <c r="O69" s="95" t="s">
        <v>255</v>
      </c>
      <c r="P69" s="95" t="s">
        <v>255</v>
      </c>
      <c r="Q69" s="102" t="s">
        <v>255</v>
      </c>
      <c r="R69" s="96" t="s">
        <v>183</v>
      </c>
      <c r="S69" s="96" t="s">
        <v>183</v>
      </c>
      <c r="T69" s="96"/>
      <c r="U69" s="170" t="b">
        <f t="shared" si="3"/>
        <v>0</v>
      </c>
      <c r="V69" s="170"/>
      <c r="W69" s="170" t="s">
        <v>183</v>
      </c>
      <c r="X69" s="170"/>
      <c r="Y69" s="170" t="s">
        <v>183</v>
      </c>
      <c r="Z69" s="170" t="str">
        <f t="shared" si="1"/>
        <v>マルウェア/別表1,2,3</v>
      </c>
      <c r="AA69" s="170"/>
    </row>
    <row r="70" spans="1:27" ht="157.5">
      <c r="A70" s="75"/>
      <c r="B70" s="82"/>
      <c r="C70" s="90" t="s">
        <v>387</v>
      </c>
      <c r="D70" s="196" t="s">
        <v>2033</v>
      </c>
      <c r="E70" s="107" t="s">
        <v>2058</v>
      </c>
      <c r="F70" s="110" t="s">
        <v>254</v>
      </c>
      <c r="G70" s="100"/>
      <c r="H70" s="100"/>
      <c r="I70" s="111"/>
      <c r="J70" s="111"/>
      <c r="K70" s="111"/>
      <c r="L70" s="111"/>
      <c r="M70" s="248"/>
      <c r="N70" s="111" cm="1">
        <f t="array" ref="N70">IF(U70=TRUE,_xlfn.IFS(L70=1,2,L70="",IF(M70="",1,2)),0)</f>
        <v>0</v>
      </c>
      <c r="O70" s="102" t="s">
        <v>255</v>
      </c>
      <c r="P70" s="102" t="s">
        <v>255</v>
      </c>
      <c r="Q70" s="102" t="s">
        <v>255</v>
      </c>
      <c r="R70" s="96" t="s">
        <v>183</v>
      </c>
      <c r="S70" s="96" t="s">
        <v>183</v>
      </c>
      <c r="T70" s="95"/>
      <c r="U70" s="170" t="b">
        <f t="shared" si="3"/>
        <v>0</v>
      </c>
      <c r="V70" s="94" t="s">
        <v>183</v>
      </c>
      <c r="W70" s="94"/>
      <c r="X70" s="94"/>
      <c r="Y70" s="94" t="s">
        <v>183</v>
      </c>
      <c r="Z70" s="170" t="str">
        <f t="shared" si="1"/>
        <v>セキュリティ管理/別表1,2,3</v>
      </c>
      <c r="AA70" s="94" t="s">
        <v>2198</v>
      </c>
    </row>
    <row r="71" spans="1:27" ht="90">
      <c r="A71" s="75"/>
      <c r="B71" s="82"/>
      <c r="C71" s="90" t="s">
        <v>388</v>
      </c>
      <c r="D71" s="196" t="s">
        <v>2034</v>
      </c>
      <c r="E71" s="91" t="s">
        <v>389</v>
      </c>
      <c r="F71" s="92" t="s">
        <v>356</v>
      </c>
      <c r="G71" s="100"/>
      <c r="H71" s="100"/>
      <c r="I71" s="94"/>
      <c r="J71" s="94"/>
      <c r="K71" s="94"/>
      <c r="L71" s="94"/>
      <c r="M71" s="247"/>
      <c r="N71" s="111" cm="1">
        <f t="array" ref="N71">IF(U71=TRUE,_xlfn.IFS(L71=1,2,L71="",IF(M71="",1,2)),0)</f>
        <v>0</v>
      </c>
      <c r="O71" s="102" t="s">
        <v>255</v>
      </c>
      <c r="P71" s="102" t="s">
        <v>255</v>
      </c>
      <c r="Q71" s="102" t="s">
        <v>255</v>
      </c>
      <c r="R71" s="96" t="s">
        <v>183</v>
      </c>
      <c r="S71" s="96"/>
      <c r="T71" s="96" t="s">
        <v>183</v>
      </c>
      <c r="U71" s="170" t="b">
        <f t="shared" si="3"/>
        <v>0</v>
      </c>
      <c r="V71" s="170"/>
      <c r="W71" s="170"/>
      <c r="X71" s="170"/>
      <c r="Y71" s="170" t="s">
        <v>183</v>
      </c>
      <c r="Z71" s="170" t="str">
        <f t="shared" si="1"/>
        <v>別表1,2,3</v>
      </c>
      <c r="AA71" s="170"/>
    </row>
    <row r="72" spans="1:27" ht="225">
      <c r="A72" s="75"/>
      <c r="B72" s="82"/>
      <c r="C72" s="90" t="s">
        <v>390</v>
      </c>
      <c r="D72" s="196" t="s">
        <v>2035</v>
      </c>
      <c r="E72" s="107" t="s">
        <v>2200</v>
      </c>
      <c r="F72" s="92" t="s">
        <v>254</v>
      </c>
      <c r="G72" s="100"/>
      <c r="H72" s="100"/>
      <c r="I72" s="94"/>
      <c r="J72" s="94"/>
      <c r="K72" s="94"/>
      <c r="L72" s="94"/>
      <c r="M72" s="247"/>
      <c r="N72" s="111" cm="1">
        <f t="array" ref="N72">IF(U72=TRUE,_xlfn.IFS(L72=1,2,L72="",IF(M72="",1,2)),0)</f>
        <v>0</v>
      </c>
      <c r="O72" s="102" t="s">
        <v>255</v>
      </c>
      <c r="P72" s="102" t="s">
        <v>255</v>
      </c>
      <c r="Q72" s="102" t="s">
        <v>255</v>
      </c>
      <c r="R72" s="96" t="s">
        <v>183</v>
      </c>
      <c r="S72" s="96" t="s">
        <v>183</v>
      </c>
      <c r="T72" s="96"/>
      <c r="U72" s="170" t="b">
        <f t="shared" si="3"/>
        <v>0</v>
      </c>
      <c r="V72" s="170" t="s">
        <v>183</v>
      </c>
      <c r="W72" s="170"/>
      <c r="X72" s="170"/>
      <c r="Y72" s="170" t="s">
        <v>183</v>
      </c>
      <c r="Z72" s="170" t="str">
        <f t="shared" si="1"/>
        <v>セキュリティ管理/別表1,2,3</v>
      </c>
      <c r="AA72" s="170" t="s">
        <v>2198</v>
      </c>
    </row>
    <row r="73" spans="1:27" ht="67.5">
      <c r="A73" s="75"/>
      <c r="B73" s="82"/>
      <c r="C73" s="90" t="s">
        <v>391</v>
      </c>
      <c r="D73" s="196" t="s">
        <v>2036</v>
      </c>
      <c r="E73" s="91" t="s">
        <v>392</v>
      </c>
      <c r="F73" s="92" t="s">
        <v>254</v>
      </c>
      <c r="G73" s="100"/>
      <c r="H73" s="100"/>
      <c r="I73" s="93"/>
      <c r="J73" s="93"/>
      <c r="K73" s="93"/>
      <c r="L73" s="94"/>
      <c r="M73" s="247"/>
      <c r="N73" s="111" cm="1">
        <f t="array" ref="N73">IF(U73=TRUE,_xlfn.IFS(L73=1,2,L73="",IF(M73="",1,2)),0)</f>
        <v>0</v>
      </c>
      <c r="O73" s="95" t="s">
        <v>255</v>
      </c>
      <c r="P73" s="95" t="s">
        <v>255</v>
      </c>
      <c r="Q73" s="102" t="s">
        <v>255</v>
      </c>
      <c r="R73" s="96" t="s">
        <v>183</v>
      </c>
      <c r="S73" s="96" t="s">
        <v>183</v>
      </c>
      <c r="T73" s="96"/>
      <c r="U73" s="170" t="b">
        <f t="shared" si="3"/>
        <v>0</v>
      </c>
      <c r="V73" s="170" t="s">
        <v>183</v>
      </c>
      <c r="W73" s="170"/>
      <c r="X73" s="170"/>
      <c r="Y73" s="170"/>
      <c r="Z73" s="170" t="str">
        <f t="shared" si="1"/>
        <v>セキュリティ管理/</v>
      </c>
      <c r="AA73" s="170"/>
    </row>
    <row r="74" spans="1:27" ht="22.5">
      <c r="A74" s="75"/>
      <c r="B74" s="82"/>
      <c r="C74" s="90" t="s">
        <v>393</v>
      </c>
      <c r="D74" s="196" t="s">
        <v>2037</v>
      </c>
      <c r="E74" s="91" t="s">
        <v>394</v>
      </c>
      <c r="F74" s="92" t="s">
        <v>254</v>
      </c>
      <c r="G74" s="100"/>
      <c r="H74" s="100"/>
      <c r="I74" s="93"/>
      <c r="J74" s="93"/>
      <c r="K74" s="93"/>
      <c r="L74" s="94"/>
      <c r="M74" s="247"/>
      <c r="N74" s="111" cm="1">
        <f t="array" ref="N74">IF(U74=TRUE,_xlfn.IFS(L74=1,2,L74="",IF(M74="",1,2)),0)</f>
        <v>0</v>
      </c>
      <c r="O74" s="95" t="s">
        <v>255</v>
      </c>
      <c r="P74" s="95" t="s">
        <v>255</v>
      </c>
      <c r="Q74" s="102" t="s">
        <v>255</v>
      </c>
      <c r="R74" s="96" t="s">
        <v>183</v>
      </c>
      <c r="S74" s="96" t="s">
        <v>183</v>
      </c>
      <c r="T74" s="96"/>
      <c r="U74" s="170" t="b">
        <f t="shared" si="3"/>
        <v>0</v>
      </c>
      <c r="V74" s="170" t="s">
        <v>183</v>
      </c>
      <c r="W74" s="170"/>
      <c r="X74" s="170"/>
      <c r="Y74" s="170"/>
      <c r="Z74" s="170" t="str">
        <f t="shared" si="1"/>
        <v>セキュリティ管理/</v>
      </c>
      <c r="AA74" s="170"/>
    </row>
    <row r="75" spans="1:27" ht="67.5">
      <c r="A75" s="75"/>
      <c r="B75" s="82"/>
      <c r="C75" s="90" t="s">
        <v>395</v>
      </c>
      <c r="D75" s="196" t="s">
        <v>2038</v>
      </c>
      <c r="E75" s="91" t="s">
        <v>396</v>
      </c>
      <c r="F75" s="92" t="s">
        <v>254</v>
      </c>
      <c r="G75" s="100"/>
      <c r="H75" s="100"/>
      <c r="I75" s="93"/>
      <c r="J75" s="93"/>
      <c r="K75" s="93"/>
      <c r="L75" s="94"/>
      <c r="M75" s="247"/>
      <c r="N75" s="111" cm="1">
        <f t="array" ref="N75">IF(U75=TRUE,_xlfn.IFS(L75=1,2,L75="",IF(M75="",1,2)),0)</f>
        <v>0</v>
      </c>
      <c r="O75" s="95" t="s">
        <v>255</v>
      </c>
      <c r="P75" s="95" t="s">
        <v>255</v>
      </c>
      <c r="Q75" s="102" t="s">
        <v>255</v>
      </c>
      <c r="R75" s="96" t="s">
        <v>183</v>
      </c>
      <c r="S75" s="96" t="s">
        <v>183</v>
      </c>
      <c r="T75" s="96"/>
      <c r="U75" s="170" t="b">
        <f t="shared" si="3"/>
        <v>0</v>
      </c>
      <c r="V75" s="170" t="s">
        <v>183</v>
      </c>
      <c r="W75" s="170"/>
      <c r="X75" s="170"/>
      <c r="Y75" s="170"/>
      <c r="Z75" s="170" t="str">
        <f t="shared" si="1"/>
        <v>セキュリティ管理/</v>
      </c>
      <c r="AA75" s="170"/>
    </row>
    <row r="76" spans="1:27" ht="45">
      <c r="A76" s="75"/>
      <c r="B76" s="82"/>
      <c r="C76" s="90" t="s">
        <v>397</v>
      </c>
      <c r="D76" s="196" t="s">
        <v>2039</v>
      </c>
      <c r="E76" s="91" t="s">
        <v>398</v>
      </c>
      <c r="F76" s="92" t="s">
        <v>254</v>
      </c>
      <c r="G76" s="100"/>
      <c r="H76" s="100"/>
      <c r="I76" s="93"/>
      <c r="J76" s="93"/>
      <c r="K76" s="93"/>
      <c r="L76" s="94"/>
      <c r="M76" s="247"/>
      <c r="N76" s="111" cm="1">
        <f t="array" ref="N76">IF(U76=TRUE,_xlfn.IFS(L76=1,2,L76="",IF(M76="",1,2)),0)</f>
        <v>0</v>
      </c>
      <c r="O76" s="95" t="s">
        <v>255</v>
      </c>
      <c r="P76" s="95" t="s">
        <v>255</v>
      </c>
      <c r="Q76" s="102" t="s">
        <v>255</v>
      </c>
      <c r="R76" s="96" t="s">
        <v>183</v>
      </c>
      <c r="S76" s="96" t="s">
        <v>183</v>
      </c>
      <c r="T76" s="96"/>
      <c r="U76" s="170" t="b">
        <f t="shared" si="3"/>
        <v>0</v>
      </c>
      <c r="V76" s="170" t="s">
        <v>183</v>
      </c>
      <c r="W76" s="170"/>
      <c r="X76" s="170"/>
      <c r="Y76" s="170"/>
      <c r="Z76" s="170" t="str">
        <f t="shared" si="1"/>
        <v>セキュリティ管理/</v>
      </c>
      <c r="AA76" s="170"/>
    </row>
    <row r="77" spans="1:27" ht="67.5">
      <c r="A77" s="75"/>
      <c r="B77" s="82"/>
      <c r="C77" s="90" t="s">
        <v>399</v>
      </c>
      <c r="D77" s="196" t="s">
        <v>2040</v>
      </c>
      <c r="E77" s="91" t="s">
        <v>400</v>
      </c>
      <c r="F77" s="92" t="s">
        <v>254</v>
      </c>
      <c r="G77" s="100"/>
      <c r="H77" s="100"/>
      <c r="I77" s="93"/>
      <c r="J77" s="93"/>
      <c r="K77" s="93"/>
      <c r="L77" s="94"/>
      <c r="M77" s="247"/>
      <c r="N77" s="111" cm="1">
        <f t="array" ref="N77">IF(U77=TRUE,_xlfn.IFS(L77=1,2,L77="",IF(M77="",1,2)),0)</f>
        <v>0</v>
      </c>
      <c r="O77" s="95" t="s">
        <v>255</v>
      </c>
      <c r="P77" s="95" t="s">
        <v>255</v>
      </c>
      <c r="Q77" s="102" t="s">
        <v>255</v>
      </c>
      <c r="R77" s="96" t="s">
        <v>183</v>
      </c>
      <c r="S77" s="96" t="s">
        <v>183</v>
      </c>
      <c r="T77" s="96"/>
      <c r="U77" s="170" t="b">
        <f t="shared" si="3"/>
        <v>0</v>
      </c>
      <c r="V77" s="170" t="s">
        <v>183</v>
      </c>
      <c r="W77" s="170"/>
      <c r="X77" s="170"/>
      <c r="Y77" s="170"/>
      <c r="Z77" s="170" t="str">
        <f t="shared" si="1"/>
        <v>セキュリティ管理/</v>
      </c>
      <c r="AA77" s="170"/>
    </row>
    <row r="78" spans="1:27" ht="112.5">
      <c r="A78" s="75"/>
      <c r="B78" s="82"/>
      <c r="C78" s="90" t="s">
        <v>401</v>
      </c>
      <c r="D78" s="196" t="s">
        <v>2041</v>
      </c>
      <c r="E78" s="91" t="s">
        <v>402</v>
      </c>
      <c r="F78" s="92" t="s">
        <v>254</v>
      </c>
      <c r="G78" s="100"/>
      <c r="H78" s="100"/>
      <c r="I78" s="93"/>
      <c r="J78" s="93"/>
      <c r="K78" s="93"/>
      <c r="L78" s="94"/>
      <c r="M78" s="247"/>
      <c r="N78" s="111" cm="1">
        <f t="array" ref="N78">IF(U78=TRUE,_xlfn.IFS(L78=1,2,L78="",IF(M78="",1,2)),0)</f>
        <v>0</v>
      </c>
      <c r="O78" s="95" t="s">
        <v>255</v>
      </c>
      <c r="P78" s="95" t="s">
        <v>255</v>
      </c>
      <c r="Q78" s="102" t="s">
        <v>255</v>
      </c>
      <c r="R78" s="96" t="s">
        <v>183</v>
      </c>
      <c r="S78" s="96" t="s">
        <v>183</v>
      </c>
      <c r="T78" s="96"/>
      <c r="U78" s="170" t="b">
        <f t="shared" si="3"/>
        <v>0</v>
      </c>
      <c r="V78" s="170" t="s">
        <v>183</v>
      </c>
      <c r="W78" s="170"/>
      <c r="X78" s="170"/>
      <c r="Y78" s="170"/>
      <c r="Z78" s="170" t="str">
        <f t="shared" si="1"/>
        <v>セキュリティ管理/</v>
      </c>
      <c r="AA78" s="170"/>
    </row>
    <row r="79" spans="1:27" ht="112.5">
      <c r="A79" s="75"/>
      <c r="B79" s="82"/>
      <c r="C79" s="90" t="s">
        <v>403</v>
      </c>
      <c r="D79" s="196" t="s">
        <v>2042</v>
      </c>
      <c r="E79" s="91" t="s">
        <v>404</v>
      </c>
      <c r="F79" s="92" t="s">
        <v>254</v>
      </c>
      <c r="G79" s="100"/>
      <c r="H79" s="100"/>
      <c r="I79" s="93"/>
      <c r="J79" s="100"/>
      <c r="K79" s="100"/>
      <c r="L79" s="111"/>
      <c r="M79" s="248"/>
      <c r="N79" s="111" cm="1">
        <f t="array" ref="N79">IF(U79=TRUE,_xlfn.IFS(L79=1,2,L79="",IF(M79="",1,2)),0)</f>
        <v>0</v>
      </c>
      <c r="O79" s="96" t="s">
        <v>255</v>
      </c>
      <c r="P79" s="96" t="s">
        <v>255</v>
      </c>
      <c r="Q79" s="102" t="s">
        <v>255</v>
      </c>
      <c r="R79" s="96" t="s">
        <v>183</v>
      </c>
      <c r="S79" s="96" t="s">
        <v>183</v>
      </c>
      <c r="T79" s="96"/>
      <c r="U79" s="170" t="b">
        <f t="shared" si="3"/>
        <v>0</v>
      </c>
      <c r="V79" s="170" t="s">
        <v>183</v>
      </c>
      <c r="W79" s="170"/>
      <c r="X79" s="170"/>
      <c r="Y79" s="170"/>
      <c r="Z79" s="170" t="str">
        <f t="shared" si="1"/>
        <v>セキュリティ管理/</v>
      </c>
      <c r="AA79" s="170" t="s">
        <v>359</v>
      </c>
    </row>
    <row r="80" spans="1:27" ht="135">
      <c r="A80" s="75"/>
      <c r="B80" s="82"/>
      <c r="C80" s="90" t="s">
        <v>405</v>
      </c>
      <c r="D80" s="196" t="s">
        <v>408</v>
      </c>
      <c r="E80" s="91" t="s">
        <v>406</v>
      </c>
      <c r="F80" s="92" t="s">
        <v>254</v>
      </c>
      <c r="G80" s="100"/>
      <c r="H80" s="100"/>
      <c r="I80" s="93"/>
      <c r="J80" s="93"/>
      <c r="K80" s="93"/>
      <c r="L80" s="94"/>
      <c r="M80" s="247"/>
      <c r="N80" s="111" cm="1">
        <f t="array" ref="N80">IF(U80=TRUE,_xlfn.IFS(L80=1,2,L80="",IF(M80="",1,2)),0)</f>
        <v>0</v>
      </c>
      <c r="O80" s="95" t="s">
        <v>255</v>
      </c>
      <c r="P80" s="95" t="s">
        <v>255</v>
      </c>
      <c r="Q80" s="102" t="s">
        <v>255</v>
      </c>
      <c r="R80" s="96" t="s">
        <v>183</v>
      </c>
      <c r="S80" s="96" t="s">
        <v>183</v>
      </c>
      <c r="T80" s="96"/>
      <c r="U80" s="170" t="b">
        <f t="shared" si="3"/>
        <v>0</v>
      </c>
      <c r="V80" s="170" t="s">
        <v>183</v>
      </c>
      <c r="W80" s="170"/>
      <c r="X80" s="170"/>
      <c r="Y80" s="170"/>
      <c r="Z80" s="170" t="str">
        <f t="shared" si="1"/>
        <v>セキュリティ管理/</v>
      </c>
      <c r="AA80" s="262" t="s">
        <v>359</v>
      </c>
    </row>
    <row r="81" spans="1:27" ht="22.5">
      <c r="A81" s="75"/>
      <c r="B81" s="82"/>
      <c r="C81" s="90" t="s">
        <v>407</v>
      </c>
      <c r="D81" s="196" t="s">
        <v>411</v>
      </c>
      <c r="E81" s="91" t="s">
        <v>409</v>
      </c>
      <c r="F81" s="92" t="s">
        <v>254</v>
      </c>
      <c r="G81" s="100"/>
      <c r="H81" s="100"/>
      <c r="I81" s="93"/>
      <c r="J81" s="93"/>
      <c r="K81" s="93"/>
      <c r="L81" s="94"/>
      <c r="M81" s="247"/>
      <c r="N81" s="111" cm="1">
        <f t="array" ref="N81">IF(U81=TRUE,_xlfn.IFS(L81=1,2,L81="",IF(M81="",1,2)),0)</f>
        <v>0</v>
      </c>
      <c r="O81" s="95" t="s">
        <v>255</v>
      </c>
      <c r="P81" s="95" t="s">
        <v>255</v>
      </c>
      <c r="Q81" s="102" t="s">
        <v>255</v>
      </c>
      <c r="R81" s="96" t="s">
        <v>183</v>
      </c>
      <c r="S81" s="96" t="s">
        <v>183</v>
      </c>
      <c r="T81" s="96"/>
      <c r="U81" s="170" t="b">
        <f t="shared" si="3"/>
        <v>0</v>
      </c>
      <c r="V81" s="170" t="s">
        <v>183</v>
      </c>
      <c r="W81" s="170"/>
      <c r="X81" s="170"/>
      <c r="Y81" s="170"/>
      <c r="Z81" s="170" t="str">
        <f t="shared" si="1"/>
        <v>セキュリティ管理/</v>
      </c>
      <c r="AA81" s="170"/>
    </row>
    <row r="82" spans="1:27" ht="157.5">
      <c r="A82" s="75"/>
      <c r="B82" s="82"/>
      <c r="C82" s="90" t="s">
        <v>410</v>
      </c>
      <c r="D82" s="196" t="s">
        <v>414</v>
      </c>
      <c r="E82" s="91" t="s">
        <v>412</v>
      </c>
      <c r="F82" s="92" t="s">
        <v>254</v>
      </c>
      <c r="G82" s="100"/>
      <c r="H82" s="100"/>
      <c r="I82" s="108"/>
      <c r="J82" s="108"/>
      <c r="K82" s="108"/>
      <c r="L82" s="108"/>
      <c r="M82" s="200"/>
      <c r="N82" s="111" cm="1">
        <f t="array" ref="N82">IF(U82=TRUE,_xlfn.IFS(L82=1,2,L82="",IF(M82="",1,2)),0)</f>
        <v>0</v>
      </c>
      <c r="O82" s="102" t="s">
        <v>255</v>
      </c>
      <c r="P82" s="102" t="s">
        <v>255</v>
      </c>
      <c r="Q82" s="102" t="s">
        <v>255</v>
      </c>
      <c r="R82" s="96" t="s">
        <v>183</v>
      </c>
      <c r="S82" s="96" t="s">
        <v>183</v>
      </c>
      <c r="T82" s="96"/>
      <c r="U82" s="170" t="b">
        <f t="shared" si="3"/>
        <v>0</v>
      </c>
      <c r="V82" s="170"/>
      <c r="W82" s="170"/>
      <c r="X82" s="170" t="s">
        <v>183</v>
      </c>
      <c r="Y82" s="170"/>
      <c r="Z82" s="170" t="str">
        <f t="shared" si="1"/>
        <v>クラウド/</v>
      </c>
      <c r="AA82" s="170"/>
    </row>
    <row r="83" spans="1:27" ht="45">
      <c r="A83" s="75"/>
      <c r="B83" s="82"/>
      <c r="C83" s="90" t="s">
        <v>413</v>
      </c>
      <c r="D83" s="196" t="s">
        <v>417</v>
      </c>
      <c r="E83" s="91" t="s">
        <v>415</v>
      </c>
      <c r="F83" s="92" t="s">
        <v>254</v>
      </c>
      <c r="G83" s="100"/>
      <c r="H83" s="100"/>
      <c r="I83" s="94"/>
      <c r="J83" s="94"/>
      <c r="K83" s="94"/>
      <c r="L83" s="94"/>
      <c r="M83" s="247"/>
      <c r="N83" s="111" cm="1">
        <f t="array" ref="N83">IF(U83=TRUE,_xlfn.IFS(L83=1,2,L83="",IF(M83="",1,2)),0)</f>
        <v>0</v>
      </c>
      <c r="O83" s="102" t="s">
        <v>255</v>
      </c>
      <c r="P83" s="102" t="s">
        <v>255</v>
      </c>
      <c r="Q83" s="102" t="s">
        <v>255</v>
      </c>
      <c r="R83" s="96" t="s">
        <v>183</v>
      </c>
      <c r="S83" s="96" t="s">
        <v>183</v>
      </c>
      <c r="T83" s="96"/>
      <c r="U83" s="170" t="b">
        <f t="shared" si="3"/>
        <v>0</v>
      </c>
      <c r="V83" s="170"/>
      <c r="W83" s="170"/>
      <c r="X83" s="170" t="s">
        <v>183</v>
      </c>
      <c r="Y83" s="170"/>
      <c r="Z83" s="170" t="str">
        <f t="shared" si="1"/>
        <v>クラウド/</v>
      </c>
      <c r="AA83" s="170"/>
    </row>
    <row r="84" spans="1:27" ht="315">
      <c r="A84" s="75"/>
      <c r="B84" s="82"/>
      <c r="C84" s="90" t="s">
        <v>416</v>
      </c>
      <c r="D84" s="196" t="s">
        <v>419</v>
      </c>
      <c r="E84" s="91" t="s">
        <v>2234</v>
      </c>
      <c r="F84" s="92" t="s">
        <v>254</v>
      </c>
      <c r="G84" s="100"/>
      <c r="H84" s="107" t="s">
        <v>2193</v>
      </c>
      <c r="I84" s="94"/>
      <c r="J84" s="94"/>
      <c r="K84" s="94"/>
      <c r="L84" s="94"/>
      <c r="M84" s="247"/>
      <c r="N84" s="111" cm="1">
        <f t="array" ref="N84">IF(U84=TRUE,_xlfn.IFS(L84=1,2,L84="",IF(M84="",1,2)),0)</f>
        <v>0</v>
      </c>
      <c r="O84" s="102" t="s">
        <v>255</v>
      </c>
      <c r="P84" s="102" t="s">
        <v>255</v>
      </c>
      <c r="Q84" s="102" t="s">
        <v>255</v>
      </c>
      <c r="R84" s="96" t="s">
        <v>183</v>
      </c>
      <c r="S84" s="96" t="s">
        <v>183</v>
      </c>
      <c r="T84" s="96"/>
      <c r="U84" s="170" t="b">
        <f t="shared" si="3"/>
        <v>0</v>
      </c>
      <c r="V84" s="170"/>
      <c r="W84" s="170"/>
      <c r="X84" s="170" t="s">
        <v>183</v>
      </c>
      <c r="Y84" s="170"/>
      <c r="Z84" s="170" t="str">
        <f t="shared" si="1"/>
        <v>クラウド/</v>
      </c>
      <c r="AA84" s="170" t="s">
        <v>2198</v>
      </c>
    </row>
    <row r="85" spans="1:27" ht="90">
      <c r="A85" s="75"/>
      <c r="B85" s="82"/>
      <c r="C85" s="90" t="s">
        <v>418</v>
      </c>
      <c r="D85" s="196" t="s">
        <v>421</v>
      </c>
      <c r="E85" s="91" t="s">
        <v>2077</v>
      </c>
      <c r="F85" s="92" t="s">
        <v>254</v>
      </c>
      <c r="G85" s="100"/>
      <c r="H85" s="100"/>
      <c r="I85" s="94"/>
      <c r="J85" s="94"/>
      <c r="K85" s="94"/>
      <c r="L85" s="94"/>
      <c r="M85" s="247"/>
      <c r="N85" s="111" cm="1">
        <f t="array" ref="N85">IF(U85=TRUE,_xlfn.IFS(L85=1,2,L85="",IF(M85="",1,2)),0)</f>
        <v>0</v>
      </c>
      <c r="O85" s="102" t="s">
        <v>255</v>
      </c>
      <c r="P85" s="102" t="s">
        <v>255</v>
      </c>
      <c r="Q85" s="102" t="s">
        <v>255</v>
      </c>
      <c r="R85" s="96" t="s">
        <v>183</v>
      </c>
      <c r="S85" s="96" t="s">
        <v>183</v>
      </c>
      <c r="T85" s="96"/>
      <c r="U85" s="170" t="b">
        <f t="shared" si="3"/>
        <v>0</v>
      </c>
      <c r="V85" s="170"/>
      <c r="W85" s="170"/>
      <c r="X85" s="170" t="s">
        <v>183</v>
      </c>
      <c r="Y85" s="170"/>
      <c r="Z85" s="170" t="str">
        <f t="shared" si="1"/>
        <v>クラウド/</v>
      </c>
      <c r="AA85" s="170" t="s">
        <v>2198</v>
      </c>
    </row>
    <row r="86" spans="1:27" ht="45">
      <c r="A86" s="75"/>
      <c r="B86" s="82"/>
      <c r="C86" s="90" t="s">
        <v>420</v>
      </c>
      <c r="D86" s="196" t="s">
        <v>424</v>
      </c>
      <c r="E86" s="91" t="s">
        <v>422</v>
      </c>
      <c r="F86" s="92" t="s">
        <v>254</v>
      </c>
      <c r="G86" s="100"/>
      <c r="H86" s="100"/>
      <c r="I86" s="94"/>
      <c r="J86" s="94"/>
      <c r="K86" s="94"/>
      <c r="L86" s="94"/>
      <c r="M86" s="247"/>
      <c r="N86" s="111" cm="1">
        <f t="array" ref="N86">IF(U86=TRUE,_xlfn.IFS(L86=1,2,L86="",IF(M86="",1,2)),0)</f>
        <v>0</v>
      </c>
      <c r="O86" s="102" t="s">
        <v>255</v>
      </c>
      <c r="P86" s="102" t="s">
        <v>255</v>
      </c>
      <c r="Q86" s="102" t="s">
        <v>255</v>
      </c>
      <c r="R86" s="96" t="s">
        <v>183</v>
      </c>
      <c r="S86" s="96" t="s">
        <v>183</v>
      </c>
      <c r="T86" s="96"/>
      <c r="U86" s="170" t="b">
        <f t="shared" si="3"/>
        <v>0</v>
      </c>
      <c r="V86" s="170"/>
      <c r="W86" s="170"/>
      <c r="X86" s="170" t="s">
        <v>183</v>
      </c>
      <c r="Y86" s="170"/>
      <c r="Z86" s="170" t="str">
        <f t="shared" si="1"/>
        <v>クラウド/</v>
      </c>
      <c r="AA86" s="170"/>
    </row>
    <row r="87" spans="1:27" ht="202.5">
      <c r="A87" s="109"/>
      <c r="B87" s="101"/>
      <c r="C87" s="90" t="s">
        <v>423</v>
      </c>
      <c r="D87" s="196" t="s">
        <v>427</v>
      </c>
      <c r="E87" s="91" t="s">
        <v>425</v>
      </c>
      <c r="F87" s="92" t="s">
        <v>356</v>
      </c>
      <c r="G87" s="100"/>
      <c r="H87" s="100"/>
      <c r="I87" s="130"/>
      <c r="J87" s="130"/>
      <c r="K87" s="94"/>
      <c r="L87" s="94"/>
      <c r="M87" s="247"/>
      <c r="N87" s="111" cm="1">
        <f t="array" ref="N87">IF(U87=TRUE,_xlfn.IFS(L87=1,2,L87="",IF(M87="",1,2)),0)</f>
        <v>0</v>
      </c>
      <c r="O87" s="95" t="s">
        <v>255</v>
      </c>
      <c r="P87" s="95" t="s">
        <v>255</v>
      </c>
      <c r="Q87" s="102" t="s">
        <v>255</v>
      </c>
      <c r="R87" s="96" t="s">
        <v>183</v>
      </c>
      <c r="S87" s="96"/>
      <c r="T87" s="96" t="s">
        <v>183</v>
      </c>
      <c r="U87" s="170" t="b">
        <f t="shared" si="3"/>
        <v>0</v>
      </c>
      <c r="V87" s="170"/>
      <c r="W87" s="170"/>
      <c r="X87" s="170"/>
      <c r="Y87" s="170" t="s">
        <v>183</v>
      </c>
      <c r="Z87" s="170" t="str">
        <f t="shared" si="1"/>
        <v>別表1,2,3</v>
      </c>
      <c r="AA87" s="170"/>
    </row>
    <row r="88" spans="1:27" ht="67.5">
      <c r="A88" s="75"/>
      <c r="B88" s="82"/>
      <c r="C88" s="90" t="s">
        <v>426</v>
      </c>
      <c r="D88" s="196" t="s">
        <v>430</v>
      </c>
      <c r="E88" s="91" t="s">
        <v>428</v>
      </c>
      <c r="F88" s="92" t="s">
        <v>254</v>
      </c>
      <c r="G88" s="100"/>
      <c r="H88" s="100"/>
      <c r="I88" s="93"/>
      <c r="J88" s="93"/>
      <c r="K88" s="93"/>
      <c r="L88" s="94"/>
      <c r="M88" s="247"/>
      <c r="N88" s="111" cm="1">
        <f t="array" ref="N88">IF(U88=TRUE,_xlfn.IFS(L88=1,2,L88="",IF(M88="",1,2)),0)</f>
        <v>0</v>
      </c>
      <c r="O88" s="95" t="s">
        <v>255</v>
      </c>
      <c r="P88" s="95" t="s">
        <v>255</v>
      </c>
      <c r="Q88" s="102" t="s">
        <v>255</v>
      </c>
      <c r="R88" s="96" t="s">
        <v>183</v>
      </c>
      <c r="S88" s="96"/>
      <c r="T88" s="96" t="s">
        <v>183</v>
      </c>
      <c r="U88" s="170" t="b">
        <f t="shared" si="3"/>
        <v>0</v>
      </c>
      <c r="V88" s="170"/>
      <c r="W88" s="170"/>
      <c r="X88" s="170"/>
      <c r="Y88" s="170" t="s">
        <v>183</v>
      </c>
      <c r="Z88" s="170" t="str">
        <f t="shared" si="1"/>
        <v>別表1,2,3</v>
      </c>
      <c r="AA88" s="170"/>
    </row>
    <row r="89" spans="1:27" ht="90">
      <c r="A89" s="75"/>
      <c r="B89" s="82"/>
      <c r="C89" s="90" t="s">
        <v>429</v>
      </c>
      <c r="D89" s="196" t="s">
        <v>433</v>
      </c>
      <c r="E89" s="91" t="s">
        <v>431</v>
      </c>
      <c r="F89" s="92" t="s">
        <v>356</v>
      </c>
      <c r="G89" s="100"/>
      <c r="H89" s="100"/>
      <c r="I89" s="94"/>
      <c r="J89" s="94"/>
      <c r="K89" s="94"/>
      <c r="L89" s="94"/>
      <c r="M89" s="247"/>
      <c r="N89" s="111" cm="1">
        <f t="array" ref="N89">IF(U89=TRUE,_xlfn.IFS(L89=1,2,L89="",IF(M89="",1,2)),0)</f>
        <v>0</v>
      </c>
      <c r="O89" s="102" t="s">
        <v>255</v>
      </c>
      <c r="P89" s="102" t="s">
        <v>255</v>
      </c>
      <c r="Q89" s="102" t="s">
        <v>255</v>
      </c>
      <c r="R89" s="96" t="s">
        <v>183</v>
      </c>
      <c r="S89" s="96"/>
      <c r="T89" s="96" t="s">
        <v>183</v>
      </c>
      <c r="U89" s="170" t="b">
        <f t="shared" si="3"/>
        <v>0</v>
      </c>
      <c r="V89" s="170"/>
      <c r="W89" s="170"/>
      <c r="X89" s="170"/>
      <c r="Y89" s="170" t="s">
        <v>183</v>
      </c>
      <c r="Z89" s="170" t="str">
        <f>IF(V89&lt;&gt;"","セキュリティ管理/","")&amp;IF(W89&lt;&gt;"","マルウェア/","")&amp;IF(X89&lt;&gt;"","クラウド/","")&amp;IF(Y89&lt;&gt;"","別表1,2,3","")</f>
        <v>別表1,2,3</v>
      </c>
      <c r="AA89" s="170" t="s">
        <v>359</v>
      </c>
    </row>
    <row r="90" spans="1:27" ht="67.5">
      <c r="A90" s="75"/>
      <c r="B90" s="82"/>
      <c r="C90" s="90" t="s">
        <v>432</v>
      </c>
      <c r="D90" s="196" t="s">
        <v>2043</v>
      </c>
      <c r="E90" s="107" t="s">
        <v>2059</v>
      </c>
      <c r="F90" s="92" t="s">
        <v>254</v>
      </c>
      <c r="G90" s="100"/>
      <c r="H90" s="100"/>
      <c r="I90" s="94"/>
      <c r="J90" s="94"/>
      <c r="K90" s="94"/>
      <c r="L90" s="94"/>
      <c r="M90" s="247"/>
      <c r="N90" s="111" cm="1">
        <f t="array" ref="N90">IF(U90=TRUE,_xlfn.IFS(L90=1,2,L90="",IF(M90="",1,2)),0)</f>
        <v>0</v>
      </c>
      <c r="O90" s="102" t="s">
        <v>255</v>
      </c>
      <c r="P90" s="102" t="s">
        <v>255</v>
      </c>
      <c r="Q90" s="102" t="s">
        <v>255</v>
      </c>
      <c r="R90" s="96" t="s">
        <v>183</v>
      </c>
      <c r="S90" s="96" t="s">
        <v>183</v>
      </c>
      <c r="T90" s="96"/>
      <c r="U90" s="170" t="b">
        <f t="shared" si="3"/>
        <v>0</v>
      </c>
      <c r="V90" s="170" t="s">
        <v>183</v>
      </c>
      <c r="W90" s="170"/>
      <c r="X90" s="170"/>
      <c r="Y90" s="170"/>
      <c r="Z90" s="170" t="str">
        <f>IF(V90&lt;&gt;"","セキュリティ管理/","")&amp;IF(W90&lt;&gt;"","マルウェア/","")&amp;IF(X90&lt;&gt;"","クラウド/","")&amp;IF(Y90&lt;&gt;"","別表1,2,3","")</f>
        <v>セキュリティ管理/</v>
      </c>
      <c r="AA90" s="170" t="s">
        <v>2198</v>
      </c>
    </row>
    <row r="91" spans="1:27" ht="22.5">
      <c r="A91" s="75" t="s">
        <v>434</v>
      </c>
      <c r="B91" s="75"/>
      <c r="C91" s="113"/>
      <c r="D91" s="76"/>
      <c r="E91" s="136"/>
      <c r="F91" s="137"/>
      <c r="G91" s="137"/>
      <c r="H91" s="137"/>
      <c r="I91" s="147"/>
      <c r="J91" s="147"/>
      <c r="K91" s="147"/>
      <c r="L91" s="147"/>
      <c r="M91" s="258"/>
      <c r="N91" s="258"/>
      <c r="O91" s="147"/>
      <c r="P91" s="147"/>
      <c r="Q91" s="147"/>
      <c r="R91" s="80"/>
      <c r="S91" s="80"/>
      <c r="T91" s="80"/>
      <c r="U91" s="80" t="s">
        <v>268</v>
      </c>
      <c r="V91" s="80"/>
      <c r="W91" s="80"/>
      <c r="X91" s="80"/>
      <c r="Y91" s="80"/>
      <c r="Z91" s="80"/>
      <c r="AA91" s="80"/>
    </row>
    <row r="92" spans="1:27" ht="22.5">
      <c r="A92" s="75"/>
      <c r="B92" s="82"/>
      <c r="C92" s="58"/>
      <c r="D92" s="82"/>
      <c r="E92" s="150"/>
      <c r="F92" s="101"/>
      <c r="G92" s="120"/>
      <c r="H92" s="120"/>
      <c r="I92" s="148"/>
      <c r="J92" s="148"/>
      <c r="K92" s="148"/>
      <c r="L92" s="148"/>
      <c r="M92" s="259"/>
      <c r="N92" s="259"/>
      <c r="O92" s="148"/>
      <c r="P92" s="148"/>
      <c r="Q92" s="148"/>
      <c r="R92" s="129"/>
      <c r="S92" s="129"/>
      <c r="T92" s="129"/>
      <c r="U92" s="129" t="s">
        <v>268</v>
      </c>
      <c r="V92" s="129"/>
      <c r="W92" s="129"/>
      <c r="X92" s="129"/>
      <c r="Y92" s="129"/>
      <c r="Z92" s="129"/>
      <c r="AA92" s="129"/>
    </row>
    <row r="93" spans="1:27" ht="45">
      <c r="A93" s="75"/>
      <c r="B93" s="82"/>
      <c r="C93" s="90" t="s">
        <v>435</v>
      </c>
      <c r="D93" s="90" t="s">
        <v>436</v>
      </c>
      <c r="E93" s="91" t="s">
        <v>437</v>
      </c>
      <c r="F93" s="92" t="s">
        <v>254</v>
      </c>
      <c r="G93" s="181"/>
      <c r="H93" s="181"/>
      <c r="I93" s="93"/>
      <c r="J93" s="93"/>
      <c r="K93" s="93"/>
      <c r="L93" s="94"/>
      <c r="M93" s="247"/>
      <c r="N93" s="111" cm="1">
        <f t="array" ref="N93">IF(U93=TRUE,_xlfn.IFS(L93=1,2,L93="",IF(M93="",1,2)),0)</f>
        <v>0</v>
      </c>
      <c r="O93" s="95" t="s">
        <v>255</v>
      </c>
      <c r="P93" s="95" t="s">
        <v>255</v>
      </c>
      <c r="Q93" s="102" t="s">
        <v>255</v>
      </c>
      <c r="R93" s="96" t="s">
        <v>183</v>
      </c>
      <c r="S93" s="96" t="s">
        <v>183</v>
      </c>
      <c r="T93" s="96"/>
      <c r="U93" s="170" t="b">
        <f t="shared" ref="U93:U97" si="4">AND(OR(AND($O$6=TRUE,$O93&lt;&gt;""),AND($P$6=TRUE,$P93&lt;&gt;""),AND($Q$6=TRUE,$Q93&lt;&gt;"")),AND($R$6=TRUE,$R93&lt;&gt;""),OR(AND($S$6=TRUE,$S93&lt;&gt;""),AND($T$6=TRUE,$T93&lt;&gt;"")))</f>
        <v>0</v>
      </c>
      <c r="V93" s="170" t="s">
        <v>183</v>
      </c>
      <c r="W93" s="170"/>
      <c r="X93" s="170"/>
      <c r="Y93" s="170"/>
      <c r="Z93" s="170" t="str">
        <f t="shared" ref="Z93:Z98" si="5">IF(V93&lt;&gt;"","セキュリティ管理/","")&amp;IF(W93&lt;&gt;"","マルウェア/","")&amp;IF(X93&lt;&gt;"","クラウド/","")&amp;IF(Y93&lt;&gt;"","別表1,2,3","")</f>
        <v>セキュリティ管理/</v>
      </c>
      <c r="AA93" s="170"/>
    </row>
    <row r="94" spans="1:27" ht="67.5">
      <c r="A94" s="75"/>
      <c r="B94" s="82"/>
      <c r="C94" s="90" t="s">
        <v>438</v>
      </c>
      <c r="D94" s="90" t="s">
        <v>439</v>
      </c>
      <c r="E94" s="107" t="s">
        <v>2078</v>
      </c>
      <c r="F94" s="92" t="s">
        <v>254</v>
      </c>
      <c r="G94" s="100"/>
      <c r="H94" s="100"/>
      <c r="I94" s="108"/>
      <c r="J94" s="108"/>
      <c r="K94" s="108"/>
      <c r="L94" s="108"/>
      <c r="M94" s="200"/>
      <c r="N94" s="111" cm="1">
        <f t="array" ref="N94">IF(U94=TRUE,_xlfn.IFS(L94=1,2,L94="",IF(M94="",1,2)),0)</f>
        <v>0</v>
      </c>
      <c r="O94" s="102" t="s">
        <v>255</v>
      </c>
      <c r="P94" s="102" t="s">
        <v>255</v>
      </c>
      <c r="Q94" s="102" t="s">
        <v>255</v>
      </c>
      <c r="R94" s="96" t="s">
        <v>183</v>
      </c>
      <c r="S94" s="96" t="s">
        <v>183</v>
      </c>
      <c r="T94" s="96"/>
      <c r="U94" s="170" t="b">
        <f t="shared" si="4"/>
        <v>0</v>
      </c>
      <c r="V94" s="170" t="s">
        <v>183</v>
      </c>
      <c r="W94" s="170"/>
      <c r="X94" s="170"/>
      <c r="Y94" s="170"/>
      <c r="Z94" s="170" t="str">
        <f t="shared" si="5"/>
        <v>セキュリティ管理/</v>
      </c>
      <c r="AA94" s="170" t="s">
        <v>2198</v>
      </c>
    </row>
    <row r="95" spans="1:27" ht="157.5">
      <c r="A95" s="75"/>
      <c r="B95" s="82"/>
      <c r="C95" s="90" t="s">
        <v>440</v>
      </c>
      <c r="D95" s="90" t="s">
        <v>441</v>
      </c>
      <c r="E95" s="91" t="s">
        <v>2079</v>
      </c>
      <c r="F95" s="92" t="s">
        <v>254</v>
      </c>
      <c r="G95" s="100"/>
      <c r="H95" s="100"/>
      <c r="I95" s="93"/>
      <c r="J95" s="93"/>
      <c r="K95" s="93"/>
      <c r="L95" s="94"/>
      <c r="M95" s="247"/>
      <c r="N95" s="111" cm="1">
        <f t="array" ref="N95">IF(U95=TRUE,_xlfn.IFS(L95=1,2,L95="",IF(M95="",1,2)),0)</f>
        <v>0</v>
      </c>
      <c r="O95" s="102" t="s">
        <v>255</v>
      </c>
      <c r="P95" s="102" t="s">
        <v>255</v>
      </c>
      <c r="Q95" s="102" t="s">
        <v>255</v>
      </c>
      <c r="R95" s="96" t="s">
        <v>183</v>
      </c>
      <c r="S95" s="96" t="s">
        <v>183</v>
      </c>
      <c r="T95" s="96"/>
      <c r="U95" s="170" t="b">
        <f t="shared" si="4"/>
        <v>0</v>
      </c>
      <c r="V95" s="170" t="s">
        <v>183</v>
      </c>
      <c r="W95" s="170"/>
      <c r="X95" s="170"/>
      <c r="Y95" s="170"/>
      <c r="Z95" s="170" t="str">
        <f t="shared" si="5"/>
        <v>セキュリティ管理/</v>
      </c>
      <c r="AA95" s="170" t="s">
        <v>2198</v>
      </c>
    </row>
    <row r="96" spans="1:27" ht="67.5">
      <c r="A96" s="75"/>
      <c r="B96" s="82"/>
      <c r="C96" s="90" t="s">
        <v>442</v>
      </c>
      <c r="D96" s="90" t="s">
        <v>443</v>
      </c>
      <c r="E96" s="91" t="s">
        <v>444</v>
      </c>
      <c r="F96" s="92" t="s">
        <v>254</v>
      </c>
      <c r="G96" s="100"/>
      <c r="H96" s="100"/>
      <c r="I96" s="108"/>
      <c r="J96" s="108"/>
      <c r="K96" s="108"/>
      <c r="L96" s="108"/>
      <c r="M96" s="200"/>
      <c r="N96" s="111" cm="1">
        <f t="array" ref="N96">IF(U96=TRUE,_xlfn.IFS(L96=1,2,L96="",IF(M96="",1,2)),0)</f>
        <v>0</v>
      </c>
      <c r="O96" s="102" t="s">
        <v>255</v>
      </c>
      <c r="P96" s="102" t="s">
        <v>255</v>
      </c>
      <c r="Q96" s="102" t="s">
        <v>255</v>
      </c>
      <c r="R96" s="96" t="s">
        <v>183</v>
      </c>
      <c r="S96" s="96" t="s">
        <v>183</v>
      </c>
      <c r="T96" s="96"/>
      <c r="U96" s="170" t="b">
        <f t="shared" si="4"/>
        <v>0</v>
      </c>
      <c r="V96" s="170" t="s">
        <v>183</v>
      </c>
      <c r="W96" s="170"/>
      <c r="X96" s="170"/>
      <c r="Y96" s="170"/>
      <c r="Z96" s="170" t="str">
        <f t="shared" si="5"/>
        <v>セキュリティ管理/</v>
      </c>
      <c r="AA96" s="170"/>
    </row>
    <row r="97" spans="1:27" ht="45">
      <c r="A97" s="75"/>
      <c r="B97" s="82"/>
      <c r="C97" s="90" t="s">
        <v>445</v>
      </c>
      <c r="D97" s="90" t="s">
        <v>446</v>
      </c>
      <c r="E97" s="91" t="s">
        <v>447</v>
      </c>
      <c r="F97" s="92" t="s">
        <v>254</v>
      </c>
      <c r="G97" s="100"/>
      <c r="H97" s="100"/>
      <c r="I97" s="108"/>
      <c r="J97" s="108"/>
      <c r="K97" s="108"/>
      <c r="L97" s="108"/>
      <c r="M97" s="200"/>
      <c r="N97" s="111" cm="1">
        <f t="array" ref="N97">IF(U97=TRUE,_xlfn.IFS(L97=1,2,L97="",IF(M97="",1,2)),0)</f>
        <v>0</v>
      </c>
      <c r="O97" s="102" t="s">
        <v>255</v>
      </c>
      <c r="P97" s="102" t="s">
        <v>255</v>
      </c>
      <c r="Q97" s="102" t="s">
        <v>255</v>
      </c>
      <c r="R97" s="96" t="s">
        <v>183</v>
      </c>
      <c r="S97" s="96" t="s">
        <v>183</v>
      </c>
      <c r="T97" s="96" t="s">
        <v>448</v>
      </c>
      <c r="U97" s="170" t="b">
        <f t="shared" si="4"/>
        <v>0</v>
      </c>
      <c r="V97" s="170" t="s">
        <v>183</v>
      </c>
      <c r="W97" s="170"/>
      <c r="X97" s="170"/>
      <c r="Y97" s="170"/>
      <c r="Z97" s="170" t="str">
        <f t="shared" si="5"/>
        <v>セキュリティ管理/</v>
      </c>
      <c r="AA97" s="170"/>
    </row>
    <row r="98" spans="1:27" ht="90">
      <c r="A98" s="75"/>
      <c r="B98" s="82"/>
      <c r="C98" s="196" t="s">
        <v>2080</v>
      </c>
      <c r="D98" s="196" t="s">
        <v>2074</v>
      </c>
      <c r="E98" s="91" t="s">
        <v>2194</v>
      </c>
      <c r="F98" s="92" t="s">
        <v>254</v>
      </c>
      <c r="G98" s="100"/>
      <c r="H98" s="100"/>
      <c r="I98" s="108"/>
      <c r="J98" s="108"/>
      <c r="K98" s="108"/>
      <c r="L98" s="108"/>
      <c r="M98" s="200"/>
      <c r="N98" s="111" cm="1">
        <f t="array" ref="N98">IF(U98=TRUE,_xlfn.IFS(L98=1,2,L98="",IF(M98="",1,2)),0)</f>
        <v>0</v>
      </c>
      <c r="O98" s="102" t="s">
        <v>255</v>
      </c>
      <c r="P98" s="102" t="s">
        <v>255</v>
      </c>
      <c r="Q98" s="102" t="s">
        <v>255</v>
      </c>
      <c r="R98" s="96" t="s">
        <v>183</v>
      </c>
      <c r="S98" s="96" t="s">
        <v>183</v>
      </c>
      <c r="T98" s="96" t="s">
        <v>448</v>
      </c>
      <c r="U98" s="170" t="b">
        <f>AND(OR(AND($O$6=TRUE,$O98&lt;&gt;""),AND($P$6=TRUE,$P98&lt;&gt;""),AND($Q$6=TRUE,$Q98&lt;&gt;"")),AND($R$6=TRUE,$R98&lt;&gt;""),OR(AND($S$6=TRUE,$S98&lt;&gt;""),AND($T$6=TRUE,$T98&lt;&gt;"")))</f>
        <v>0</v>
      </c>
      <c r="V98" s="170"/>
      <c r="W98" s="170"/>
      <c r="X98" s="170"/>
      <c r="Y98" s="170"/>
      <c r="Z98" s="170" t="str">
        <f t="shared" si="5"/>
        <v/>
      </c>
      <c r="AA98" s="170" t="s">
        <v>2225</v>
      </c>
    </row>
    <row r="99" spans="1:27" ht="22.5">
      <c r="A99" s="75" t="s">
        <v>449</v>
      </c>
      <c r="B99" s="75"/>
      <c r="C99" s="113"/>
      <c r="D99" s="76"/>
      <c r="E99" s="136"/>
      <c r="F99" s="137"/>
      <c r="G99" s="137"/>
      <c r="H99" s="137"/>
      <c r="I99" s="147"/>
      <c r="J99" s="147"/>
      <c r="K99" s="147"/>
      <c r="L99" s="147"/>
      <c r="M99" s="258"/>
      <c r="N99" s="258"/>
      <c r="O99" s="147"/>
      <c r="P99" s="147"/>
      <c r="Q99" s="147"/>
      <c r="R99" s="80"/>
      <c r="S99" s="80"/>
      <c r="T99" s="80"/>
      <c r="U99" s="80" t="s">
        <v>268</v>
      </c>
      <c r="V99" s="80"/>
      <c r="W99" s="80"/>
      <c r="X99" s="80"/>
      <c r="Y99" s="80"/>
      <c r="Z99" s="80"/>
      <c r="AA99" s="80"/>
    </row>
    <row r="100" spans="1:27" ht="22.5">
      <c r="A100" s="75"/>
      <c r="B100" s="82"/>
      <c r="C100" s="58"/>
      <c r="D100" s="82"/>
      <c r="E100" s="150"/>
      <c r="F100" s="101"/>
      <c r="G100" s="120"/>
      <c r="H100" s="120"/>
      <c r="I100" s="148"/>
      <c r="J100" s="148"/>
      <c r="K100" s="148"/>
      <c r="L100" s="148"/>
      <c r="M100" s="259"/>
      <c r="N100" s="259"/>
      <c r="O100" s="148"/>
      <c r="P100" s="148"/>
      <c r="Q100" s="148"/>
      <c r="R100" s="129"/>
      <c r="S100" s="129"/>
      <c r="T100" s="129"/>
      <c r="U100" s="129" t="s">
        <v>268</v>
      </c>
      <c r="V100" s="129"/>
      <c r="W100" s="129"/>
      <c r="X100" s="129"/>
      <c r="Y100" s="129"/>
      <c r="Z100" s="129"/>
      <c r="AA100" s="129"/>
    </row>
    <row r="101" spans="1:27" ht="157.5">
      <c r="A101" s="75"/>
      <c r="B101" s="82"/>
      <c r="C101" s="90" t="s">
        <v>450</v>
      </c>
      <c r="D101" s="90" t="s">
        <v>451</v>
      </c>
      <c r="E101" s="91" t="s">
        <v>452</v>
      </c>
      <c r="F101" s="92" t="s">
        <v>254</v>
      </c>
      <c r="G101" s="100"/>
      <c r="H101" s="100"/>
      <c r="I101" s="108"/>
      <c r="J101" s="108"/>
      <c r="K101" s="108"/>
      <c r="L101" s="108"/>
      <c r="M101" s="200"/>
      <c r="N101" s="111" cm="1">
        <f t="array" ref="N101">IF(U101=TRUE,_xlfn.IFS(L101=1,2,L101="",IF(M101="",1,2)),0)</f>
        <v>0</v>
      </c>
      <c r="O101" s="102" t="s">
        <v>255</v>
      </c>
      <c r="P101" s="102" t="s">
        <v>255</v>
      </c>
      <c r="Q101" s="102" t="s">
        <v>255</v>
      </c>
      <c r="R101" s="96" t="s">
        <v>183</v>
      </c>
      <c r="S101" s="96" t="s">
        <v>183</v>
      </c>
      <c r="T101" s="96"/>
      <c r="U101" s="170" t="b">
        <f>AND(OR(AND($O$6=TRUE,$O101&lt;&gt;""),AND($P$6=TRUE,$P101&lt;&gt;""),AND($Q$6=TRUE,$Q101&lt;&gt;"")),AND($R$6=TRUE,$R101&lt;&gt;""),OR(AND($S$6=TRUE,$S101&lt;&gt;""),AND($T$6=TRUE,$T101&lt;&gt;"")))</f>
        <v>0</v>
      </c>
      <c r="V101" s="170" t="s">
        <v>183</v>
      </c>
      <c r="W101" s="170"/>
      <c r="X101" s="170"/>
      <c r="Y101" s="170"/>
      <c r="Z101" s="170" t="str">
        <f>IF(V101&lt;&gt;"","セキュリティ管理/","")&amp;IF(W101&lt;&gt;"","マルウェア/","")&amp;IF(X101&lt;&gt;"","クラウド/","")&amp;IF(Y101&lt;&gt;"","別表1,2,3","")</f>
        <v>セキュリティ管理/</v>
      </c>
      <c r="AA101" s="170"/>
    </row>
    <row r="102" spans="1:27" ht="202.5">
      <c r="A102" s="75"/>
      <c r="B102" s="82"/>
      <c r="C102" s="90" t="s">
        <v>453</v>
      </c>
      <c r="D102" s="90" t="s">
        <v>454</v>
      </c>
      <c r="E102" s="91" t="s">
        <v>455</v>
      </c>
      <c r="F102" s="92" t="s">
        <v>254</v>
      </c>
      <c r="G102" s="100"/>
      <c r="H102" s="100"/>
      <c r="I102" s="108"/>
      <c r="J102" s="108"/>
      <c r="K102" s="108"/>
      <c r="L102" s="108"/>
      <c r="M102" s="200"/>
      <c r="N102" s="111" cm="1">
        <f t="array" ref="N102">IF(U102=TRUE,_xlfn.IFS(L102=1,2,L102="",IF(M102="",1,2)),0)</f>
        <v>0</v>
      </c>
      <c r="O102" s="102" t="s">
        <v>255</v>
      </c>
      <c r="P102" s="102" t="s">
        <v>255</v>
      </c>
      <c r="Q102" s="102" t="s">
        <v>255</v>
      </c>
      <c r="R102" s="96" t="s">
        <v>183</v>
      </c>
      <c r="S102" s="96"/>
      <c r="T102" s="96" t="s">
        <v>183</v>
      </c>
      <c r="U102" s="170" t="b">
        <f>AND(OR(AND($O$6=TRUE,$O102&lt;&gt;""),AND($P$6=TRUE,$P102&lt;&gt;""),AND($Q$6=TRUE,$Q102&lt;&gt;"")),AND($R$6=TRUE,$R102&lt;&gt;""),OR(AND($S$6=TRUE,$S102&lt;&gt;""),AND($T$6=TRUE,$T102&lt;&gt;"")))</f>
        <v>0</v>
      </c>
      <c r="V102" s="170"/>
      <c r="W102" s="170"/>
      <c r="X102" s="170"/>
      <c r="Y102" s="170" t="s">
        <v>183</v>
      </c>
      <c r="Z102" s="170" t="str">
        <f>IF(V102&lt;&gt;"","セキュリティ管理/","")&amp;IF(W102&lt;&gt;"","マルウェア/","")&amp;IF(X102&lt;&gt;"","クラウド/","")&amp;IF(Y102&lt;&gt;"","別表1,2,3","")</f>
        <v>別表1,2,3</v>
      </c>
      <c r="AA102" s="170"/>
    </row>
    <row r="103" spans="1:27" ht="45">
      <c r="A103" s="75"/>
      <c r="B103" s="82"/>
      <c r="C103" s="90" t="s">
        <v>456</v>
      </c>
      <c r="D103" s="90" t="s">
        <v>457</v>
      </c>
      <c r="E103" s="91" t="s">
        <v>458</v>
      </c>
      <c r="F103" s="93" t="s">
        <v>254</v>
      </c>
      <c r="G103" s="100"/>
      <c r="H103" s="100"/>
      <c r="I103" s="94"/>
      <c r="J103" s="94"/>
      <c r="K103" s="94"/>
      <c r="L103" s="94"/>
      <c r="M103" s="247"/>
      <c r="N103" s="111" cm="1">
        <f t="array" ref="N103">IF(U103=TRUE,_xlfn.IFS(L103=1,2,L103="",IF(M103="",1,2)),0)</f>
        <v>0</v>
      </c>
      <c r="O103" s="102" t="s">
        <v>255</v>
      </c>
      <c r="P103" s="102" t="s">
        <v>255</v>
      </c>
      <c r="Q103" s="102" t="s">
        <v>255</v>
      </c>
      <c r="R103" s="96" t="s">
        <v>183</v>
      </c>
      <c r="S103" s="96" t="s">
        <v>183</v>
      </c>
      <c r="T103" s="96"/>
      <c r="U103" s="170" t="b">
        <f>AND(OR(AND($O$6=TRUE,$O103&lt;&gt;""),AND($P$6=TRUE,$P103&lt;&gt;""),AND($Q$6=TRUE,$Q103&lt;&gt;"")),AND($R$6=TRUE,$R103&lt;&gt;""),OR(AND($S$6=TRUE,$S103&lt;&gt;""),AND($T$6=TRUE,$T103&lt;&gt;"")))</f>
        <v>0</v>
      </c>
      <c r="V103" s="170" t="s">
        <v>183</v>
      </c>
      <c r="W103" s="170"/>
      <c r="X103" s="170"/>
      <c r="Y103" s="170"/>
      <c r="Z103" s="170" t="str">
        <f>IF(V103&lt;&gt;"","セキュリティ管理/","")&amp;IF(W103&lt;&gt;"","マルウェア/","")&amp;IF(X103&lt;&gt;"","クラウド/","")&amp;IF(Y103&lt;&gt;"","別表1,2,3","")</f>
        <v>セキュリティ管理/</v>
      </c>
      <c r="AA103" s="170"/>
    </row>
    <row r="104" spans="1:27" ht="22.5">
      <c r="A104" s="75"/>
      <c r="B104" s="82"/>
      <c r="C104" s="90" t="s">
        <v>459</v>
      </c>
      <c r="D104" s="90" t="s">
        <v>460</v>
      </c>
      <c r="E104" s="91" t="s">
        <v>461</v>
      </c>
      <c r="F104" s="92" t="s">
        <v>254</v>
      </c>
      <c r="G104" s="100"/>
      <c r="H104" s="100"/>
      <c r="I104" s="93"/>
      <c r="J104" s="93"/>
      <c r="K104" s="93"/>
      <c r="L104" s="94"/>
      <c r="M104" s="247"/>
      <c r="N104" s="111" cm="1">
        <f t="array" ref="N104">IF(U104=TRUE,_xlfn.IFS(L104=1,2,L104="",IF(M104="",1,2)),0)</f>
        <v>0</v>
      </c>
      <c r="O104" s="95" t="s">
        <v>255</v>
      </c>
      <c r="P104" s="95" t="s">
        <v>255</v>
      </c>
      <c r="Q104" s="102" t="s">
        <v>255</v>
      </c>
      <c r="R104" s="96" t="s">
        <v>183</v>
      </c>
      <c r="S104" s="96" t="s">
        <v>183</v>
      </c>
      <c r="T104" s="96"/>
      <c r="U104" s="170" t="b">
        <f>AND(OR(AND($O$6=TRUE,$O104&lt;&gt;""),AND($P$6=TRUE,$P104&lt;&gt;""),AND($Q$6=TRUE,$Q104&lt;&gt;"")),AND($R$6=TRUE,$R104&lt;&gt;""),OR(AND($S$6=TRUE,$S104&lt;&gt;""),AND($T$6=TRUE,$T104&lt;&gt;"")))</f>
        <v>0</v>
      </c>
      <c r="V104" s="170" t="s">
        <v>183</v>
      </c>
      <c r="W104" s="170"/>
      <c r="X104" s="170"/>
      <c r="Y104" s="170"/>
      <c r="Z104" s="170" t="str">
        <f>IF(V104&lt;&gt;"","セキュリティ管理/","")&amp;IF(W104&lt;&gt;"","マルウェア/","")&amp;IF(X104&lt;&gt;"","クラウド/","")&amp;IF(Y104&lt;&gt;"","別表1,2,3","")</f>
        <v>セキュリティ管理/</v>
      </c>
      <c r="AA104" s="170"/>
    </row>
    <row r="105" spans="1:27" ht="90">
      <c r="A105" s="75"/>
      <c r="B105" s="82"/>
      <c r="C105" s="90" t="s">
        <v>2075</v>
      </c>
      <c r="D105" s="71" t="s">
        <v>462</v>
      </c>
      <c r="E105" s="91" t="s">
        <v>2060</v>
      </c>
      <c r="F105" s="92" t="s">
        <v>254</v>
      </c>
      <c r="G105" s="100"/>
      <c r="H105" s="100"/>
      <c r="I105" s="108"/>
      <c r="J105" s="108"/>
      <c r="K105" s="108"/>
      <c r="L105" s="108"/>
      <c r="M105" s="200"/>
      <c r="N105" s="111" cm="1">
        <f t="array" ref="N105">IF(U105=TRUE,_xlfn.IFS(L105=1,2,L105="",IF(M105="",1,2)),0)</f>
        <v>0</v>
      </c>
      <c r="O105" s="102" t="s">
        <v>255</v>
      </c>
      <c r="P105" s="102" t="s">
        <v>255</v>
      </c>
      <c r="Q105" s="102" t="s">
        <v>255</v>
      </c>
      <c r="R105" s="96" t="s">
        <v>183</v>
      </c>
      <c r="S105" s="96" t="s">
        <v>183</v>
      </c>
      <c r="T105" s="96"/>
      <c r="U105" s="170" t="b">
        <f>AND(OR(AND($O$6=TRUE,$O105&lt;&gt;""),AND($P$6=TRUE,$P105&lt;&gt;""),AND($Q$6=TRUE,$Q105&lt;&gt;"")),AND($R$6=TRUE,$R105&lt;&gt;""),OR(AND($S$6=TRUE,$S105&lt;&gt;""),AND($T$6=TRUE,$T105&lt;&gt;"")))</f>
        <v>0</v>
      </c>
      <c r="V105" s="170" t="s">
        <v>183</v>
      </c>
      <c r="W105" s="170"/>
      <c r="X105" s="170"/>
      <c r="Y105" s="170"/>
      <c r="Z105" s="170" t="str">
        <f>IF(V105&lt;&gt;"","セキュリティ管理/","")&amp;IF(W105&lt;&gt;"","マルウェア/","")&amp;IF(X105&lt;&gt;"","クラウド/","")&amp;IF(Y105&lt;&gt;"","別表1,2,3","")</f>
        <v>セキュリティ管理/</v>
      </c>
      <c r="AA105" s="170" t="s">
        <v>2198</v>
      </c>
    </row>
    <row r="106" spans="1:27">
      <c r="G106">
        <f>COUNTA(G10:G105)</f>
        <v>0</v>
      </c>
      <c r="N106" s="24">
        <f>COUNTIF(N10:N105,2)</f>
        <v>0</v>
      </c>
      <c r="U106" s="24">
        <f>COUNTIF(U10:U105,TRUE)</f>
        <v>0</v>
      </c>
    </row>
    <row r="107" spans="1:27">
      <c r="G107">
        <f>COUNTIF(G10:G105,インデックス!CJ185)</f>
        <v>0</v>
      </c>
      <c r="N107" s="24" cm="1">
        <f t="array" ref="N107">SUMPRODUCT((N10:N105=2)*($Z10:$Z105&lt;&gt;""))</f>
        <v>0</v>
      </c>
      <c r="U107" s="24" cm="1">
        <f t="array" ref="U107">SUMPRODUCT((U10:U105=TRUE)*($Z10:$Z105&lt;&gt;""))</f>
        <v>0</v>
      </c>
    </row>
    <row r="108" spans="1:27">
      <c r="G108" cm="1">
        <f t="array" ref="G108">SUMPRODUCT((G10:G105&lt;&gt;"")*(Z10:Z105&lt;&gt;""))</f>
        <v>0</v>
      </c>
    </row>
    <row r="109" spans="1:27">
      <c r="G109" cm="1">
        <f t="array" ref="G109">SUMPRODUCT((G10:G105=インデックス!$CJ$185)*(Z10:Z105&lt;&gt;""))</f>
        <v>0</v>
      </c>
    </row>
  </sheetData>
  <autoFilter ref="A7:AA105" xr:uid="{00000000-0009-0000-0000-000004000000}"/>
  <mergeCells count="1">
    <mergeCell ref="L1:M2"/>
  </mergeCells>
  <phoneticPr fontId="7"/>
  <conditionalFormatting sqref="E10:H37 E39:H97 E99:H105">
    <cfRule type="expression" dxfId="253" priority="384">
      <formula>$U10=FALSE</formula>
    </cfRule>
  </conditionalFormatting>
  <conditionalFormatting sqref="E38:H38">
    <cfRule type="expression" dxfId="252" priority="12">
      <formula>$U38=FALSE</formula>
    </cfRule>
  </conditionalFormatting>
  <conditionalFormatting sqref="E98:H98">
    <cfRule type="expression" dxfId="251" priority="6">
      <formula>$U98=FALSE</formula>
    </cfRule>
  </conditionalFormatting>
  <dataValidations count="1">
    <dataValidation type="list" allowBlank="1" showInputMessage="1" showErrorMessage="1" sqref="L8:L105" xr:uid="{00000000-0002-0000-04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 id="{0A417B76-26A9-465D-8A01-0EE6E5D03DB9}">
            <xm:f>AND($U10=TRUE,COUNTIF($G10,インデックス!$CJ$186),ISBLANK($H10))</xm:f>
            <x14:dxf>
              <fill>
                <patternFill>
                  <bgColor theme="5"/>
                </patternFill>
              </fill>
            </x14:dxf>
          </x14:cfRule>
          <x14:cfRule type="expression" priority="37" id="{1042C93F-7AEA-467B-A27C-B86658F96B6C}">
            <xm:f>AND($U10=TRUE,$G10=インデックス!$CJ$184,ISBLANK($H10))</xm:f>
            <x14:dxf>
              <fill>
                <patternFill>
                  <bgColor theme="5"/>
                </patternFill>
              </fill>
            </x14:dxf>
          </x14:cfRule>
          <xm:sqref>H10:H37 H40:H97 H99:H105</xm:sqref>
        </x14:conditionalFormatting>
        <x14:conditionalFormatting xmlns:xm="http://schemas.microsoft.com/office/excel/2006/main">
          <x14:cfRule type="expression" priority="28" id="{DC52320C-E32E-4AC1-9557-7C021BD88E55}">
            <xm:f>AND($U39=TRUE,COUNTIF($G39,インデックス!$CJ$186),ISBLANK($H39))</xm:f>
            <x14:dxf>
              <fill>
                <patternFill>
                  <bgColor theme="5"/>
                </patternFill>
              </fill>
            </x14:dxf>
          </x14:cfRule>
          <x14:cfRule type="expression" priority="31" id="{D4AA9439-2C2F-4D72-A4A9-84CDB02DD7F9}">
            <xm:f>AND($U39=TRUE,$G39=インデックス!$CJ$184,ISBLANK($H39))</xm:f>
            <x14:dxf>
              <fill>
                <patternFill>
                  <bgColor theme="5"/>
                </patternFill>
              </fill>
            </x14:dxf>
          </x14:cfRule>
          <x14:cfRule type="expression" priority="33" id="{AA42B1AF-E52A-4CE0-A64C-5C49568CD520}">
            <xm:f>AND(U39=TRUE,COUNTIF(G39,インデックス!$CJ$186),LENB(H39)=593)</xm:f>
            <x14:dxf>
              <fill>
                <patternFill>
                  <bgColor theme="5"/>
                </patternFill>
              </fill>
            </x14:dxf>
          </x14:cfRule>
          <x14:cfRule type="expression" priority="34" id="{13AEEDC1-055E-4E12-A139-268C01352840}">
            <xm:f>AND(U39=TRUE,G39=インデックス!$CJ$184,LENB(H39)=593)</xm:f>
            <x14:dxf>
              <fill>
                <patternFill>
                  <bgColor theme="5"/>
                </patternFill>
              </fill>
            </x14:dxf>
          </x14:cfRule>
          <xm:sqref>H39</xm:sqref>
        </x14:conditionalFormatting>
        <x14:conditionalFormatting xmlns:xm="http://schemas.microsoft.com/office/excel/2006/main">
          <x14:cfRule type="expression" priority="152" id="{72BBC32A-94B9-4E1A-B75C-43DF47690534}">
            <xm:f>AND($U14=TRUE,$G14=インデックス!$CJ$183,ISBLANK($H14))</xm:f>
            <x14:dxf>
              <fill>
                <patternFill>
                  <bgColor theme="5"/>
                </patternFill>
              </fill>
            </x14:dxf>
          </x14:cfRule>
          <xm:sqref>H14 H20:H21 H28:H29 H36 H39:H41 H44:H46 H56:H58 H63 H67 H72 H75 H79 H84 H101:H102</xm:sqref>
        </x14:conditionalFormatting>
        <x14:conditionalFormatting xmlns:xm="http://schemas.microsoft.com/office/excel/2006/main">
          <x14:cfRule type="expression" priority="30" id="{9B12A32E-A472-4227-94A3-7FEF32D9870C}">
            <xm:f>AND($U10=TRUE,OR($G10=インデックス!$CJ$183,$G10=インデックス!$CJ$184,$G10=インデックス!$CJ$185,$G10=インデックス!$CJ$186),ISBLANK($L10))</xm:f>
            <x14:dxf>
              <fill>
                <patternFill>
                  <bgColor theme="5"/>
                </patternFill>
              </fill>
            </x14:dxf>
          </x14:cfRule>
          <xm:sqref>L10:L37 L39:L97 L99:L105</xm:sqref>
        </x14:conditionalFormatting>
        <x14:conditionalFormatting xmlns:xm="http://schemas.microsoft.com/office/excel/2006/main">
          <x14:cfRule type="expression" priority="26" id="{160DBEAD-CBD4-475F-986D-F7441332EAA2}">
            <xm:f>AND($U10=TRUE,OR($G10=インデックス!$CJ$184,$G10=インデックス!$CJ$185,$G10=インデックス!$CJ$186),ISBLANK($M10))</xm:f>
            <x14:dxf>
              <fill>
                <patternFill>
                  <bgColor theme="5"/>
                </patternFill>
              </fill>
            </x14:dxf>
          </x14:cfRule>
          <xm:sqref>M10:M37 M39:M97 M99:M105</xm:sqref>
        </x14:conditionalFormatting>
        <x14:conditionalFormatting xmlns:xm="http://schemas.microsoft.com/office/excel/2006/main">
          <x14:cfRule type="expression" priority="14" id="{0BA851DC-C131-4206-A05E-B91BA98E98CA}">
            <xm:f>L$1=インデックス!$CJ$189</xm:f>
            <x14:dxf>
              <fill>
                <patternFill>
                  <bgColor theme="5"/>
                </patternFill>
              </fill>
            </x14:dxf>
          </x14:cfRule>
          <x14:cfRule type="expression" priority="15" id="{36A31A3F-8BD4-4D19-92E8-D524267B33C9}">
            <xm:f>L$1=インデックス!$CJ$188</xm:f>
            <x14:dxf>
              <fill>
                <patternFill>
                  <bgColor theme="9"/>
                </patternFill>
              </fill>
            </x14:dxf>
          </x14:cfRule>
          <x14:cfRule type="expression" priority="16" id="{8AC69B33-314B-462D-9266-9447672BEC61}">
            <xm:f>L$1=インデックス!$CJ$187</xm:f>
            <x14:dxf>
              <fill>
                <patternFill>
                  <bgColor theme="4"/>
                </patternFill>
              </fill>
            </x14:dxf>
          </x14:cfRule>
          <xm:sqref>L1:M2</xm:sqref>
        </x14:conditionalFormatting>
        <x14:conditionalFormatting xmlns:xm="http://schemas.microsoft.com/office/excel/2006/main">
          <x14:cfRule type="expression" priority="10" id="{00C00FE8-AF8D-4FC7-BC58-3399301C0038}">
            <xm:f>AND($U38=TRUE,COUNTIF($G38,インデックス!$CJ$186),ISBLANK($H38))</xm:f>
            <x14:dxf>
              <fill>
                <patternFill>
                  <bgColor theme="5"/>
                </patternFill>
              </fill>
            </x14:dxf>
          </x14:cfRule>
          <x14:cfRule type="expression" priority="11" id="{71A8E58F-45DE-49FD-955F-8236027F9EE0}">
            <xm:f>AND($U38=TRUE,$G38=インデックス!$CJ$184,ISBLANK($H38))</xm:f>
            <x14:dxf>
              <fill>
                <patternFill>
                  <bgColor theme="5"/>
                </patternFill>
              </fill>
            </x14:dxf>
          </x14:cfRule>
          <xm:sqref>H38</xm:sqref>
        </x14:conditionalFormatting>
        <x14:conditionalFormatting xmlns:xm="http://schemas.microsoft.com/office/excel/2006/main">
          <x14:cfRule type="expression" priority="9" id="{A0AE34F7-E118-4B23-89BB-6B04188EA3A6}">
            <xm:f>AND($U38=TRUE,OR($G38=インデックス!$CJ$183,$G38=インデックス!$CJ$184,$G38=インデックス!$CJ$185,$G38=インデックス!$CJ$186),ISBLANK($L38))</xm:f>
            <x14:dxf>
              <fill>
                <patternFill>
                  <bgColor theme="5"/>
                </patternFill>
              </fill>
            </x14:dxf>
          </x14:cfRule>
          <xm:sqref>L38</xm:sqref>
        </x14:conditionalFormatting>
        <x14:conditionalFormatting xmlns:xm="http://schemas.microsoft.com/office/excel/2006/main">
          <x14:cfRule type="expression" priority="8" id="{A45DCD27-EA69-482C-A77D-16DD6C807B0F}">
            <xm:f>AND($U38=TRUE,OR($G38=インデックス!$CJ$184,$G38=インデックス!$CJ$185,$G38=インデックス!$CJ$186),ISBLANK($M38))</xm:f>
            <x14:dxf>
              <fill>
                <patternFill>
                  <bgColor theme="5"/>
                </patternFill>
              </fill>
            </x14:dxf>
          </x14:cfRule>
          <xm:sqref>M38</xm:sqref>
        </x14:conditionalFormatting>
        <x14:conditionalFormatting xmlns:xm="http://schemas.microsoft.com/office/excel/2006/main">
          <x14:cfRule type="expression" priority="4" id="{7206237B-025E-4255-8BB6-2CEE2C5E0763}">
            <xm:f>AND($U98=TRUE,COUNTIF($G98,インデックス!$CJ$186),ISBLANK($H98))</xm:f>
            <x14:dxf>
              <fill>
                <patternFill>
                  <bgColor theme="5"/>
                </patternFill>
              </fill>
            </x14:dxf>
          </x14:cfRule>
          <x14:cfRule type="expression" priority="5" id="{48AE0703-1C26-4DB0-9065-066CAE0D781C}">
            <xm:f>AND($U98=TRUE,$G98=インデックス!$CJ$184,ISBLANK($H98))</xm:f>
            <x14:dxf>
              <fill>
                <patternFill>
                  <bgColor theme="5"/>
                </patternFill>
              </fill>
            </x14:dxf>
          </x14:cfRule>
          <xm:sqref>H98</xm:sqref>
        </x14:conditionalFormatting>
        <x14:conditionalFormatting xmlns:xm="http://schemas.microsoft.com/office/excel/2006/main">
          <x14:cfRule type="expression" priority="3" id="{835645A7-8E25-483B-BC72-CFC669B40B42}">
            <xm:f>AND($U98=TRUE,OR($G98=インデックス!$CJ$183,$G98=インデックス!$CJ$184,$G98=インデックス!$CJ$185,$G98=インデックス!$CJ$186),ISBLANK($L98))</xm:f>
            <x14:dxf>
              <fill>
                <patternFill>
                  <bgColor theme="5"/>
                </patternFill>
              </fill>
            </x14:dxf>
          </x14:cfRule>
          <xm:sqref>L98</xm:sqref>
        </x14:conditionalFormatting>
        <x14:conditionalFormatting xmlns:xm="http://schemas.microsoft.com/office/excel/2006/main">
          <x14:cfRule type="expression" priority="2" id="{5D90281E-EC3C-420C-88A4-DC24BACE9B95}">
            <xm:f>AND($U98=TRUE,OR($G98=インデックス!$CJ$184,$G98=インデックス!$CJ$185,$G98=インデックス!$CJ$186),ISBLANK($M98))</xm:f>
            <x14:dxf>
              <fill>
                <patternFill>
                  <bgColor theme="5"/>
                </patternFill>
              </fill>
            </x14:dxf>
          </x14:cfRule>
          <xm:sqref>M98</xm:sqref>
        </x14:conditionalFormatting>
        <x14:conditionalFormatting xmlns:xm="http://schemas.microsoft.com/office/excel/2006/main">
          <x14:cfRule type="expression" priority="1" id="{B72BD3E9-F691-4C16-B0EA-ADEAACFE5A71}">
            <xm:f>AND($U$84=TRUE,OR($G$84=インデックス!$CJ$183,$G$84=インデックス!$CJ$184,$G$84=インデックス!$CJ$186),LENB($H$84)=118)</xm:f>
            <x14:dxf>
              <fill>
                <patternFill>
                  <bgColor theme="5"/>
                </patternFill>
              </fill>
            </x14:dxf>
          </x14:cfRule>
          <xm:sqref>H84</xm:sqref>
        </x14:conditionalFormatting>
        <x14:conditionalFormatting xmlns:xm="http://schemas.microsoft.com/office/excel/2006/main">
          <x14:cfRule type="expression" priority="1660" id="{F9567470-17A9-4856-BCA9-29E825FE39B9}">
            <xm:f>AND($U10=TRUE,$G10=インデックス!$CJ$184,ISBLANK($L10),インデックス!$AL$40=TRUE)</xm:f>
            <x14:dxf>
              <fill>
                <patternFill>
                  <bgColor theme="5"/>
                </patternFill>
              </fill>
            </x14:dxf>
          </x14:cfRule>
          <xm:sqref>L10:L14 L17 L20:L22 L101:L105 L25:L90 L93:L98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インデックス!$CJ$183:$CJ$186</xm:f>
          </x14:formula1>
          <xm:sqref>G20:G22 G17 G101:G105 G25:G90 G10:G14 G93:G98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dimension ref="A1:AJ51"/>
  <sheetViews>
    <sheetView showGridLines="0" zoomScale="70" zoomScaleNormal="70" workbookViewId="0">
      <pane ySplit="5" topLeftCell="A18" activePane="bottomLeft" state="frozen"/>
      <selection activeCell="B5" sqref="B5"/>
      <selection pane="bottomLeft"/>
    </sheetView>
  </sheetViews>
  <sheetFormatPr defaultRowHeight="18" outlineLevelCol="1"/>
  <cols>
    <col min="1" max="2" width="5.58203125" customWidth="1"/>
    <col min="3" max="3" width="9.08203125" bestFit="1" customWidth="1"/>
    <col min="4" max="4" width="8.58203125" customWidth="1"/>
    <col min="5" max="5" width="100.58203125" style="2" customWidth="1"/>
    <col min="6" max="6" width="16.58203125" customWidth="1"/>
    <col min="7" max="7" width="20.58203125" style="2" customWidth="1"/>
    <col min="8" max="8" width="55.58203125" style="2" customWidth="1"/>
    <col min="9" max="9" width="18.58203125" style="2" customWidth="1"/>
    <col min="10" max="10" width="50.58203125" style="2" customWidth="1"/>
    <col min="11" max="11" width="17.58203125" style="2" hidden="1" customWidth="1" outlineLevel="1"/>
    <col min="12" max="30" width="15.58203125" style="24" hidden="1" customWidth="1" outlineLevel="1"/>
    <col min="31" max="34" width="15.58203125" hidden="1" customWidth="1" outlineLevel="1"/>
    <col min="35" max="35" width="40.75" customWidth="1" collapsed="1"/>
    <col min="36" max="36" width="18.58203125" customWidth="1"/>
  </cols>
  <sheetData>
    <row r="1" spans="1:36" ht="32.5">
      <c r="A1" s="43" t="s">
        <v>463</v>
      </c>
      <c r="E1" s="50"/>
      <c r="G1"/>
      <c r="H1"/>
      <c r="I1" s="387" t="str" cm="1">
        <f t="array" ref="I1">IF(COUNTIF(K8:K47,1)=0,インデックス!$CJ$187,IF(AND(インデックス!$AL$63,SUMPRODUCT((K8:K47=1)*($AI8:$AI47&lt;&gt;""))=0),インデックス!$CJ$188,インデックス!$CJ$189))</f>
        <v>全件評価完了</v>
      </c>
      <c r="J1" s="387"/>
      <c r="K1"/>
      <c r="Y1"/>
      <c r="Z1"/>
      <c r="AA1"/>
      <c r="AB1"/>
      <c r="AC1"/>
      <c r="AD1"/>
    </row>
    <row r="2" spans="1:36" ht="26.5">
      <c r="B2" s="42" t="s">
        <v>464</v>
      </c>
      <c r="E2" s="50"/>
      <c r="G2"/>
      <c r="H2"/>
      <c r="I2" s="387"/>
      <c r="J2" s="387"/>
      <c r="K2"/>
      <c r="Y2"/>
      <c r="Z2"/>
      <c r="AA2"/>
      <c r="AB2"/>
      <c r="AC2"/>
      <c r="AD2"/>
    </row>
    <row r="3" spans="1:36" ht="26.5">
      <c r="B3" s="42" t="s">
        <v>228</v>
      </c>
      <c r="E3" s="50"/>
      <c r="G3"/>
      <c r="H3"/>
      <c r="I3"/>
      <c r="J3"/>
      <c r="K3"/>
      <c r="Y3"/>
      <c r="Z3"/>
      <c r="AA3"/>
      <c r="AB3"/>
      <c r="AC3"/>
      <c r="AD3"/>
    </row>
    <row r="4" spans="1:36">
      <c r="G4"/>
      <c r="H4"/>
      <c r="I4" s="163" t="s">
        <v>229</v>
      </c>
      <c r="J4" s="161"/>
      <c r="K4" s="161"/>
      <c r="L4" s="25" t="b">
        <f>AND(インデックス!$AL$38,インデックス!$AL$63)</f>
        <v>0</v>
      </c>
      <c r="M4" s="25" t="b">
        <f>インデックス!$AL$39</f>
        <v>0</v>
      </c>
      <c r="N4" s="25" t="b">
        <f>OR(インデックス!$AL$37,インデックス!$AL$40)</f>
        <v>0</v>
      </c>
      <c r="O4" s="26" t="b">
        <f>AND(TRUE,NOT(OR(インデックス!$AL$51,インデックス!$AL$69)))</f>
        <v>1</v>
      </c>
      <c r="P4" s="26" t="b">
        <f>AND(インデックス!$AL$63,NOT(OR(インデックス!$AL$51,インデックス!$AL$69)))</f>
        <v>0</v>
      </c>
      <c r="Q4" s="26" t="b">
        <f>AND(インデックス!$AL$93,NOT(OR(インデックス!$AL$51,インデックス!$AL$69)))</f>
        <v>0</v>
      </c>
      <c r="R4" s="26" t="b">
        <f>AND(インデックス!$AL$94,NOT(OR(インデックス!$AL$51,インデックス!$AL$69)))</f>
        <v>0</v>
      </c>
      <c r="S4" s="26" t="b">
        <f>AND(インデックス!$AL$48,NOT(インデックス!$AL$69))</f>
        <v>0</v>
      </c>
      <c r="T4" s="26" t="b">
        <f>AND(OR(インデックス!$AL$99,インデックス!$AL$100),NOT(OR(インデックス!$AL$51,インデックス!$AL$69)))</f>
        <v>0</v>
      </c>
      <c r="U4" s="26" t="b">
        <f>インデックス!$AL$87</f>
        <v>0</v>
      </c>
      <c r="V4" s="31" t="b">
        <f>インデックス!$AL$43</f>
        <v>0</v>
      </c>
      <c r="W4" s="31" t="b">
        <f>インデックス!$AL$48</f>
        <v>0</v>
      </c>
      <c r="X4" s="31" t="b">
        <f>OR(インデックス!$AL$48,インデックス!$AL$49)</f>
        <v>0</v>
      </c>
      <c r="Y4" s="31" t="b">
        <f>インデックス!$AL$63</f>
        <v>0</v>
      </c>
      <c r="Z4" s="51" t="b">
        <f>OR(NOT(OR(インデックス!$AL$101,インデックス!$AL$102,インデックス!$AL$103,インデックス!$AL$104)),インデックス!$AL$101)</f>
        <v>1</v>
      </c>
      <c r="AA4" s="51" t="b">
        <f>AND(インデックス!$AL$102,NOT(インデックス!$AL$101))</f>
        <v>0</v>
      </c>
      <c r="AB4" s="51" t="b">
        <f>AND(インデックス!$AL$103,NOT(インデックス!$AL$101))</f>
        <v>0</v>
      </c>
      <c r="AC4" s="51" t="b">
        <f>AND(インデックス!$AL$104,NOT(インデックス!$AL$101))</f>
        <v>0</v>
      </c>
      <c r="AD4" s="160"/>
      <c r="AE4" s="162"/>
      <c r="AF4" s="162"/>
      <c r="AG4" s="162"/>
      <c r="AH4" s="162"/>
      <c r="AI4" s="162"/>
      <c r="AJ4" s="162"/>
    </row>
    <row r="5" spans="1:36" ht="67.5">
      <c r="A5" s="293"/>
      <c r="B5" s="293"/>
      <c r="C5" s="293" t="s">
        <v>230</v>
      </c>
      <c r="D5" s="293" t="s">
        <v>155</v>
      </c>
      <c r="E5" s="292" t="s">
        <v>231</v>
      </c>
      <c r="F5" s="294" t="s">
        <v>232</v>
      </c>
      <c r="G5" s="64" t="s">
        <v>233</v>
      </c>
      <c r="H5" s="291" t="s">
        <v>1985</v>
      </c>
      <c r="I5" s="159" t="s">
        <v>1997</v>
      </c>
      <c r="J5" s="73" t="s">
        <v>237</v>
      </c>
      <c r="K5" s="290" t="s">
        <v>1991</v>
      </c>
      <c r="L5" s="64" t="s">
        <v>238</v>
      </c>
      <c r="M5" s="64" t="s">
        <v>239</v>
      </c>
      <c r="N5" s="159" t="s">
        <v>240</v>
      </c>
      <c r="O5" s="112" t="s">
        <v>241</v>
      </c>
      <c r="P5" s="112" t="s">
        <v>195</v>
      </c>
      <c r="Q5" s="112" t="s">
        <v>465</v>
      </c>
      <c r="R5" s="112" t="s">
        <v>466</v>
      </c>
      <c r="S5" s="112" t="s">
        <v>51</v>
      </c>
      <c r="T5" s="112" t="s">
        <v>468</v>
      </c>
      <c r="U5" s="112" t="s">
        <v>469</v>
      </c>
      <c r="V5" s="112" t="s">
        <v>470</v>
      </c>
      <c r="W5" s="112" t="s">
        <v>1980</v>
      </c>
      <c r="X5" s="112" t="s">
        <v>471</v>
      </c>
      <c r="Y5" s="112" t="s">
        <v>195</v>
      </c>
      <c r="Z5" s="112" t="s">
        <v>241</v>
      </c>
      <c r="AA5" s="112" t="s">
        <v>472</v>
      </c>
      <c r="AB5" s="112" t="s">
        <v>94</v>
      </c>
      <c r="AC5" s="112" t="s">
        <v>95</v>
      </c>
      <c r="AD5" s="112" t="s">
        <v>243</v>
      </c>
      <c r="AE5" s="74" t="s">
        <v>244</v>
      </c>
      <c r="AF5" s="74" t="s">
        <v>245</v>
      </c>
      <c r="AG5" s="74" t="s">
        <v>246</v>
      </c>
      <c r="AH5" s="74" t="s">
        <v>247</v>
      </c>
      <c r="AI5" s="74" t="s">
        <v>248</v>
      </c>
      <c r="AJ5" s="74" t="s">
        <v>249</v>
      </c>
    </row>
    <row r="6" spans="1:36" ht="22.5">
      <c r="A6" s="52" t="s">
        <v>473</v>
      </c>
      <c r="B6" s="52"/>
      <c r="C6" s="113"/>
      <c r="D6" s="113"/>
      <c r="E6" s="77"/>
      <c r="F6" s="56"/>
      <c r="G6" s="56"/>
      <c r="H6" s="56"/>
      <c r="I6" s="114"/>
      <c r="J6" s="56"/>
      <c r="K6" s="56"/>
      <c r="L6" s="114"/>
      <c r="M6" s="114"/>
      <c r="N6" s="114"/>
      <c r="O6" s="114"/>
      <c r="P6" s="114"/>
      <c r="Q6" s="114"/>
      <c r="R6" s="114"/>
      <c r="S6" s="114"/>
      <c r="T6" s="114"/>
      <c r="U6" s="114"/>
      <c r="V6" s="114"/>
      <c r="W6" s="114"/>
      <c r="X6" s="114"/>
      <c r="Y6" s="114"/>
      <c r="Z6" s="114"/>
      <c r="AA6" s="114"/>
      <c r="AB6" s="114"/>
      <c r="AC6" s="114"/>
      <c r="AD6" s="114"/>
      <c r="AE6" s="114"/>
      <c r="AF6" s="114"/>
      <c r="AG6" s="114"/>
      <c r="AH6" s="114"/>
      <c r="AI6" s="114"/>
      <c r="AJ6" s="114"/>
    </row>
    <row r="7" spans="1:36" ht="22.5">
      <c r="A7" s="52"/>
      <c r="B7" s="58" t="s">
        <v>474</v>
      </c>
      <c r="C7" s="115"/>
      <c r="D7" s="115"/>
      <c r="E7" s="84"/>
      <c r="F7" s="59"/>
      <c r="G7" s="182"/>
      <c r="H7" s="182"/>
      <c r="I7" s="117"/>
      <c r="J7" s="116"/>
      <c r="K7" s="116"/>
      <c r="L7" s="117"/>
      <c r="M7" s="117"/>
      <c r="N7" s="117"/>
      <c r="O7" s="125"/>
      <c r="P7" s="125"/>
      <c r="Q7" s="125"/>
      <c r="R7" s="125"/>
      <c r="S7" s="125"/>
      <c r="T7" s="125"/>
      <c r="U7" s="125"/>
      <c r="V7" s="125"/>
      <c r="W7" s="125"/>
      <c r="X7" s="125"/>
      <c r="Y7" s="125"/>
      <c r="Z7" s="125"/>
      <c r="AA7" s="125"/>
      <c r="AB7" s="125"/>
      <c r="AC7" s="125"/>
      <c r="AD7" s="125"/>
      <c r="AE7" s="125"/>
      <c r="AF7" s="125"/>
      <c r="AG7" s="125"/>
      <c r="AH7" s="125"/>
      <c r="AI7" s="125"/>
      <c r="AJ7" s="125"/>
    </row>
    <row r="8" spans="1:36" ht="22.5">
      <c r="A8" s="52"/>
      <c r="B8" s="58"/>
      <c r="C8" s="71" t="s">
        <v>475</v>
      </c>
      <c r="D8" s="71" t="s">
        <v>252</v>
      </c>
      <c r="E8" s="91" t="s">
        <v>476</v>
      </c>
      <c r="F8" s="92" t="s">
        <v>361</v>
      </c>
      <c r="G8" s="107"/>
      <c r="H8" s="107"/>
      <c r="I8" s="124"/>
      <c r="J8" s="243"/>
      <c r="K8" s="111" cm="1">
        <f t="array" ref="K8">IF(AD8=TRUE,_xlfn.IFS(I8=1,2,I8="",IF(J8="",1,2)),0)</f>
        <v>0</v>
      </c>
      <c r="L8" s="121" t="s">
        <v>255</v>
      </c>
      <c r="M8" s="121" t="s">
        <v>183</v>
      </c>
      <c r="N8" s="121" t="s">
        <v>183</v>
      </c>
      <c r="O8" s="69"/>
      <c r="P8" s="69"/>
      <c r="Q8" s="69"/>
      <c r="R8" s="69"/>
      <c r="S8" s="69"/>
      <c r="T8" s="69" t="s">
        <v>183</v>
      </c>
      <c r="U8" s="69"/>
      <c r="V8" s="69" t="s">
        <v>183</v>
      </c>
      <c r="W8" s="69"/>
      <c r="X8" s="69" t="s">
        <v>255</v>
      </c>
      <c r="Y8" s="69"/>
      <c r="Z8" s="69"/>
      <c r="AA8" s="69" t="s">
        <v>255</v>
      </c>
      <c r="AB8" s="69"/>
      <c r="AC8" s="69" t="s">
        <v>255</v>
      </c>
      <c r="AD8" s="123" t="b">
        <f>AND(OR(AND($L$4=TRUE,$L8&lt;&gt;""),AND($M$4=TRUE,$M8&lt;&gt;""),AND($N$4=TRUE,$N8&lt;&gt;"")),OR(AND($O$4=TRUE,$O8&lt;&gt;""),AND($P$4=TRUE,$P8&lt;&gt;""),AND($Q$4=TRUE,$Q8&lt;&gt;""),AND($R$4=TRUE,$R8&lt;&gt;""),AND($S$4=TRUE,$S8&lt;&gt;""),AND($T$4=TRUE,$T8&lt;&gt;""),AND($U$4=TRUE,$U8&lt;&gt;"")),OR(AND($V$4=TRUE,$V8&lt;&gt;""),AND($W$4=TRUE,$W8&lt;&gt;""),AND($X$4=TRUE,$X8&lt;&gt;""),AND($Y$4=TRUE,$Y8&lt;&gt;"")),OR(IF($Z$4=TRUE,IF($Z8&lt;&gt;"",FALSE,TRUE),FALSE),IF($AA$4=TRUE,IF($AA8&lt;&gt;"",FALSE,TRUE),FALSE),IF($AB$4=TRUE,IF($AB8&lt;&gt;"",FALSE,TRUE),FALSE),IF($AC$4=TRUE,IF($AC8&lt;&gt;"",FALSE,TRUE),FALSE)))</f>
        <v>0</v>
      </c>
      <c r="AE8" s="123"/>
      <c r="AF8" s="123"/>
      <c r="AG8" s="123"/>
      <c r="AH8" s="123"/>
      <c r="AI8" s="170" t="str">
        <f>IF(AE8&lt;&gt;"","セキュリティ管理/","")&amp;IF(AF8&lt;&gt;"","マルウェア/","")&amp;IF(AG8&lt;&gt;"","クラウド/","")&amp;IF(AH8&lt;&gt;"","別表1,2,3","")</f>
        <v/>
      </c>
      <c r="AJ8" s="123"/>
    </row>
    <row r="9" spans="1:36" ht="67.5">
      <c r="A9" s="52"/>
      <c r="B9" s="58"/>
      <c r="C9" s="71" t="s">
        <v>477</v>
      </c>
      <c r="D9" s="71" t="s">
        <v>478</v>
      </c>
      <c r="E9" s="91" t="s">
        <v>479</v>
      </c>
      <c r="F9" s="92" t="s">
        <v>361</v>
      </c>
      <c r="G9" s="107"/>
      <c r="H9" s="107"/>
      <c r="I9" s="124"/>
      <c r="J9" s="243"/>
      <c r="K9" s="111" cm="1">
        <f t="array" ref="K9">IF(AD9=TRUE,_xlfn.IFS(I9=1,2,I9="",IF(J9="",1,2)),0)</f>
        <v>0</v>
      </c>
      <c r="L9" s="121" t="s">
        <v>255</v>
      </c>
      <c r="M9" s="121" t="s">
        <v>183</v>
      </c>
      <c r="N9" s="121" t="s">
        <v>183</v>
      </c>
      <c r="O9" s="69"/>
      <c r="P9" s="69"/>
      <c r="Q9" s="69"/>
      <c r="R9" s="69"/>
      <c r="S9" s="69"/>
      <c r="T9" s="69" t="s">
        <v>183</v>
      </c>
      <c r="U9" s="69"/>
      <c r="V9" s="69" t="s">
        <v>183</v>
      </c>
      <c r="W9" s="69"/>
      <c r="X9" s="69" t="s">
        <v>255</v>
      </c>
      <c r="Y9" s="69"/>
      <c r="Z9" s="69"/>
      <c r="AA9" s="69" t="s">
        <v>255</v>
      </c>
      <c r="AB9" s="69"/>
      <c r="AC9" s="69"/>
      <c r="AD9" s="123" t="b">
        <f>AND(OR(AND($L$4=TRUE,$L9&lt;&gt;""),AND($M$4=TRUE,$M9&lt;&gt;""),AND($N$4=TRUE,$N9&lt;&gt;"")),OR(AND($O$4=TRUE,$O9&lt;&gt;""),AND($P$4=TRUE,$P9&lt;&gt;""),AND($Q$4=TRUE,$Q9&lt;&gt;""),AND($R$4=TRUE,$R9&lt;&gt;""),AND($S$4=TRUE,$S9&lt;&gt;""),AND($T$4=TRUE,$T9&lt;&gt;""),AND($U$4=TRUE,$U9&lt;&gt;"")),OR(AND($V$4=TRUE,$V9&lt;&gt;""),AND($W$4=TRUE,$W9&lt;&gt;""),AND($X$4=TRUE,$X9&lt;&gt;""),AND($Y$4=TRUE,$Y9&lt;&gt;"")),OR(IF($Z$4=TRUE,IF($Z9&lt;&gt;"",FALSE,TRUE),FALSE),IF($AA$4=TRUE,IF($AA9&lt;&gt;"",FALSE,TRUE),FALSE),IF($AB$4=TRUE,IF($AB9&lt;&gt;"",FALSE,TRUE),FALSE),IF($AC$4=TRUE,IF($AC9&lt;&gt;"",FALSE,TRUE),FALSE)))</f>
        <v>0</v>
      </c>
      <c r="AE9" s="123"/>
      <c r="AF9" s="123"/>
      <c r="AG9" s="123"/>
      <c r="AH9" s="123"/>
      <c r="AI9" s="170" t="str">
        <f>IF(AE9&lt;&gt;"","セキュリティ管理/","")&amp;IF(AF9&lt;&gt;"","マルウェア/","")&amp;IF(AG9&lt;&gt;"","クラウド/","")&amp;IF(AH9&lt;&gt;"","別表1,2,3","")</f>
        <v/>
      </c>
      <c r="AJ9" s="123"/>
    </row>
    <row r="10" spans="1:36" ht="22.5">
      <c r="A10" s="52"/>
      <c r="B10" s="58"/>
      <c r="C10" s="71" t="s">
        <v>480</v>
      </c>
      <c r="D10" s="71" t="s">
        <v>259</v>
      </c>
      <c r="E10" s="91" t="s">
        <v>481</v>
      </c>
      <c r="F10" s="92" t="s">
        <v>254</v>
      </c>
      <c r="G10" s="107"/>
      <c r="H10" s="107"/>
      <c r="I10" s="124"/>
      <c r="J10" s="243"/>
      <c r="K10" s="111" cm="1">
        <f t="array" ref="K10">IF(AD10=TRUE,_xlfn.IFS(I10=1,2,I10="",IF(J10="",1,2)),0)</f>
        <v>0</v>
      </c>
      <c r="L10" s="69" t="s">
        <v>255</v>
      </c>
      <c r="M10" s="121" t="s">
        <v>183</v>
      </c>
      <c r="N10" s="121" t="s">
        <v>183</v>
      </c>
      <c r="O10" s="69"/>
      <c r="P10" s="69"/>
      <c r="Q10" s="69"/>
      <c r="R10" s="69"/>
      <c r="S10" s="69"/>
      <c r="T10" s="69" t="s">
        <v>183</v>
      </c>
      <c r="U10" s="69"/>
      <c r="V10" s="69" t="s">
        <v>183</v>
      </c>
      <c r="W10" s="69"/>
      <c r="X10" s="69" t="s">
        <v>255</v>
      </c>
      <c r="Y10" s="69"/>
      <c r="Z10" s="69"/>
      <c r="AA10" s="69" t="s">
        <v>255</v>
      </c>
      <c r="AB10" s="69"/>
      <c r="AC10" s="69"/>
      <c r="AD10" s="123" t="b">
        <f>AND(OR(AND($L$4=TRUE,$L10&lt;&gt;""),AND($M$4=TRUE,$M10&lt;&gt;""),AND($N$4=TRUE,$N10&lt;&gt;"")),OR(AND($O$4=TRUE,$O10&lt;&gt;""),AND($P$4=TRUE,$P10&lt;&gt;""),AND($Q$4=TRUE,$Q10&lt;&gt;""),AND($R$4=TRUE,$R10&lt;&gt;""),AND($S$4=TRUE,$S10&lt;&gt;""),AND($T$4=TRUE,$T10&lt;&gt;""),AND($U$4=TRUE,$U10&lt;&gt;"")),OR(AND($V$4=TRUE,$V10&lt;&gt;""),AND($W$4=TRUE,$W10&lt;&gt;""),AND($X$4=TRUE,$X10&lt;&gt;""),AND($Y$4=TRUE,$Y10&lt;&gt;"")),OR(IF($Z$4=TRUE,IF($Z10&lt;&gt;"",FALSE,TRUE),FALSE),IF($AA$4=TRUE,IF($AA10&lt;&gt;"",FALSE,TRUE),FALSE),IF($AB$4=TRUE,IF($AB10&lt;&gt;"",FALSE,TRUE),FALSE),IF($AC$4=TRUE,IF($AC10&lt;&gt;"",FALSE,TRUE),FALSE)))</f>
        <v>0</v>
      </c>
      <c r="AE10" s="123"/>
      <c r="AF10" s="123"/>
      <c r="AG10" s="123"/>
      <c r="AH10" s="123"/>
      <c r="AI10" s="170" t="str">
        <f>IF(AE10&lt;&gt;"","セキュリティ管理/","")&amp;IF(AF10&lt;&gt;"","マルウェア/","")&amp;IF(AG10&lt;&gt;"","クラウド/","")&amp;IF(AH10&lt;&gt;"","別表1,2,3","")</f>
        <v/>
      </c>
      <c r="AJ10" s="123"/>
    </row>
    <row r="11" spans="1:36" ht="228.65" customHeight="1">
      <c r="A11" s="109"/>
      <c r="B11" s="101"/>
      <c r="C11" s="71" t="s">
        <v>482</v>
      </c>
      <c r="D11" s="71" t="s">
        <v>262</v>
      </c>
      <c r="E11" s="91" t="s">
        <v>483</v>
      </c>
      <c r="F11" s="92" t="s">
        <v>254</v>
      </c>
      <c r="G11" s="107"/>
      <c r="H11" s="107"/>
      <c r="I11" s="124"/>
      <c r="J11" s="243"/>
      <c r="K11" s="111" cm="1">
        <f t="array" ref="K11">IF(AD11=TRUE,_xlfn.IFS(I11=1,2,I11="",IF(J11="",1,2)),0)</f>
        <v>0</v>
      </c>
      <c r="L11" s="121" t="s">
        <v>255</v>
      </c>
      <c r="M11" s="121" t="s">
        <v>183</v>
      </c>
      <c r="N11" s="121" t="s">
        <v>183</v>
      </c>
      <c r="O11" s="69"/>
      <c r="P11" s="69"/>
      <c r="Q11" s="118" t="s">
        <v>448</v>
      </c>
      <c r="R11" s="118" t="s">
        <v>448</v>
      </c>
      <c r="S11" s="118"/>
      <c r="T11" s="118" t="s">
        <v>183</v>
      </c>
      <c r="U11" s="118"/>
      <c r="V11" s="69"/>
      <c r="W11" s="69" t="s">
        <v>183</v>
      </c>
      <c r="X11" s="69"/>
      <c r="Y11" s="69"/>
      <c r="Z11" s="69"/>
      <c r="AA11" s="69" t="s">
        <v>255</v>
      </c>
      <c r="AB11" s="69"/>
      <c r="AC11" s="69"/>
      <c r="AD11" s="123" t="b">
        <f>AND(OR(AND($L$4=TRUE,$L11&lt;&gt;""),AND($M$4=TRUE,$M11&lt;&gt;""),AND($N$4=TRUE,$N11&lt;&gt;"")),OR(AND($O$4=TRUE,$O11&lt;&gt;""),AND($P$4=TRUE,$P11&lt;&gt;""),AND($Q$4=TRUE,$Q11&lt;&gt;""),AND($R$4=TRUE,$R11&lt;&gt;""),AND($S$4=TRUE,$S11&lt;&gt;""),AND($T$4=TRUE,$T11&lt;&gt;""),AND($U$4=TRUE,$U11&lt;&gt;"")),OR(AND($V$4=TRUE,$V11&lt;&gt;""),AND($W$4=TRUE,$W11&lt;&gt;""),AND($X$4=TRUE,$X11&lt;&gt;""),AND($Y$4=TRUE,$Y11&lt;&gt;"")),OR(IF($Z$4=TRUE,IF($Z11&lt;&gt;"",FALSE,TRUE),FALSE),IF($AA$4=TRUE,IF($AA11&lt;&gt;"",FALSE,TRUE),FALSE),IF($AB$4=TRUE,IF($AB11&lt;&gt;"",FALSE,TRUE),FALSE),IF($AC$4=TRUE,IF($AC11&lt;&gt;"",FALSE,TRUE),FALSE)))</f>
        <v>0</v>
      </c>
      <c r="AE11" s="123"/>
      <c r="AF11" s="123"/>
      <c r="AG11" s="123"/>
      <c r="AH11" s="123"/>
      <c r="AI11" s="170" t="str">
        <f>IF(AE11&lt;&gt;"","セキュリティ管理/","")&amp;IF(AF11&lt;&gt;"","マルウェア/","")&amp;IF(AG11&lt;&gt;"","クラウド/","")&amp;IF(AH11&lt;&gt;"","別表1,2,3","")</f>
        <v/>
      </c>
      <c r="AJ11" s="123" t="s">
        <v>359</v>
      </c>
    </row>
    <row r="12" spans="1:36" ht="45">
      <c r="A12" s="109"/>
      <c r="B12" s="101"/>
      <c r="C12" s="71" t="s">
        <v>484</v>
      </c>
      <c r="D12" s="71" t="s">
        <v>485</v>
      </c>
      <c r="E12" s="91" t="s">
        <v>486</v>
      </c>
      <c r="F12" s="92" t="s">
        <v>254</v>
      </c>
      <c r="G12" s="107"/>
      <c r="H12" s="107"/>
      <c r="I12" s="124"/>
      <c r="J12" s="243"/>
      <c r="K12" s="111" cm="1">
        <f t="array" ref="K12">IF(AD12=TRUE,_xlfn.IFS(I12=1,2,I12="",IF(J12="",1,2)),0)</f>
        <v>0</v>
      </c>
      <c r="L12" s="121" t="s">
        <v>255</v>
      </c>
      <c r="M12" s="121" t="s">
        <v>183</v>
      </c>
      <c r="N12" s="121" t="s">
        <v>183</v>
      </c>
      <c r="O12" s="69"/>
      <c r="P12" s="69"/>
      <c r="Q12" s="118" t="s">
        <v>448</v>
      </c>
      <c r="R12" s="118" t="s">
        <v>448</v>
      </c>
      <c r="S12" s="118"/>
      <c r="T12" s="118" t="s">
        <v>183</v>
      </c>
      <c r="U12" s="118"/>
      <c r="V12" s="69" t="s">
        <v>183</v>
      </c>
      <c r="W12" s="69"/>
      <c r="X12" s="69" t="s">
        <v>255</v>
      </c>
      <c r="Y12" s="69"/>
      <c r="Z12" s="69"/>
      <c r="AA12" s="69" t="s">
        <v>255</v>
      </c>
      <c r="AB12" s="69" t="s">
        <v>255</v>
      </c>
      <c r="AC12" s="69"/>
      <c r="AD12" s="123" t="b">
        <f>AND(OR(AND($L$4=TRUE,$L12&lt;&gt;""),AND($M$4=TRUE,$M12&lt;&gt;""),AND($N$4=TRUE,$N12&lt;&gt;"")),OR(AND($O$4=TRUE,$O12&lt;&gt;""),AND($P$4=TRUE,$P12&lt;&gt;""),AND($Q$4=TRUE,$Q12&lt;&gt;""),AND($R$4=TRUE,$R12&lt;&gt;""),AND($S$4=TRUE,$S12&lt;&gt;""),AND($T$4=TRUE,$T12&lt;&gt;""),AND($U$4=TRUE,$U12&lt;&gt;"")),OR(AND($V$4=TRUE,$V12&lt;&gt;""),AND($W$4=TRUE,$W12&lt;&gt;""),AND($X$4=TRUE,$X12&lt;&gt;""),AND($Y$4=TRUE,$Y12&lt;&gt;"")),OR(IF($Z$4=TRUE,IF($Z12&lt;&gt;"",FALSE,TRUE),FALSE),IF($AA$4=TRUE,IF($AA12&lt;&gt;"",FALSE,TRUE),FALSE),IF($AB$4=TRUE,IF($AB12&lt;&gt;"",FALSE,TRUE),FALSE),IF($AC$4=TRUE,IF($AC12&lt;&gt;"",FALSE,TRUE),FALSE)))</f>
        <v>0</v>
      </c>
      <c r="AE12" s="123"/>
      <c r="AF12" s="123"/>
      <c r="AG12" s="123"/>
      <c r="AH12" s="123"/>
      <c r="AI12" s="170" t="str">
        <f>IF(AE12&lt;&gt;"","セキュリティ管理/","")&amp;IF(AF12&lt;&gt;"","マルウェア/","")&amp;IF(AG12&lt;&gt;"","クラウド/","")&amp;IF(AH12&lt;&gt;"","別表1,2,3","")</f>
        <v/>
      </c>
      <c r="AJ12" s="123" t="s">
        <v>487</v>
      </c>
    </row>
    <row r="13" spans="1:36" ht="22.5">
      <c r="A13" s="52"/>
      <c r="B13" s="58" t="s">
        <v>488</v>
      </c>
      <c r="C13" s="115"/>
      <c r="D13" s="115"/>
      <c r="E13" s="119"/>
      <c r="F13" s="120"/>
      <c r="G13" s="84"/>
      <c r="H13" s="84"/>
      <c r="I13" s="125"/>
      <c r="J13" s="244"/>
      <c r="K13" s="244"/>
      <c r="L13" s="125"/>
      <c r="M13" s="125"/>
      <c r="N13" s="125"/>
      <c r="O13" s="125"/>
      <c r="P13" s="125"/>
      <c r="Q13" s="125"/>
      <c r="R13" s="125"/>
      <c r="S13" s="125"/>
      <c r="T13" s="125"/>
      <c r="U13" s="125"/>
      <c r="V13" s="125"/>
      <c r="W13" s="125"/>
      <c r="X13" s="125"/>
      <c r="Y13" s="125"/>
      <c r="Z13" s="125"/>
      <c r="AA13" s="125"/>
      <c r="AB13" s="125"/>
      <c r="AC13" s="125"/>
      <c r="AD13" s="125" t="s">
        <v>268</v>
      </c>
      <c r="AE13" s="125"/>
      <c r="AF13" s="125"/>
      <c r="AG13" s="125"/>
      <c r="AH13" s="125"/>
      <c r="AI13" s="125"/>
      <c r="AJ13" s="125"/>
    </row>
    <row r="14" spans="1:36" ht="315">
      <c r="A14" s="52"/>
      <c r="B14" s="58"/>
      <c r="C14" s="71" t="s">
        <v>489</v>
      </c>
      <c r="D14" s="71" t="s">
        <v>490</v>
      </c>
      <c r="E14" s="91" t="s">
        <v>491</v>
      </c>
      <c r="F14" s="92" t="s">
        <v>254</v>
      </c>
      <c r="G14" s="107"/>
      <c r="H14" s="107"/>
      <c r="I14" s="124"/>
      <c r="J14" s="243"/>
      <c r="K14" s="111" cm="1">
        <f t="array" ref="K14">IF(AD14=TRUE,_xlfn.IFS(I14=1,2,I14="",IF(J14="",1,2)),0)</f>
        <v>0</v>
      </c>
      <c r="L14" s="69" t="s">
        <v>255</v>
      </c>
      <c r="M14" s="121" t="s">
        <v>183</v>
      </c>
      <c r="N14" s="121" t="s">
        <v>183</v>
      </c>
      <c r="O14" s="69" t="s">
        <v>183</v>
      </c>
      <c r="P14" s="69"/>
      <c r="Q14" s="69"/>
      <c r="R14" s="69"/>
      <c r="S14" s="69"/>
      <c r="T14" s="69"/>
      <c r="U14" s="69"/>
      <c r="V14" s="69" t="s">
        <v>183</v>
      </c>
      <c r="W14" s="69"/>
      <c r="X14" s="69" t="s">
        <v>255</v>
      </c>
      <c r="Y14" s="69"/>
      <c r="Z14" s="69"/>
      <c r="AA14" s="69"/>
      <c r="AB14" s="69"/>
      <c r="AC14" s="69"/>
      <c r="AD14" s="123" t="b">
        <f t="shared" ref="AD14:AD33" si="0">AND(OR(AND($L$4=TRUE,$L14&lt;&gt;""),AND($M$4=TRUE,$M14&lt;&gt;""),AND($N$4=TRUE,$N14&lt;&gt;"")),OR(AND($O$4=TRUE,$O14&lt;&gt;""),AND($P$4=TRUE,$P14&lt;&gt;""),AND($Q$4=TRUE,$Q14&lt;&gt;""),AND($R$4=TRUE,$R14&lt;&gt;""),AND($S$4=TRUE,$S14&lt;&gt;""),AND($T$4=TRUE,$T14&lt;&gt;""),AND($U$4=TRUE,$U14&lt;&gt;"")),OR(AND($V$4=TRUE,$V14&lt;&gt;""),AND($W$4=TRUE,$W14&lt;&gt;""),AND($X$4=TRUE,$X14&lt;&gt;""),AND($Y$4=TRUE,$Y14&lt;&gt;"")),OR(IF($Z$4=TRUE,IF($Z14&lt;&gt;"",FALSE,TRUE),FALSE),IF($AA$4=TRUE,IF($AA14&lt;&gt;"",FALSE,TRUE),FALSE),IF($AB$4=TRUE,IF($AB14&lt;&gt;"",FALSE,TRUE),FALSE),IF($AC$4=TRUE,IF($AC14&lt;&gt;"",FALSE,TRUE),FALSE)))</f>
        <v>0</v>
      </c>
      <c r="AE14" s="123"/>
      <c r="AF14" s="123"/>
      <c r="AG14" s="123"/>
      <c r="AH14" s="123"/>
      <c r="AI14" s="170" t="str">
        <f t="shared" ref="AI14:AI33" si="1">IF(AE14&lt;&gt;"","セキュリティ管理/","")&amp;IF(AF14&lt;&gt;"","マルウェア/","")&amp;IF(AG14&lt;&gt;"","クラウド/","")&amp;IF(AH14&lt;&gt;"","別表1,2,3","")</f>
        <v/>
      </c>
      <c r="AJ14" s="124" t="s">
        <v>492</v>
      </c>
    </row>
    <row r="15" spans="1:36" ht="315">
      <c r="A15" s="52"/>
      <c r="B15" s="58"/>
      <c r="C15" s="71" t="s">
        <v>493</v>
      </c>
      <c r="D15" s="71" t="s">
        <v>494</v>
      </c>
      <c r="E15" s="91" t="s">
        <v>495</v>
      </c>
      <c r="F15" s="92" t="s">
        <v>254</v>
      </c>
      <c r="G15" s="107"/>
      <c r="H15" s="107"/>
      <c r="I15" s="124"/>
      <c r="J15" s="243"/>
      <c r="K15" s="111" cm="1">
        <f t="array" ref="K15">IF(AD15=TRUE,_xlfn.IFS(I15=1,2,I15="",IF(J15="",1,2)),0)</f>
        <v>0</v>
      </c>
      <c r="L15" s="121" t="s">
        <v>255</v>
      </c>
      <c r="M15" s="121" t="s">
        <v>183</v>
      </c>
      <c r="N15" s="121" t="s">
        <v>183</v>
      </c>
      <c r="O15" s="69"/>
      <c r="P15" s="69"/>
      <c r="Q15" s="118" t="s">
        <v>448</v>
      </c>
      <c r="R15" s="118" t="s">
        <v>448</v>
      </c>
      <c r="S15" s="118"/>
      <c r="T15" s="69" t="s">
        <v>183</v>
      </c>
      <c r="U15" s="69"/>
      <c r="V15" s="69" t="s">
        <v>183</v>
      </c>
      <c r="W15" s="69"/>
      <c r="X15" s="69" t="s">
        <v>255</v>
      </c>
      <c r="Y15" s="69"/>
      <c r="Z15" s="69"/>
      <c r="AA15" s="69" t="s">
        <v>255</v>
      </c>
      <c r="AB15" s="69"/>
      <c r="AC15" s="69"/>
      <c r="AD15" s="123" t="b">
        <f t="shared" si="0"/>
        <v>0</v>
      </c>
      <c r="AE15" s="123"/>
      <c r="AF15" s="123"/>
      <c r="AG15" s="123"/>
      <c r="AH15" s="123"/>
      <c r="AI15" s="170" t="str">
        <f t="shared" si="1"/>
        <v/>
      </c>
      <c r="AJ15" s="124" t="s">
        <v>496</v>
      </c>
    </row>
    <row r="16" spans="1:36" ht="135">
      <c r="A16" s="52"/>
      <c r="B16" s="58"/>
      <c r="C16" s="71" t="s">
        <v>497</v>
      </c>
      <c r="D16" s="71" t="s">
        <v>498</v>
      </c>
      <c r="E16" s="91" t="s">
        <v>499</v>
      </c>
      <c r="F16" s="92" t="s">
        <v>254</v>
      </c>
      <c r="G16" s="107"/>
      <c r="H16" s="107"/>
      <c r="I16" s="124"/>
      <c r="J16" s="243"/>
      <c r="K16" s="111" cm="1">
        <f t="array" ref="K16">IF(AD16=TRUE,_xlfn.IFS(I16=1,2,I16="",IF(J16="",1,2)),0)</f>
        <v>0</v>
      </c>
      <c r="L16" s="135" t="s">
        <v>255</v>
      </c>
      <c r="M16" s="121" t="s">
        <v>183</v>
      </c>
      <c r="N16" s="121" t="s">
        <v>183</v>
      </c>
      <c r="O16" s="69"/>
      <c r="P16" s="69"/>
      <c r="Q16" s="69"/>
      <c r="R16" s="69"/>
      <c r="S16" s="69" t="s">
        <v>183</v>
      </c>
      <c r="T16" s="69"/>
      <c r="U16" s="69"/>
      <c r="V16" s="69" t="s">
        <v>183</v>
      </c>
      <c r="W16" s="69"/>
      <c r="X16" s="69" t="s">
        <v>255</v>
      </c>
      <c r="Y16" s="69"/>
      <c r="Z16" s="69"/>
      <c r="AA16" s="69"/>
      <c r="AB16" s="69"/>
      <c r="AC16" s="69"/>
      <c r="AD16" s="123" t="b">
        <f t="shared" si="0"/>
        <v>0</v>
      </c>
      <c r="AE16" s="123"/>
      <c r="AF16" s="123"/>
      <c r="AG16" s="123"/>
      <c r="AH16" s="123"/>
      <c r="AI16" s="170" t="str">
        <f t="shared" si="1"/>
        <v/>
      </c>
      <c r="AJ16" s="123"/>
    </row>
    <row r="17" spans="1:36" ht="45">
      <c r="A17" s="52"/>
      <c r="B17" s="58"/>
      <c r="C17" s="71" t="s">
        <v>500</v>
      </c>
      <c r="D17" s="71" t="s">
        <v>501</v>
      </c>
      <c r="E17" s="91" t="s">
        <v>502</v>
      </c>
      <c r="F17" s="92" t="s">
        <v>503</v>
      </c>
      <c r="G17" s="107"/>
      <c r="H17" s="107"/>
      <c r="I17" s="124"/>
      <c r="J17" s="243"/>
      <c r="K17" s="111" cm="1">
        <f t="array" ref="K17">IF(AD17=TRUE,_xlfn.IFS(I17=1,2,I17="",IF(J17="",1,2)),0)</f>
        <v>0</v>
      </c>
      <c r="L17" s="135" t="s">
        <v>255</v>
      </c>
      <c r="M17" s="121" t="s">
        <v>183</v>
      </c>
      <c r="N17" s="121" t="s">
        <v>183</v>
      </c>
      <c r="O17" s="135"/>
      <c r="P17" s="69"/>
      <c r="Q17" s="135"/>
      <c r="R17" s="135"/>
      <c r="S17" s="135"/>
      <c r="T17" s="69" t="s">
        <v>183</v>
      </c>
      <c r="U17" s="69"/>
      <c r="V17" s="69" t="s">
        <v>183</v>
      </c>
      <c r="W17" s="69"/>
      <c r="X17" s="69" t="s">
        <v>255</v>
      </c>
      <c r="Y17" s="69"/>
      <c r="Z17" s="69"/>
      <c r="AA17" s="69" t="s">
        <v>255</v>
      </c>
      <c r="AB17" s="69"/>
      <c r="AC17" s="69"/>
      <c r="AD17" s="123" t="b">
        <f t="shared" si="0"/>
        <v>0</v>
      </c>
      <c r="AE17" s="123"/>
      <c r="AF17" s="123"/>
      <c r="AG17" s="123"/>
      <c r="AH17" s="123"/>
      <c r="AI17" s="170" t="str">
        <f t="shared" si="1"/>
        <v/>
      </c>
      <c r="AJ17" s="123" t="s">
        <v>504</v>
      </c>
    </row>
    <row r="18" spans="1:36" ht="45">
      <c r="A18" s="52"/>
      <c r="B18" s="58"/>
      <c r="C18" s="71" t="s">
        <v>505</v>
      </c>
      <c r="D18" s="71" t="s">
        <v>506</v>
      </c>
      <c r="E18" s="91" t="s">
        <v>507</v>
      </c>
      <c r="F18" s="92" t="s">
        <v>254</v>
      </c>
      <c r="G18" s="107"/>
      <c r="H18" s="107"/>
      <c r="I18" s="124"/>
      <c r="J18" s="243"/>
      <c r="K18" s="111" cm="1">
        <f t="array" ref="K18">IF(AD18=TRUE,_xlfn.IFS(I18=1,2,I18="",IF(J18="",1,2)),0)</f>
        <v>0</v>
      </c>
      <c r="L18" s="69" t="s">
        <v>255</v>
      </c>
      <c r="M18" s="121" t="s">
        <v>183</v>
      </c>
      <c r="N18" s="121" t="s">
        <v>183</v>
      </c>
      <c r="O18" s="135"/>
      <c r="P18" s="69"/>
      <c r="Q18" s="135"/>
      <c r="R18" s="135"/>
      <c r="S18" s="135"/>
      <c r="T18" s="69" t="s">
        <v>183</v>
      </c>
      <c r="U18" s="69"/>
      <c r="V18" s="69" t="s">
        <v>183</v>
      </c>
      <c r="W18" s="69"/>
      <c r="X18" s="69" t="s">
        <v>255</v>
      </c>
      <c r="Y18" s="69"/>
      <c r="Z18" s="69"/>
      <c r="AA18" s="69" t="s">
        <v>255</v>
      </c>
      <c r="AB18" s="69"/>
      <c r="AC18" s="69"/>
      <c r="AD18" s="123" t="b">
        <f t="shared" si="0"/>
        <v>0</v>
      </c>
      <c r="AE18" s="123"/>
      <c r="AF18" s="123"/>
      <c r="AG18" s="123"/>
      <c r="AH18" s="123"/>
      <c r="AI18" s="170" t="str">
        <f t="shared" si="1"/>
        <v/>
      </c>
      <c r="AJ18" s="123"/>
    </row>
    <row r="19" spans="1:36" ht="409.5">
      <c r="A19" s="52"/>
      <c r="B19" s="58"/>
      <c r="C19" s="71" t="s">
        <v>508</v>
      </c>
      <c r="D19" s="71" t="s">
        <v>509</v>
      </c>
      <c r="E19" s="91" t="s">
        <v>2281</v>
      </c>
      <c r="F19" s="92" t="s">
        <v>254</v>
      </c>
      <c r="G19" s="107"/>
      <c r="H19" s="107"/>
      <c r="I19" s="124"/>
      <c r="J19" s="243"/>
      <c r="K19" s="111" cm="1">
        <f t="array" ref="K19">IF(AD19=TRUE,_xlfn.IFS(I19=1,2,I19="",IF(J19="",1,2)),0)</f>
        <v>0</v>
      </c>
      <c r="L19" s="69" t="s">
        <v>255</v>
      </c>
      <c r="M19" s="121" t="s">
        <v>183</v>
      </c>
      <c r="N19" s="121" t="s">
        <v>183</v>
      </c>
      <c r="O19" s="69"/>
      <c r="P19" s="69"/>
      <c r="Q19" s="69"/>
      <c r="R19" s="69"/>
      <c r="S19" s="69"/>
      <c r="T19" s="69" t="s">
        <v>183</v>
      </c>
      <c r="U19" s="69"/>
      <c r="V19" s="69" t="s">
        <v>183</v>
      </c>
      <c r="W19" s="69"/>
      <c r="X19" s="69" t="s">
        <v>255</v>
      </c>
      <c r="Y19" s="69"/>
      <c r="Z19" s="69"/>
      <c r="AA19" s="69" t="s">
        <v>255</v>
      </c>
      <c r="AB19" s="69"/>
      <c r="AC19" s="69"/>
      <c r="AD19" s="123" t="b">
        <f t="shared" si="0"/>
        <v>0</v>
      </c>
      <c r="AE19" s="123"/>
      <c r="AF19" s="123"/>
      <c r="AG19" s="123"/>
      <c r="AH19" s="123"/>
      <c r="AI19" s="170" t="str">
        <f t="shared" si="1"/>
        <v/>
      </c>
      <c r="AJ19" s="124" t="s">
        <v>2253</v>
      </c>
    </row>
    <row r="20" spans="1:36" ht="90">
      <c r="A20" s="52"/>
      <c r="B20" s="58"/>
      <c r="C20" s="71" t="s">
        <v>510</v>
      </c>
      <c r="D20" s="71" t="s">
        <v>511</v>
      </c>
      <c r="E20" s="91" t="s">
        <v>512</v>
      </c>
      <c r="F20" s="92" t="s">
        <v>254</v>
      </c>
      <c r="G20" s="107"/>
      <c r="H20" s="107"/>
      <c r="I20" s="124"/>
      <c r="J20" s="243"/>
      <c r="K20" s="111" cm="1">
        <f t="array" ref="K20">IF(AD20=TRUE,_xlfn.IFS(I20=1,2,I20="",IF(J20="",1,2)),0)</f>
        <v>0</v>
      </c>
      <c r="L20" s="121" t="s">
        <v>255</v>
      </c>
      <c r="M20" s="121" t="s">
        <v>183</v>
      </c>
      <c r="N20" s="121" t="s">
        <v>183</v>
      </c>
      <c r="O20" s="69"/>
      <c r="P20" s="69"/>
      <c r="Q20" s="69"/>
      <c r="R20" s="69"/>
      <c r="S20" s="69"/>
      <c r="T20" s="69" t="s">
        <v>183</v>
      </c>
      <c r="U20" s="69"/>
      <c r="V20" s="69" t="s">
        <v>183</v>
      </c>
      <c r="W20" s="69"/>
      <c r="X20" s="69" t="s">
        <v>255</v>
      </c>
      <c r="Y20" s="69"/>
      <c r="Z20" s="69"/>
      <c r="AA20" s="69" t="s">
        <v>255</v>
      </c>
      <c r="AB20" s="69"/>
      <c r="AC20" s="69"/>
      <c r="AD20" s="123" t="b">
        <f t="shared" si="0"/>
        <v>0</v>
      </c>
      <c r="AE20" s="123"/>
      <c r="AF20" s="123"/>
      <c r="AG20" s="123"/>
      <c r="AH20" s="123"/>
      <c r="AI20" s="170" t="str">
        <f t="shared" si="1"/>
        <v/>
      </c>
      <c r="AJ20" s="123"/>
    </row>
    <row r="21" spans="1:36" ht="112.5">
      <c r="A21" s="52"/>
      <c r="B21" s="58"/>
      <c r="C21" s="71" t="s">
        <v>513</v>
      </c>
      <c r="D21" s="71" t="s">
        <v>514</v>
      </c>
      <c r="E21" s="91" t="s">
        <v>515</v>
      </c>
      <c r="F21" s="92" t="s">
        <v>254</v>
      </c>
      <c r="G21" s="107"/>
      <c r="H21" s="107"/>
      <c r="I21" s="124"/>
      <c r="J21" s="243"/>
      <c r="K21" s="111" cm="1">
        <f t="array" ref="K21">IF(AD21=TRUE,_xlfn.IFS(I21=1,2,I21="",IF(J21="",1,2)),0)</f>
        <v>0</v>
      </c>
      <c r="L21" s="121" t="s">
        <v>255</v>
      </c>
      <c r="M21" s="121" t="s">
        <v>183</v>
      </c>
      <c r="N21" s="121" t="s">
        <v>183</v>
      </c>
      <c r="O21" s="69"/>
      <c r="P21" s="69"/>
      <c r="Q21" s="69"/>
      <c r="R21" s="69"/>
      <c r="S21" s="69"/>
      <c r="T21" s="69" t="s">
        <v>183</v>
      </c>
      <c r="U21" s="69"/>
      <c r="V21" s="69" t="s">
        <v>183</v>
      </c>
      <c r="W21" s="69"/>
      <c r="X21" s="69" t="s">
        <v>255</v>
      </c>
      <c r="Y21" s="69"/>
      <c r="Z21" s="69"/>
      <c r="AA21" s="69" t="s">
        <v>255</v>
      </c>
      <c r="AB21" s="69"/>
      <c r="AC21" s="69"/>
      <c r="AD21" s="123" t="b">
        <f t="shared" si="0"/>
        <v>0</v>
      </c>
      <c r="AE21" s="123"/>
      <c r="AF21" s="123"/>
      <c r="AG21" s="123"/>
      <c r="AH21" s="123"/>
      <c r="AI21" s="170" t="str">
        <f t="shared" si="1"/>
        <v/>
      </c>
      <c r="AJ21" s="123"/>
    </row>
    <row r="22" spans="1:36" ht="45">
      <c r="A22" s="52"/>
      <c r="B22" s="58"/>
      <c r="C22" s="71" t="s">
        <v>516</v>
      </c>
      <c r="D22" s="71" t="s">
        <v>517</v>
      </c>
      <c r="E22" s="91" t="s">
        <v>518</v>
      </c>
      <c r="F22" s="92" t="s">
        <v>254</v>
      </c>
      <c r="G22" s="107"/>
      <c r="H22" s="107"/>
      <c r="I22" s="124"/>
      <c r="J22" s="243"/>
      <c r="K22" s="111" cm="1">
        <f t="array" ref="K22">IF(AD22=TRUE,_xlfn.IFS(I22=1,2,I22="",IF(J22="",1,2)),0)</f>
        <v>0</v>
      </c>
      <c r="L22" s="121" t="s">
        <v>255</v>
      </c>
      <c r="M22" s="121" t="s">
        <v>183</v>
      </c>
      <c r="N22" s="121" t="s">
        <v>183</v>
      </c>
      <c r="O22" s="69"/>
      <c r="P22" s="69"/>
      <c r="Q22" s="69"/>
      <c r="R22" s="69"/>
      <c r="S22" s="69"/>
      <c r="T22" s="69" t="s">
        <v>183</v>
      </c>
      <c r="U22" s="69"/>
      <c r="V22" s="69" t="s">
        <v>183</v>
      </c>
      <c r="W22" s="69"/>
      <c r="X22" s="69" t="s">
        <v>255</v>
      </c>
      <c r="Y22" s="69"/>
      <c r="Z22" s="69"/>
      <c r="AA22" s="69" t="s">
        <v>255</v>
      </c>
      <c r="AB22" s="69"/>
      <c r="AC22" s="69"/>
      <c r="AD22" s="123" t="b">
        <f t="shared" si="0"/>
        <v>0</v>
      </c>
      <c r="AE22" s="123"/>
      <c r="AF22" s="123"/>
      <c r="AG22" s="123"/>
      <c r="AH22" s="123"/>
      <c r="AI22" s="170" t="str">
        <f t="shared" si="1"/>
        <v/>
      </c>
      <c r="AJ22" s="123" t="s">
        <v>487</v>
      </c>
    </row>
    <row r="23" spans="1:36" ht="45">
      <c r="A23" s="52"/>
      <c r="B23" s="58"/>
      <c r="C23" s="71" t="s">
        <v>519</v>
      </c>
      <c r="D23" s="71" t="s">
        <v>520</v>
      </c>
      <c r="E23" s="91" t="s">
        <v>521</v>
      </c>
      <c r="F23" s="92" t="s">
        <v>356</v>
      </c>
      <c r="G23" s="107"/>
      <c r="H23" s="107"/>
      <c r="I23" s="124"/>
      <c r="J23" s="243"/>
      <c r="K23" s="111" cm="1">
        <f t="array" ref="K23">IF(AD23=TRUE,_xlfn.IFS(I23=1,2,I23="",IF(J23="",1,2)),0)</f>
        <v>0</v>
      </c>
      <c r="L23" s="69" t="s">
        <v>255</v>
      </c>
      <c r="M23" s="121" t="s">
        <v>183</v>
      </c>
      <c r="N23" s="121" t="s">
        <v>183</v>
      </c>
      <c r="O23" s="69"/>
      <c r="P23" s="69"/>
      <c r="Q23" s="69"/>
      <c r="R23" s="69"/>
      <c r="S23" s="69"/>
      <c r="T23" s="69" t="s">
        <v>183</v>
      </c>
      <c r="U23" s="69"/>
      <c r="V23" s="69" t="s">
        <v>183</v>
      </c>
      <c r="W23" s="69"/>
      <c r="X23" s="69" t="s">
        <v>255</v>
      </c>
      <c r="Y23" s="69"/>
      <c r="Z23" s="69"/>
      <c r="AA23" s="69" t="s">
        <v>255</v>
      </c>
      <c r="AB23" s="69"/>
      <c r="AC23" s="69"/>
      <c r="AD23" s="123" t="b">
        <f t="shared" si="0"/>
        <v>0</v>
      </c>
      <c r="AE23" s="123"/>
      <c r="AF23" s="123"/>
      <c r="AG23" s="123"/>
      <c r="AH23" s="123"/>
      <c r="AI23" s="170" t="str">
        <f t="shared" si="1"/>
        <v/>
      </c>
      <c r="AJ23" s="123"/>
    </row>
    <row r="24" spans="1:36" ht="180">
      <c r="A24" s="52"/>
      <c r="B24" s="58"/>
      <c r="C24" s="71" t="s">
        <v>522</v>
      </c>
      <c r="D24" s="71" t="s">
        <v>523</v>
      </c>
      <c r="E24" s="91" t="s">
        <v>2054</v>
      </c>
      <c r="F24" s="92" t="s">
        <v>254</v>
      </c>
      <c r="G24" s="107"/>
      <c r="H24" s="107"/>
      <c r="I24" s="124"/>
      <c r="J24" s="243"/>
      <c r="K24" s="111" cm="1">
        <f t="array" ref="K24">IF(AD24=TRUE,_xlfn.IFS(I24=1,2,I24="",IF(J24="",1,2)),0)</f>
        <v>0</v>
      </c>
      <c r="L24" s="135" t="s">
        <v>255</v>
      </c>
      <c r="M24" s="121" t="s">
        <v>183</v>
      </c>
      <c r="N24" s="121" t="s">
        <v>183</v>
      </c>
      <c r="O24" s="69"/>
      <c r="P24" s="69"/>
      <c r="Q24" s="69"/>
      <c r="R24" s="69"/>
      <c r="S24" s="69"/>
      <c r="T24" s="69" t="s">
        <v>183</v>
      </c>
      <c r="U24" s="69"/>
      <c r="V24" s="69" t="s">
        <v>183</v>
      </c>
      <c r="W24" s="69"/>
      <c r="X24" s="69" t="s">
        <v>255</v>
      </c>
      <c r="Y24" s="69"/>
      <c r="Z24" s="69"/>
      <c r="AA24" s="69" t="s">
        <v>255</v>
      </c>
      <c r="AB24" s="69" t="s">
        <v>255</v>
      </c>
      <c r="AC24" s="69" t="s">
        <v>255</v>
      </c>
      <c r="AD24" s="123" t="b">
        <f t="shared" si="0"/>
        <v>0</v>
      </c>
      <c r="AE24" s="123"/>
      <c r="AF24" s="123"/>
      <c r="AG24" s="123"/>
      <c r="AH24" s="123"/>
      <c r="AI24" s="170" t="str">
        <f t="shared" si="1"/>
        <v/>
      </c>
      <c r="AJ24" s="124" t="s">
        <v>2218</v>
      </c>
    </row>
    <row r="25" spans="1:36" ht="67.5">
      <c r="A25" s="52"/>
      <c r="B25" s="58"/>
      <c r="C25" s="71" t="s">
        <v>524</v>
      </c>
      <c r="D25" s="71" t="s">
        <v>525</v>
      </c>
      <c r="E25" s="91" t="s">
        <v>526</v>
      </c>
      <c r="F25" s="92" t="s">
        <v>356</v>
      </c>
      <c r="G25" s="107"/>
      <c r="H25" s="107"/>
      <c r="I25" s="124"/>
      <c r="J25" s="243"/>
      <c r="K25" s="111" cm="1">
        <f t="array" ref="K25">IF(AD25=TRUE,_xlfn.IFS(I25=1,2,I25="",IF(J25="",1,2)),0)</f>
        <v>0</v>
      </c>
      <c r="L25" s="69" t="s">
        <v>255</v>
      </c>
      <c r="M25" s="121" t="s">
        <v>183</v>
      </c>
      <c r="N25" s="121" t="s">
        <v>183</v>
      </c>
      <c r="O25" s="69"/>
      <c r="P25" s="69"/>
      <c r="Q25" s="69"/>
      <c r="R25" s="69"/>
      <c r="S25" s="69"/>
      <c r="T25" s="69" t="s">
        <v>183</v>
      </c>
      <c r="U25" s="69"/>
      <c r="V25" s="69" t="s">
        <v>183</v>
      </c>
      <c r="W25" s="69"/>
      <c r="X25" s="69" t="s">
        <v>255</v>
      </c>
      <c r="Y25" s="69"/>
      <c r="Z25" s="69"/>
      <c r="AA25" s="69" t="s">
        <v>255</v>
      </c>
      <c r="AB25" s="69"/>
      <c r="AC25" s="69"/>
      <c r="AD25" s="123" t="b">
        <f t="shared" si="0"/>
        <v>0</v>
      </c>
      <c r="AE25" s="123"/>
      <c r="AF25" s="123"/>
      <c r="AG25" s="123"/>
      <c r="AH25" s="123"/>
      <c r="AI25" s="170" t="str">
        <f t="shared" si="1"/>
        <v/>
      </c>
      <c r="AJ25" s="123"/>
    </row>
    <row r="26" spans="1:36" ht="135">
      <c r="A26" s="52"/>
      <c r="B26" s="58"/>
      <c r="C26" s="71" t="s">
        <v>527</v>
      </c>
      <c r="D26" s="71" t="s">
        <v>528</v>
      </c>
      <c r="E26" s="91" t="s">
        <v>529</v>
      </c>
      <c r="F26" s="92" t="s">
        <v>361</v>
      </c>
      <c r="G26" s="107"/>
      <c r="H26" s="107"/>
      <c r="I26" s="124"/>
      <c r="J26" s="243"/>
      <c r="K26" s="111" cm="1">
        <f t="array" ref="K26">IF(AD26=TRUE,_xlfn.IFS(I26=1,2,I26="",IF(J26="",1,2)),0)</f>
        <v>0</v>
      </c>
      <c r="L26" s="135" t="s">
        <v>255</v>
      </c>
      <c r="M26" s="121" t="s">
        <v>183</v>
      </c>
      <c r="N26" s="121" t="s">
        <v>183</v>
      </c>
      <c r="O26" s="69"/>
      <c r="P26" s="69"/>
      <c r="Q26" s="69"/>
      <c r="R26" s="69"/>
      <c r="S26" s="69"/>
      <c r="T26" s="69" t="s">
        <v>183</v>
      </c>
      <c r="U26" s="69"/>
      <c r="V26" s="69" t="s">
        <v>183</v>
      </c>
      <c r="W26" s="69"/>
      <c r="X26" s="69" t="s">
        <v>255</v>
      </c>
      <c r="Y26" s="69"/>
      <c r="Z26" s="69"/>
      <c r="AA26" s="69"/>
      <c r="AB26" s="69"/>
      <c r="AC26" s="69"/>
      <c r="AD26" s="123" t="b">
        <f t="shared" si="0"/>
        <v>0</v>
      </c>
      <c r="AE26" s="123"/>
      <c r="AF26" s="123"/>
      <c r="AG26" s="123"/>
      <c r="AH26" s="123"/>
      <c r="AI26" s="170" t="str">
        <f t="shared" si="1"/>
        <v/>
      </c>
      <c r="AJ26" s="123" t="s">
        <v>487</v>
      </c>
    </row>
    <row r="27" spans="1:36" ht="22.5">
      <c r="A27" s="52"/>
      <c r="B27" s="58"/>
      <c r="C27" s="71" t="s">
        <v>530</v>
      </c>
      <c r="D27" s="71" t="s">
        <v>531</v>
      </c>
      <c r="E27" s="91" t="s">
        <v>532</v>
      </c>
      <c r="F27" s="92" t="s">
        <v>356</v>
      </c>
      <c r="G27" s="107"/>
      <c r="H27" s="107"/>
      <c r="I27" s="124"/>
      <c r="J27" s="243"/>
      <c r="K27" s="111" cm="1">
        <f t="array" ref="K27">IF(AD27=TRUE,_xlfn.IFS(I27=1,2,I27="",IF(J27="",1,2)),0)</f>
        <v>0</v>
      </c>
      <c r="L27" s="135" t="s">
        <v>255</v>
      </c>
      <c r="M27" s="121" t="s">
        <v>183</v>
      </c>
      <c r="N27" s="121" t="s">
        <v>183</v>
      </c>
      <c r="O27" s="69"/>
      <c r="P27" s="69"/>
      <c r="Q27" s="69"/>
      <c r="R27" s="69"/>
      <c r="S27" s="69"/>
      <c r="T27" s="69" t="s">
        <v>183</v>
      </c>
      <c r="U27" s="69"/>
      <c r="V27" s="69" t="s">
        <v>183</v>
      </c>
      <c r="W27" s="69"/>
      <c r="X27" s="69" t="s">
        <v>255</v>
      </c>
      <c r="Y27" s="69"/>
      <c r="Z27" s="69"/>
      <c r="AA27" s="69"/>
      <c r="AB27" s="69"/>
      <c r="AC27" s="69"/>
      <c r="AD27" s="123" t="b">
        <f t="shared" si="0"/>
        <v>0</v>
      </c>
      <c r="AE27" s="123"/>
      <c r="AF27" s="123"/>
      <c r="AG27" s="123"/>
      <c r="AH27" s="123"/>
      <c r="AI27" s="170" t="str">
        <f t="shared" si="1"/>
        <v/>
      </c>
      <c r="AJ27" s="123"/>
    </row>
    <row r="28" spans="1:36" ht="22.5">
      <c r="A28" s="52"/>
      <c r="B28" s="58"/>
      <c r="C28" s="71" t="s">
        <v>533</v>
      </c>
      <c r="D28" s="71" t="s">
        <v>534</v>
      </c>
      <c r="E28" s="91" t="s">
        <v>535</v>
      </c>
      <c r="F28" s="92" t="s">
        <v>254</v>
      </c>
      <c r="G28" s="107"/>
      <c r="H28" s="107"/>
      <c r="I28" s="124"/>
      <c r="J28" s="243"/>
      <c r="K28" s="111" cm="1">
        <f t="array" ref="K28">IF(AD28=TRUE,_xlfn.IFS(I28=1,2,I28="",IF(J28="",1,2)),0)</f>
        <v>0</v>
      </c>
      <c r="L28" s="69" t="s">
        <v>255</v>
      </c>
      <c r="M28" s="121" t="s">
        <v>183</v>
      </c>
      <c r="N28" s="121" t="s">
        <v>183</v>
      </c>
      <c r="O28" s="69"/>
      <c r="P28" s="69"/>
      <c r="Q28" s="69"/>
      <c r="R28" s="69"/>
      <c r="S28" s="69"/>
      <c r="T28" s="69" t="s">
        <v>183</v>
      </c>
      <c r="U28" s="69"/>
      <c r="V28" s="69" t="s">
        <v>183</v>
      </c>
      <c r="W28" s="69"/>
      <c r="X28" s="69" t="s">
        <v>255</v>
      </c>
      <c r="Y28" s="69"/>
      <c r="Z28" s="69"/>
      <c r="AA28" s="69"/>
      <c r="AB28" s="69"/>
      <c r="AC28" s="69"/>
      <c r="AD28" s="123" t="b">
        <f t="shared" si="0"/>
        <v>0</v>
      </c>
      <c r="AE28" s="123"/>
      <c r="AF28" s="123"/>
      <c r="AG28" s="123"/>
      <c r="AH28" s="123"/>
      <c r="AI28" s="170" t="str">
        <f t="shared" si="1"/>
        <v/>
      </c>
      <c r="AJ28" s="123"/>
    </row>
    <row r="29" spans="1:36" ht="45">
      <c r="A29" s="52"/>
      <c r="B29" s="58"/>
      <c r="C29" s="71" t="s">
        <v>536</v>
      </c>
      <c r="D29" s="71" t="s">
        <v>537</v>
      </c>
      <c r="E29" s="91" t="s">
        <v>538</v>
      </c>
      <c r="F29" s="92" t="s">
        <v>356</v>
      </c>
      <c r="G29" s="107"/>
      <c r="H29" s="107"/>
      <c r="I29" s="124"/>
      <c r="J29" s="243"/>
      <c r="K29" s="111" cm="1">
        <f t="array" ref="K29">IF(AD29=TRUE,_xlfn.IFS(I29=1,2,I29="",IF(J29="",1,2)),0)</f>
        <v>0</v>
      </c>
      <c r="L29" s="121" t="s">
        <v>255</v>
      </c>
      <c r="M29" s="121" t="s">
        <v>183</v>
      </c>
      <c r="N29" s="121" t="s">
        <v>183</v>
      </c>
      <c r="O29" s="69"/>
      <c r="P29" s="69"/>
      <c r="Q29" s="69"/>
      <c r="R29" s="69"/>
      <c r="S29" s="69"/>
      <c r="T29" s="69" t="s">
        <v>183</v>
      </c>
      <c r="U29" s="69"/>
      <c r="V29" s="69" t="s">
        <v>183</v>
      </c>
      <c r="W29" s="69"/>
      <c r="X29" s="69" t="s">
        <v>255</v>
      </c>
      <c r="Y29" s="69"/>
      <c r="Z29" s="69"/>
      <c r="AA29" s="69" t="s">
        <v>255</v>
      </c>
      <c r="AB29" s="69"/>
      <c r="AC29" s="69"/>
      <c r="AD29" s="123" t="b">
        <f t="shared" si="0"/>
        <v>0</v>
      </c>
      <c r="AE29" s="123"/>
      <c r="AF29" s="123"/>
      <c r="AG29" s="123"/>
      <c r="AH29" s="123"/>
      <c r="AI29" s="170" t="str">
        <f t="shared" si="1"/>
        <v/>
      </c>
      <c r="AJ29" s="123"/>
    </row>
    <row r="30" spans="1:36" ht="45">
      <c r="A30" s="52"/>
      <c r="B30" s="58"/>
      <c r="C30" s="71" t="s">
        <v>539</v>
      </c>
      <c r="D30" s="71" t="s">
        <v>540</v>
      </c>
      <c r="E30" s="91" t="s">
        <v>541</v>
      </c>
      <c r="F30" s="92" t="s">
        <v>254</v>
      </c>
      <c r="G30" s="107"/>
      <c r="H30" s="107"/>
      <c r="I30" s="124"/>
      <c r="J30" s="243"/>
      <c r="K30" s="111" cm="1">
        <f t="array" ref="K30">IF(AD30=TRUE,_xlfn.IFS(I30=1,2,I30="",IF(J30="",1,2)),0)</f>
        <v>0</v>
      </c>
      <c r="L30" s="121" t="s">
        <v>255</v>
      </c>
      <c r="M30" s="121" t="s">
        <v>183</v>
      </c>
      <c r="N30" s="121" t="s">
        <v>183</v>
      </c>
      <c r="O30" s="69"/>
      <c r="P30" s="69"/>
      <c r="Q30" s="69"/>
      <c r="R30" s="69"/>
      <c r="S30" s="69"/>
      <c r="T30" s="69" t="s">
        <v>183</v>
      </c>
      <c r="U30" s="69"/>
      <c r="V30" s="69" t="s">
        <v>183</v>
      </c>
      <c r="W30" s="69"/>
      <c r="X30" s="69" t="s">
        <v>255</v>
      </c>
      <c r="Y30" s="69"/>
      <c r="Z30" s="69"/>
      <c r="AA30" s="69" t="s">
        <v>255</v>
      </c>
      <c r="AB30" s="69"/>
      <c r="AC30" s="69"/>
      <c r="AD30" s="123" t="b">
        <f t="shared" si="0"/>
        <v>0</v>
      </c>
      <c r="AE30" s="123"/>
      <c r="AF30" s="123"/>
      <c r="AG30" s="123"/>
      <c r="AH30" s="123"/>
      <c r="AI30" s="170" t="str">
        <f t="shared" si="1"/>
        <v/>
      </c>
      <c r="AJ30" s="123"/>
    </row>
    <row r="31" spans="1:36" ht="270">
      <c r="A31" s="52"/>
      <c r="B31" s="58"/>
      <c r="C31" s="71" t="s">
        <v>542</v>
      </c>
      <c r="D31" s="71" t="s">
        <v>543</v>
      </c>
      <c r="E31" s="91" t="s">
        <v>544</v>
      </c>
      <c r="F31" s="92" t="s">
        <v>361</v>
      </c>
      <c r="G31" s="107"/>
      <c r="H31" s="107"/>
      <c r="I31" s="124"/>
      <c r="J31" s="243"/>
      <c r="K31" s="111" cm="1">
        <f t="array" ref="K31">IF(AD31=TRUE,_xlfn.IFS(I31=1,2,I31="",IF(J31="",1,2)),0)</f>
        <v>0</v>
      </c>
      <c r="L31" s="103" t="s">
        <v>255</v>
      </c>
      <c r="M31" s="121" t="s">
        <v>183</v>
      </c>
      <c r="N31" s="121" t="s">
        <v>183</v>
      </c>
      <c r="O31" s="69"/>
      <c r="P31" s="69"/>
      <c r="Q31" s="69"/>
      <c r="R31" s="69"/>
      <c r="S31" s="69"/>
      <c r="T31" s="69" t="s">
        <v>183</v>
      </c>
      <c r="U31" s="69"/>
      <c r="V31" s="69" t="s">
        <v>183</v>
      </c>
      <c r="W31" s="69"/>
      <c r="X31" s="69" t="s">
        <v>255</v>
      </c>
      <c r="Y31" s="69"/>
      <c r="Z31" s="69"/>
      <c r="AA31" s="69" t="s">
        <v>255</v>
      </c>
      <c r="AB31" s="69"/>
      <c r="AC31" s="69"/>
      <c r="AD31" s="123" t="b">
        <f t="shared" si="0"/>
        <v>0</v>
      </c>
      <c r="AE31" s="123"/>
      <c r="AF31" s="123"/>
      <c r="AG31" s="123"/>
      <c r="AH31" s="123"/>
      <c r="AI31" s="170" t="str">
        <f t="shared" si="1"/>
        <v/>
      </c>
      <c r="AJ31" s="123" t="s">
        <v>337</v>
      </c>
    </row>
    <row r="32" spans="1:36" ht="157.5">
      <c r="A32" s="109"/>
      <c r="B32" s="101"/>
      <c r="C32" s="71" t="s">
        <v>545</v>
      </c>
      <c r="D32" s="71" t="s">
        <v>546</v>
      </c>
      <c r="E32" s="91" t="s">
        <v>2044</v>
      </c>
      <c r="F32" s="92" t="s">
        <v>361</v>
      </c>
      <c r="G32" s="107"/>
      <c r="H32" s="107"/>
      <c r="I32" s="124"/>
      <c r="J32" s="243"/>
      <c r="K32" s="111" cm="1">
        <f t="array" ref="K32">IF(AD32=TRUE,_xlfn.IFS(I32=1,2,I32="",IF(J32="",1,2)),0)</f>
        <v>0</v>
      </c>
      <c r="L32" s="135" t="s">
        <v>255</v>
      </c>
      <c r="M32" s="121" t="s">
        <v>183</v>
      </c>
      <c r="N32" s="121" t="s">
        <v>183</v>
      </c>
      <c r="O32" s="69"/>
      <c r="P32" s="69"/>
      <c r="Q32" s="69"/>
      <c r="R32" s="69"/>
      <c r="S32" s="69"/>
      <c r="T32" s="69" t="s">
        <v>183</v>
      </c>
      <c r="U32" s="69"/>
      <c r="V32" s="69" t="s">
        <v>183</v>
      </c>
      <c r="W32" s="69"/>
      <c r="X32" s="69" t="s">
        <v>255</v>
      </c>
      <c r="Y32" s="69"/>
      <c r="Z32" s="69"/>
      <c r="AA32" s="69"/>
      <c r="AB32" s="69"/>
      <c r="AC32" s="69"/>
      <c r="AD32" s="123" t="b">
        <f t="shared" si="0"/>
        <v>0</v>
      </c>
      <c r="AE32" s="123"/>
      <c r="AF32" s="123"/>
      <c r="AG32" s="123"/>
      <c r="AH32" s="123"/>
      <c r="AI32" s="170" t="str">
        <f t="shared" si="1"/>
        <v/>
      </c>
      <c r="AJ32" s="124" t="s">
        <v>2219</v>
      </c>
    </row>
    <row r="33" spans="1:36" ht="135">
      <c r="A33" s="52"/>
      <c r="B33" s="58"/>
      <c r="C33" s="71" t="s">
        <v>548</v>
      </c>
      <c r="D33" s="71" t="s">
        <v>549</v>
      </c>
      <c r="E33" s="91" t="s">
        <v>550</v>
      </c>
      <c r="F33" s="92" t="s">
        <v>254</v>
      </c>
      <c r="G33" s="107"/>
      <c r="H33" s="107"/>
      <c r="I33" s="124"/>
      <c r="J33" s="243"/>
      <c r="K33" s="111" cm="1">
        <f t="array" ref="K33">IF(AD33=TRUE,_xlfn.IFS(I33=1,2,I33="",IF(J33="",1,2)),0)</f>
        <v>0</v>
      </c>
      <c r="L33" s="121" t="s">
        <v>255</v>
      </c>
      <c r="M33" s="121" t="s">
        <v>183</v>
      </c>
      <c r="N33" s="121" t="s">
        <v>183</v>
      </c>
      <c r="O33" s="69" t="s">
        <v>183</v>
      </c>
      <c r="P33" s="69"/>
      <c r="Q33" s="69"/>
      <c r="R33" s="69"/>
      <c r="S33" s="69"/>
      <c r="T33" s="69"/>
      <c r="U33" s="69"/>
      <c r="V33" s="69" t="s">
        <v>183</v>
      </c>
      <c r="W33" s="69"/>
      <c r="X33" s="69" t="s">
        <v>255</v>
      </c>
      <c r="Y33" s="69"/>
      <c r="Z33" s="69"/>
      <c r="AA33" s="69"/>
      <c r="AB33" s="69"/>
      <c r="AC33" s="69"/>
      <c r="AD33" s="123" t="b">
        <f t="shared" si="0"/>
        <v>0</v>
      </c>
      <c r="AE33" s="123"/>
      <c r="AF33" s="123"/>
      <c r="AG33" s="123"/>
      <c r="AH33" s="123"/>
      <c r="AI33" s="170" t="str">
        <f t="shared" si="1"/>
        <v/>
      </c>
      <c r="AJ33" s="123"/>
    </row>
    <row r="34" spans="1:36" ht="22.5">
      <c r="A34" s="52"/>
      <c r="B34" s="58" t="s">
        <v>551</v>
      </c>
      <c r="C34" s="115"/>
      <c r="D34" s="115"/>
      <c r="E34" s="119"/>
      <c r="F34" s="120"/>
      <c r="G34" s="84"/>
      <c r="H34" s="84"/>
      <c r="I34" s="125"/>
      <c r="J34" s="244"/>
      <c r="K34" s="244"/>
      <c r="L34" s="125"/>
      <c r="M34" s="125"/>
      <c r="N34" s="125"/>
      <c r="O34" s="125"/>
      <c r="P34" s="125"/>
      <c r="Q34" s="125"/>
      <c r="R34" s="125"/>
      <c r="S34" s="125"/>
      <c r="T34" s="125"/>
      <c r="U34" s="125"/>
      <c r="V34" s="125"/>
      <c r="W34" s="125"/>
      <c r="X34" s="125"/>
      <c r="Y34" s="125"/>
      <c r="Z34" s="125"/>
      <c r="AA34" s="125"/>
      <c r="AB34" s="125"/>
      <c r="AC34" s="125"/>
      <c r="AD34" s="125" t="s">
        <v>268</v>
      </c>
      <c r="AE34" s="125"/>
      <c r="AF34" s="125"/>
      <c r="AG34" s="125"/>
      <c r="AH34" s="125"/>
      <c r="AI34" s="125"/>
      <c r="AJ34" s="125"/>
    </row>
    <row r="35" spans="1:36" ht="90">
      <c r="A35" s="52"/>
      <c r="B35" s="58"/>
      <c r="C35" s="71" t="s">
        <v>552</v>
      </c>
      <c r="D35" s="71" t="s">
        <v>553</v>
      </c>
      <c r="E35" s="91" t="s">
        <v>554</v>
      </c>
      <c r="F35" s="92" t="s">
        <v>254</v>
      </c>
      <c r="G35" s="107"/>
      <c r="H35" s="107"/>
      <c r="I35" s="124"/>
      <c r="J35" s="243"/>
      <c r="K35" s="111" cm="1">
        <f t="array" ref="K35">IF(AD35=TRUE,_xlfn.IFS(I35=1,2,I35="",IF(J35="",1,2)),0)</f>
        <v>0</v>
      </c>
      <c r="L35" s="121" t="s">
        <v>255</v>
      </c>
      <c r="M35" s="121" t="s">
        <v>183</v>
      </c>
      <c r="N35" s="121" t="s">
        <v>183</v>
      </c>
      <c r="O35" s="69" t="s">
        <v>183</v>
      </c>
      <c r="P35" s="69"/>
      <c r="Q35" s="118"/>
      <c r="R35" s="118"/>
      <c r="S35" s="118"/>
      <c r="T35" s="118"/>
      <c r="U35" s="118"/>
      <c r="V35" s="69" t="s">
        <v>183</v>
      </c>
      <c r="W35" s="69"/>
      <c r="X35" s="69" t="s">
        <v>255</v>
      </c>
      <c r="Y35" s="69"/>
      <c r="Z35" s="69"/>
      <c r="AA35" s="69"/>
      <c r="AB35" s="69"/>
      <c r="AC35" s="69"/>
      <c r="AD35" s="123" t="b">
        <f>AND(OR(AND($L$4=TRUE,$L35&lt;&gt;""),AND($M$4=TRUE,$M35&lt;&gt;""),AND($N$4=TRUE,$N35&lt;&gt;"")),OR(AND($O$4=TRUE,$O35&lt;&gt;""),AND($P$4=TRUE,$P35&lt;&gt;""),AND($Q$4=TRUE,$Q35&lt;&gt;""),AND($R$4=TRUE,$R35&lt;&gt;""),AND($S$4=TRUE,$S35&lt;&gt;""),AND($T$4=TRUE,$T35&lt;&gt;""),AND($U$4=TRUE,$U35&lt;&gt;"")),OR(AND($V$4=TRUE,$V35&lt;&gt;""),AND($W$4=TRUE,$W35&lt;&gt;""),AND($X$4=TRUE,$X35&lt;&gt;""),AND($Y$4=TRUE,$Y35&lt;&gt;"")),OR(IF($Z$4=TRUE,IF($Z35&lt;&gt;"",FALSE,TRUE),FALSE),IF($AA$4=TRUE,IF($AA35&lt;&gt;"",FALSE,TRUE),FALSE),IF($AB$4=TRUE,IF($AB35&lt;&gt;"",FALSE,TRUE),FALSE),IF($AC$4=TRUE,IF($AC35&lt;&gt;"",FALSE,TRUE),FALSE)))</f>
        <v>0</v>
      </c>
      <c r="AE35" s="123"/>
      <c r="AF35" s="123"/>
      <c r="AG35" s="123"/>
      <c r="AH35" s="123"/>
      <c r="AI35" s="170" t="str">
        <f>IF(AE35&lt;&gt;"","セキュリティ管理/","")&amp;IF(AF35&lt;&gt;"","マルウェア/","")&amp;IF(AG35&lt;&gt;"","クラウド/","")&amp;IF(AH35&lt;&gt;"","別表1,2,3","")</f>
        <v/>
      </c>
      <c r="AJ35" s="123"/>
    </row>
    <row r="36" spans="1:36" ht="112.5">
      <c r="A36" s="52"/>
      <c r="B36" s="101"/>
      <c r="C36" s="71" t="s">
        <v>555</v>
      </c>
      <c r="D36" s="71" t="s">
        <v>556</v>
      </c>
      <c r="E36" s="91" t="s">
        <v>557</v>
      </c>
      <c r="F36" s="92" t="s">
        <v>254</v>
      </c>
      <c r="G36" s="107"/>
      <c r="H36" s="107"/>
      <c r="I36" s="124"/>
      <c r="J36" s="243"/>
      <c r="K36" s="111" cm="1">
        <f t="array" ref="K36">IF(AD36=TRUE,_xlfn.IFS(I36=1,2,I36="",IF(J36="",1,2)),0)</f>
        <v>0</v>
      </c>
      <c r="L36" s="135" t="s">
        <v>255</v>
      </c>
      <c r="M36" s="121" t="s">
        <v>183</v>
      </c>
      <c r="N36" s="121" t="s">
        <v>183</v>
      </c>
      <c r="O36" s="69" t="s">
        <v>183</v>
      </c>
      <c r="P36" s="69"/>
      <c r="Q36" s="69"/>
      <c r="R36" s="69"/>
      <c r="S36" s="69"/>
      <c r="T36" s="69"/>
      <c r="U36" s="69"/>
      <c r="V36" s="69" t="s">
        <v>183</v>
      </c>
      <c r="W36" s="69"/>
      <c r="X36" s="69" t="s">
        <v>255</v>
      </c>
      <c r="Y36" s="69"/>
      <c r="Z36" s="69"/>
      <c r="AA36" s="69"/>
      <c r="AB36" s="69"/>
      <c r="AC36" s="69"/>
      <c r="AD36" s="123" t="b">
        <f>AND(OR(AND($L$4=TRUE,$L36&lt;&gt;""),AND($M$4=TRUE,$M36&lt;&gt;""),AND($N$4=TRUE,$N36&lt;&gt;"")),OR(AND($O$4=TRUE,$O36&lt;&gt;""),AND($P$4=TRUE,$P36&lt;&gt;""),AND($Q$4=TRUE,$Q36&lt;&gt;""),AND($R$4=TRUE,$R36&lt;&gt;""),AND($S$4=TRUE,$S36&lt;&gt;""),AND($T$4=TRUE,$T36&lt;&gt;""),AND($U$4=TRUE,$U36&lt;&gt;"")),OR(AND($V$4=TRUE,$V36&lt;&gt;""),AND($W$4=TRUE,$W36&lt;&gt;""),AND($X$4=TRUE,$X36&lt;&gt;""),AND($Y$4=TRUE,$Y36&lt;&gt;"")),OR(IF($Z$4=TRUE,IF($Z36&lt;&gt;"",FALSE,TRUE),FALSE),IF($AA$4=TRUE,IF($AA36&lt;&gt;"",FALSE,TRUE),FALSE),IF($AB$4=TRUE,IF($AB36&lt;&gt;"",FALSE,TRUE),FALSE),IF($AC$4=TRUE,IF($AC36&lt;&gt;"",FALSE,TRUE),FALSE)))</f>
        <v>0</v>
      </c>
      <c r="AE36" s="123"/>
      <c r="AF36" s="123"/>
      <c r="AG36" s="123"/>
      <c r="AH36" s="123"/>
      <c r="AI36" s="170" t="str">
        <f>IF(AE36&lt;&gt;"","セキュリティ管理/","")&amp;IF(AF36&lt;&gt;"","マルウェア/","")&amp;IF(AG36&lt;&gt;"","クラウド/","")&amp;IF(AH36&lt;&gt;"","別表1,2,3","")</f>
        <v/>
      </c>
      <c r="AJ36" s="123"/>
    </row>
    <row r="37" spans="1:36" ht="22.5">
      <c r="A37" s="52" t="s">
        <v>559</v>
      </c>
      <c r="B37" s="52"/>
      <c r="C37" s="113"/>
      <c r="D37" s="113"/>
      <c r="E37" s="136"/>
      <c r="F37" s="137"/>
      <c r="G37" s="77"/>
      <c r="H37" s="77"/>
      <c r="I37" s="114"/>
      <c r="J37" s="249"/>
      <c r="K37" s="249"/>
      <c r="L37" s="114"/>
      <c r="M37" s="114"/>
      <c r="N37" s="114"/>
      <c r="O37" s="114"/>
      <c r="P37" s="114"/>
      <c r="Q37" s="114"/>
      <c r="R37" s="114"/>
      <c r="S37" s="114"/>
      <c r="T37" s="114"/>
      <c r="U37" s="114"/>
      <c r="V37" s="114"/>
      <c r="W37" s="114"/>
      <c r="X37" s="114"/>
      <c r="Y37" s="114"/>
      <c r="Z37" s="114"/>
      <c r="AA37" s="114"/>
      <c r="AB37" s="114"/>
      <c r="AC37" s="114"/>
      <c r="AD37" s="114" t="s">
        <v>268</v>
      </c>
      <c r="AE37" s="114"/>
      <c r="AF37" s="114"/>
      <c r="AG37" s="114"/>
      <c r="AH37" s="114"/>
      <c r="AI37" s="114"/>
      <c r="AJ37" s="114"/>
    </row>
    <row r="38" spans="1:36" ht="225">
      <c r="A38" s="52"/>
      <c r="B38" s="58"/>
      <c r="C38" s="71" t="s">
        <v>560</v>
      </c>
      <c r="D38" s="71" t="s">
        <v>270</v>
      </c>
      <c r="E38" s="91" t="s">
        <v>2055</v>
      </c>
      <c r="F38" s="92" t="s">
        <v>254</v>
      </c>
      <c r="G38" s="107"/>
      <c r="H38" s="107"/>
      <c r="I38" s="124"/>
      <c r="J38" s="243"/>
      <c r="K38" s="111" cm="1">
        <f t="array" ref="K38">IF(AD38=TRUE,_xlfn.IFS(I38=1,2,I38="",IF(J38="",1,2)),0)</f>
        <v>0</v>
      </c>
      <c r="L38" s="103" t="s">
        <v>255</v>
      </c>
      <c r="M38" s="121" t="s">
        <v>183</v>
      </c>
      <c r="N38" s="121" t="s">
        <v>183</v>
      </c>
      <c r="O38" s="118" t="s">
        <v>183</v>
      </c>
      <c r="P38" s="69"/>
      <c r="Q38" s="69"/>
      <c r="R38" s="69"/>
      <c r="S38" s="69"/>
      <c r="T38" s="69"/>
      <c r="U38" s="69"/>
      <c r="V38" s="69" t="s">
        <v>183</v>
      </c>
      <c r="W38" s="69"/>
      <c r="X38" s="69" t="s">
        <v>255</v>
      </c>
      <c r="Y38" s="69"/>
      <c r="Z38" s="69"/>
      <c r="AA38" s="69"/>
      <c r="AB38" s="69"/>
      <c r="AC38" s="69"/>
      <c r="AD38" s="123" t="b">
        <f>AND(OR(AND($L$4=TRUE,$L38&lt;&gt;""),AND($M$4=TRUE,$M38&lt;&gt;""),AND($N$4=TRUE,$N38&lt;&gt;"")),OR(AND($O$4=TRUE,$O38&lt;&gt;""),AND($P$4=TRUE,$P38&lt;&gt;""),AND($Q$4=TRUE,$Q38&lt;&gt;""),AND($R$4=TRUE,$R38&lt;&gt;""),AND($S$4=TRUE,$S38&lt;&gt;""),AND($T$4=TRUE,$T38&lt;&gt;""),AND($U$4=TRUE,$U38&lt;&gt;"")),OR(AND($V$4=TRUE,$V38&lt;&gt;""),AND($W$4=TRUE,$W38&lt;&gt;""),AND($X$4=TRUE,$X38&lt;&gt;""),AND($Y$4=TRUE,$Y38&lt;&gt;"")),OR(IF($Z$4=TRUE,IF($Z38&lt;&gt;"",FALSE,TRUE),FALSE),IF($AA$4=TRUE,IF($AA38&lt;&gt;"",FALSE,TRUE),FALSE),IF($AB$4=TRUE,IF($AB38&lt;&gt;"",FALSE,TRUE),FALSE),IF($AC$4=TRUE,IF($AC38&lt;&gt;"",FALSE,TRUE),FALSE)))</f>
        <v>0</v>
      </c>
      <c r="AE38" s="123"/>
      <c r="AF38" s="123"/>
      <c r="AG38" s="123"/>
      <c r="AH38" s="123"/>
      <c r="AI38" s="170" t="str">
        <f>IF(AE38&lt;&gt;"","セキュリティ管理/","")&amp;IF(AF38&lt;&gt;"","マルウェア/","")&amp;IF(AG38&lt;&gt;"","クラウド/","")&amp;IF(AH38&lt;&gt;"","別表1,2,3","")</f>
        <v/>
      </c>
      <c r="AJ38" s="124" t="s">
        <v>2219</v>
      </c>
    </row>
    <row r="39" spans="1:36" ht="292.14999999999998" customHeight="1">
      <c r="A39" s="52"/>
      <c r="B39" s="58"/>
      <c r="C39" s="71" t="s">
        <v>561</v>
      </c>
      <c r="D39" s="71" t="s">
        <v>562</v>
      </c>
      <c r="E39" s="91" t="s">
        <v>2056</v>
      </c>
      <c r="F39" s="92" t="s">
        <v>254</v>
      </c>
      <c r="G39" s="107"/>
      <c r="H39" s="107"/>
      <c r="I39" s="124"/>
      <c r="J39" s="243"/>
      <c r="K39" s="111" cm="1">
        <f t="array" ref="K39">IF(AD39=TRUE,_xlfn.IFS(I39=1,2,I39="",IF(J39="",1,2)),0)</f>
        <v>0</v>
      </c>
      <c r="L39" s="121" t="s">
        <v>255</v>
      </c>
      <c r="M39" s="121" t="s">
        <v>183</v>
      </c>
      <c r="N39" s="121" t="s">
        <v>183</v>
      </c>
      <c r="O39" s="118" t="s">
        <v>183</v>
      </c>
      <c r="P39" s="69"/>
      <c r="Q39" s="118" t="s">
        <v>448</v>
      </c>
      <c r="R39" s="118" t="s">
        <v>183</v>
      </c>
      <c r="T39" s="118"/>
      <c r="U39" s="118"/>
      <c r="V39" s="69" t="s">
        <v>183</v>
      </c>
      <c r="W39" s="69"/>
      <c r="X39" s="69" t="s">
        <v>255</v>
      </c>
      <c r="Y39" s="69" t="s">
        <v>255</v>
      </c>
      <c r="Z39" s="69"/>
      <c r="AA39" s="69"/>
      <c r="AB39" s="69"/>
      <c r="AC39" s="69"/>
      <c r="AD39" s="123" t="b">
        <f>AND(OR(AND($L$4=TRUE,$L39&lt;&gt;""),AND($M$4=TRUE,$M39&lt;&gt;""),AND($N$4=TRUE,$N39&lt;&gt;"")),OR(AND($O$4=TRUE,$O39&lt;&gt;""),AND($P$4=TRUE,$P39&lt;&gt;""),AND($Q$4=TRUE,$Q39&lt;&gt;""),AND($R$4=TRUE,$R39&lt;&gt;""),AND($S$4=TRUE,$S39&lt;&gt;""),AND($T$4=TRUE,$T39&lt;&gt;""),AND($U$4=TRUE,$U39&lt;&gt;"")),OR(AND($V$4=TRUE,$V39&lt;&gt;""),AND($W$4=TRUE,$W39&lt;&gt;""),AND($X$4=TRUE,$X39&lt;&gt;""),AND($Y$4=TRUE,$Y39&lt;&gt;"")),OR(IF($Z$4=TRUE,IF($Z39&lt;&gt;"",FALSE,TRUE),FALSE),IF($AA$4=TRUE,IF($AA39&lt;&gt;"",FALSE,TRUE),FALSE),IF($AB$4=TRUE,IF($AB39&lt;&gt;"",FALSE,TRUE),FALSE),IF($AC$4=TRUE,IF($AC39&lt;&gt;"",FALSE,TRUE),FALSE)))</f>
        <v>0</v>
      </c>
      <c r="AE39" s="123"/>
      <c r="AF39" s="123"/>
      <c r="AG39" s="123"/>
      <c r="AH39" s="123" t="s">
        <v>183</v>
      </c>
      <c r="AI39" s="170" t="str">
        <f>IF(AE39&lt;&gt;"","セキュリティ管理/","")&amp;IF(AF39&lt;&gt;"","マルウェア/","")&amp;IF(AG39&lt;&gt;"","クラウド/","")&amp;IF(AH39&lt;&gt;"","別表1,2,3","")</f>
        <v>別表1,2,3</v>
      </c>
      <c r="AJ39" s="124" t="s">
        <v>2208</v>
      </c>
    </row>
    <row r="40" spans="1:36" ht="409.15" customHeight="1">
      <c r="A40" s="52"/>
      <c r="B40" s="58"/>
      <c r="C40" s="71" t="s">
        <v>564</v>
      </c>
      <c r="D40" s="71" t="s">
        <v>565</v>
      </c>
      <c r="E40" s="132" t="s">
        <v>2220</v>
      </c>
      <c r="F40" s="92" t="s">
        <v>254</v>
      </c>
      <c r="G40" s="107"/>
      <c r="H40" s="107"/>
      <c r="I40" s="124"/>
      <c r="J40" s="243"/>
      <c r="K40" s="111" cm="1">
        <f t="array" ref="K40">IF(AD40=TRUE,_xlfn.IFS(I40=1,2,I40="",IF(J40="",1,2)),0)</f>
        <v>0</v>
      </c>
      <c r="L40" s="121" t="s">
        <v>255</v>
      </c>
      <c r="M40" s="121" t="s">
        <v>183</v>
      </c>
      <c r="N40" s="121" t="s">
        <v>183</v>
      </c>
      <c r="P40" s="118"/>
      <c r="Q40" s="118" t="s">
        <v>448</v>
      </c>
      <c r="R40" s="118" t="s">
        <v>183</v>
      </c>
      <c r="S40" s="118"/>
      <c r="T40" s="118"/>
      <c r="U40" s="118"/>
      <c r="V40" s="69" t="s">
        <v>183</v>
      </c>
      <c r="W40" s="69"/>
      <c r="X40" s="69" t="s">
        <v>255</v>
      </c>
      <c r="Y40" s="69" t="s">
        <v>255</v>
      </c>
      <c r="Z40" s="69"/>
      <c r="AA40" s="69"/>
      <c r="AB40" s="69"/>
      <c r="AC40" s="69"/>
      <c r="AD40" s="123" t="b">
        <f>AND(OR(AND($L$4=TRUE,$L40&lt;&gt;""),AND($M$4=TRUE,$M40&lt;&gt;""),AND($N$4=TRUE,$N40&lt;&gt;"")),OR(AND($O$4=TRUE,$O40&lt;&gt;""),AND($P$4=TRUE,$P40&lt;&gt;""),AND($Q$4=TRUE,$Q40&lt;&gt;""),AND($R$4=TRUE,$R40&lt;&gt;""),AND($S$4=TRUE,$S40&lt;&gt;""),AND($T$4=TRUE,$T40&lt;&gt;""),AND($U$4=TRUE,$U40&lt;&gt;"")),OR(AND($V$4=TRUE,$V40&lt;&gt;""),AND($W$4=TRUE,$W40&lt;&gt;""),AND($X$4=TRUE,$X40&lt;&gt;""),AND($Y$4=TRUE,$Y40&lt;&gt;"")),OR(IF($Z$4=TRUE,IF($Z40&lt;&gt;"",FALSE,TRUE),FALSE),IF($AA$4=TRUE,IF($AA40&lt;&gt;"",FALSE,TRUE),FALSE),IF($AB$4=TRUE,IF($AB40&lt;&gt;"",FALSE,TRUE),FALSE),IF($AC$4=TRUE,IF($AC40&lt;&gt;"",FALSE,TRUE),FALSE)))</f>
        <v>0</v>
      </c>
      <c r="AE40" s="123"/>
      <c r="AF40" s="123"/>
      <c r="AG40" s="123"/>
      <c r="AH40" s="123" t="s">
        <v>183</v>
      </c>
      <c r="AI40" s="170" t="str">
        <f>IF(AE40&lt;&gt;"","セキュリティ管理/","")&amp;IF(AF40&lt;&gt;"","マルウェア/","")&amp;IF(AG40&lt;&gt;"","クラウド/","")&amp;IF(AH40&lt;&gt;"","別表1,2,3","")</f>
        <v>別表1,2,3</v>
      </c>
      <c r="AJ40" s="124" t="s">
        <v>2208</v>
      </c>
    </row>
    <row r="41" spans="1:36" ht="22.5">
      <c r="A41" s="52" t="s">
        <v>566</v>
      </c>
      <c r="B41" s="52"/>
      <c r="C41" s="113"/>
      <c r="D41" s="113"/>
      <c r="E41" s="136"/>
      <c r="F41" s="137"/>
      <c r="G41" s="77"/>
      <c r="H41" s="77"/>
      <c r="I41" s="114"/>
      <c r="J41" s="249"/>
      <c r="K41" s="249"/>
      <c r="L41" s="114"/>
      <c r="M41" s="114"/>
      <c r="N41" s="114"/>
      <c r="O41" s="114"/>
      <c r="P41" s="114"/>
      <c r="Q41" s="114"/>
      <c r="R41" s="114"/>
      <c r="S41" s="114"/>
      <c r="T41" s="114"/>
      <c r="U41" s="114"/>
      <c r="V41" s="114"/>
      <c r="W41" s="114"/>
      <c r="X41" s="114"/>
      <c r="Y41" s="114"/>
      <c r="Z41" s="114"/>
      <c r="AA41" s="114"/>
      <c r="AB41" s="114"/>
      <c r="AC41" s="114"/>
      <c r="AD41" s="114" t="s">
        <v>268</v>
      </c>
      <c r="AE41" s="114"/>
      <c r="AF41" s="114"/>
      <c r="AG41" s="114"/>
      <c r="AH41" s="114"/>
      <c r="AI41" s="114"/>
      <c r="AJ41" s="114"/>
    </row>
    <row r="42" spans="1:36" ht="45">
      <c r="A42" s="52"/>
      <c r="B42" s="58"/>
      <c r="C42" s="71" t="s">
        <v>567</v>
      </c>
      <c r="D42" s="71" t="s">
        <v>274</v>
      </c>
      <c r="E42" s="91" t="s">
        <v>568</v>
      </c>
      <c r="F42" s="92" t="s">
        <v>254</v>
      </c>
      <c r="G42" s="107"/>
      <c r="H42" s="107"/>
      <c r="I42" s="124"/>
      <c r="J42" s="243"/>
      <c r="K42" s="111" cm="1">
        <f t="array" ref="K42">IF(AD42=TRUE,_xlfn.IFS(I42=1,2,I42="",IF(J42="",1,2)),0)</f>
        <v>0</v>
      </c>
      <c r="L42" s="135" t="s">
        <v>255</v>
      </c>
      <c r="M42" s="121" t="s">
        <v>183</v>
      </c>
      <c r="N42" s="121" t="s">
        <v>183</v>
      </c>
      <c r="O42" s="69"/>
      <c r="P42" s="69"/>
      <c r="Q42" s="69"/>
      <c r="R42" s="69"/>
      <c r="S42" s="69"/>
      <c r="T42" s="69"/>
      <c r="U42" s="69" t="s">
        <v>183</v>
      </c>
      <c r="V42" s="69" t="s">
        <v>183</v>
      </c>
      <c r="W42" s="69"/>
      <c r="X42" s="69" t="s">
        <v>255</v>
      </c>
      <c r="Y42" s="69"/>
      <c r="Z42" s="69"/>
      <c r="AA42" s="69"/>
      <c r="AB42" s="69"/>
      <c r="AC42" s="69"/>
      <c r="AD42" s="123" t="b">
        <f t="shared" ref="AD42:AD47" si="2">AND(OR(AND($L$4=TRUE,$L42&lt;&gt;""),AND($M$4=TRUE,$M42&lt;&gt;""),AND($N$4=TRUE,$N42&lt;&gt;"")),OR(AND($O$4=TRUE,$O42&lt;&gt;""),AND($P$4=TRUE,$P42&lt;&gt;""),AND($Q$4=TRUE,$Q42&lt;&gt;""),AND($R$4=TRUE,$R42&lt;&gt;""),AND($S$4=TRUE,$S42&lt;&gt;""),AND($T$4=TRUE,$T42&lt;&gt;""),AND($U$4=TRUE,$U42&lt;&gt;"")),OR(AND($V$4=TRUE,$V42&lt;&gt;""),AND($W$4=TRUE,$W42&lt;&gt;""),AND($X$4=TRUE,$X42&lt;&gt;""),AND($Y$4=TRUE,$Y42&lt;&gt;"")),OR(IF($Z$4=TRUE,IF($Z42&lt;&gt;"",FALSE,TRUE),FALSE),IF($AA$4=TRUE,IF($AA42&lt;&gt;"",FALSE,TRUE),FALSE),IF($AB$4=TRUE,IF($AB42&lt;&gt;"",FALSE,TRUE),FALSE),IF($AC$4=TRUE,IF($AC42&lt;&gt;"",FALSE,TRUE),FALSE)))</f>
        <v>0</v>
      </c>
      <c r="AE42" s="123"/>
      <c r="AF42" s="123"/>
      <c r="AG42" s="123"/>
      <c r="AH42" s="123"/>
      <c r="AI42" s="170" t="str">
        <f t="shared" ref="AI42:AI47" si="3">IF(AE42&lt;&gt;"","セキュリティ管理/","")&amp;IF(AF42&lt;&gt;"","マルウェア/","")&amp;IF(AG42&lt;&gt;"","クラウド/","")&amp;IF(AH42&lt;&gt;"","別表1,2,3","")</f>
        <v/>
      </c>
      <c r="AJ42" s="123"/>
    </row>
    <row r="43" spans="1:36" ht="44.5" customHeight="1">
      <c r="A43" s="52"/>
      <c r="B43" s="58"/>
      <c r="C43" s="71" t="s">
        <v>569</v>
      </c>
      <c r="D43" s="71" t="s">
        <v>570</v>
      </c>
      <c r="E43" s="91" t="s">
        <v>571</v>
      </c>
      <c r="F43" s="92" t="s">
        <v>254</v>
      </c>
      <c r="G43" s="107"/>
      <c r="H43" s="107"/>
      <c r="I43" s="124"/>
      <c r="J43" s="243"/>
      <c r="K43" s="111" cm="1">
        <f t="array" ref="K43">IF(AD43=TRUE,_xlfn.IFS(I43=1,2,I43="",IF(J43="",1,2)),0)</f>
        <v>0</v>
      </c>
      <c r="L43" s="135" t="s">
        <v>255</v>
      </c>
      <c r="M43" s="121" t="s">
        <v>183</v>
      </c>
      <c r="N43" s="121" t="s">
        <v>183</v>
      </c>
      <c r="O43" s="69" t="s">
        <v>183</v>
      </c>
      <c r="P43" s="69"/>
      <c r="Q43" s="69"/>
      <c r="R43" s="69"/>
      <c r="S43" s="69"/>
      <c r="T43" s="69"/>
      <c r="U43" s="69"/>
      <c r="V43" s="69" t="s">
        <v>183</v>
      </c>
      <c r="W43" s="69"/>
      <c r="X43" s="69" t="s">
        <v>255</v>
      </c>
      <c r="Y43" s="69"/>
      <c r="Z43" s="69"/>
      <c r="AA43" s="69"/>
      <c r="AB43" s="69"/>
      <c r="AC43" s="69"/>
      <c r="AD43" s="123" t="b">
        <f t="shared" si="2"/>
        <v>0</v>
      </c>
      <c r="AE43" s="123"/>
      <c r="AF43" s="123"/>
      <c r="AG43" s="123"/>
      <c r="AH43" s="123"/>
      <c r="AI43" s="170" t="str">
        <f t="shared" si="3"/>
        <v/>
      </c>
      <c r="AJ43" s="123"/>
    </row>
    <row r="44" spans="1:36" ht="44.5" customHeight="1">
      <c r="A44" s="52"/>
      <c r="B44" s="58"/>
      <c r="C44" s="71" t="s">
        <v>572</v>
      </c>
      <c r="D44" s="71" t="s">
        <v>573</v>
      </c>
      <c r="E44" s="91" t="s">
        <v>574</v>
      </c>
      <c r="F44" s="92" t="s">
        <v>254</v>
      </c>
      <c r="G44" s="107"/>
      <c r="H44" s="107"/>
      <c r="I44" s="124"/>
      <c r="J44" s="243"/>
      <c r="K44" s="111" cm="1">
        <f t="array" ref="K44">IF(AD44=TRUE,_xlfn.IFS(I44=1,2,I44="",IF(J44="",1,2)),0)</f>
        <v>0</v>
      </c>
      <c r="L44" s="135" t="s">
        <v>255</v>
      </c>
      <c r="M44" s="121" t="s">
        <v>183</v>
      </c>
      <c r="N44" s="121" t="s">
        <v>183</v>
      </c>
      <c r="O44" s="69"/>
      <c r="P44" s="69"/>
      <c r="Q44" s="69"/>
      <c r="R44" s="69"/>
      <c r="S44" s="69"/>
      <c r="T44" s="69"/>
      <c r="U44" s="69" t="s">
        <v>183</v>
      </c>
      <c r="V44" s="69" t="s">
        <v>183</v>
      </c>
      <c r="W44" s="69"/>
      <c r="X44" s="69" t="s">
        <v>255</v>
      </c>
      <c r="Y44" s="69"/>
      <c r="Z44" s="69"/>
      <c r="AA44" s="69"/>
      <c r="AB44" s="69"/>
      <c r="AC44" s="69"/>
      <c r="AD44" s="123" t="b">
        <f t="shared" si="2"/>
        <v>0</v>
      </c>
      <c r="AE44" s="123"/>
      <c r="AF44" s="123"/>
      <c r="AG44" s="123"/>
      <c r="AH44" s="123"/>
      <c r="AI44" s="170" t="str">
        <f t="shared" si="3"/>
        <v/>
      </c>
      <c r="AJ44" s="123" t="s">
        <v>575</v>
      </c>
    </row>
    <row r="45" spans="1:36" ht="135">
      <c r="A45" s="52"/>
      <c r="B45" s="58"/>
      <c r="C45" s="71" t="s">
        <v>576</v>
      </c>
      <c r="D45" s="71" t="s">
        <v>577</v>
      </c>
      <c r="E45" s="91" t="s">
        <v>578</v>
      </c>
      <c r="F45" s="92" t="s">
        <v>254</v>
      </c>
      <c r="G45" s="107"/>
      <c r="H45" s="107"/>
      <c r="I45" s="124"/>
      <c r="J45" s="243"/>
      <c r="K45" s="111" cm="1">
        <f t="array" ref="K45">IF(AD45=TRUE,_xlfn.IFS(I45=1,2,I45="",IF(J45="",1,2)),0)</f>
        <v>0</v>
      </c>
      <c r="L45" s="135" t="s">
        <v>255</v>
      </c>
      <c r="M45" s="121" t="s">
        <v>183</v>
      </c>
      <c r="N45" s="121" t="s">
        <v>183</v>
      </c>
      <c r="O45" s="69"/>
      <c r="P45" s="69"/>
      <c r="Q45" s="69"/>
      <c r="R45" s="69"/>
      <c r="S45" s="69"/>
      <c r="T45" s="69"/>
      <c r="U45" s="69" t="s">
        <v>183</v>
      </c>
      <c r="V45" s="69" t="s">
        <v>183</v>
      </c>
      <c r="W45" s="69"/>
      <c r="X45" s="69" t="s">
        <v>255</v>
      </c>
      <c r="Y45" s="69"/>
      <c r="Z45" s="69"/>
      <c r="AA45" s="69"/>
      <c r="AB45" s="69"/>
      <c r="AC45" s="69"/>
      <c r="AD45" s="123" t="b">
        <f t="shared" si="2"/>
        <v>0</v>
      </c>
      <c r="AE45" s="123"/>
      <c r="AF45" s="123"/>
      <c r="AG45" s="123"/>
      <c r="AH45" s="123"/>
      <c r="AI45" s="170" t="str">
        <f t="shared" si="3"/>
        <v/>
      </c>
      <c r="AJ45" s="123" t="s">
        <v>579</v>
      </c>
    </row>
    <row r="46" spans="1:36" ht="360">
      <c r="A46" s="52"/>
      <c r="B46" s="58"/>
      <c r="C46" s="71" t="s">
        <v>580</v>
      </c>
      <c r="D46" s="71" t="s">
        <v>581</v>
      </c>
      <c r="E46" s="91" t="s">
        <v>582</v>
      </c>
      <c r="F46" s="92" t="s">
        <v>254</v>
      </c>
      <c r="G46" s="107"/>
      <c r="H46" s="107"/>
      <c r="I46" s="124"/>
      <c r="J46" s="243"/>
      <c r="K46" s="111" cm="1">
        <f t="array" ref="K46">IF(AD46=TRUE,_xlfn.IFS(I46=1,2,I46="",IF(J46="",1,2)),0)</f>
        <v>0</v>
      </c>
      <c r="L46" s="135" t="s">
        <v>255</v>
      </c>
      <c r="M46" s="121" t="s">
        <v>183</v>
      </c>
      <c r="N46" s="121" t="s">
        <v>183</v>
      </c>
      <c r="O46" s="69" t="s">
        <v>183</v>
      </c>
      <c r="P46" s="69"/>
      <c r="Q46" s="69"/>
      <c r="R46" s="69"/>
      <c r="S46" s="69"/>
      <c r="T46" s="69"/>
      <c r="U46" s="69"/>
      <c r="V46" s="69" t="s">
        <v>183</v>
      </c>
      <c r="W46" s="69"/>
      <c r="X46" s="69" t="s">
        <v>255</v>
      </c>
      <c r="Y46" s="69"/>
      <c r="Z46" s="69"/>
      <c r="AA46" s="69"/>
      <c r="AB46" s="69"/>
      <c r="AC46" s="69"/>
      <c r="AD46" s="123" t="b">
        <f t="shared" si="2"/>
        <v>0</v>
      </c>
      <c r="AE46" s="123"/>
      <c r="AF46" s="123"/>
      <c r="AG46" s="123"/>
      <c r="AH46" s="123"/>
      <c r="AI46" s="170" t="str">
        <f t="shared" si="3"/>
        <v/>
      </c>
      <c r="AJ46" s="123" t="s">
        <v>579</v>
      </c>
    </row>
    <row r="47" spans="1:36" ht="45">
      <c r="A47" s="52"/>
      <c r="B47" s="58"/>
      <c r="C47" s="196" t="s">
        <v>2048</v>
      </c>
      <c r="D47" s="196" t="s">
        <v>1335</v>
      </c>
      <c r="E47" s="91" t="s">
        <v>2049</v>
      </c>
      <c r="F47" s="92" t="s">
        <v>254</v>
      </c>
      <c r="G47" s="107"/>
      <c r="H47" s="107"/>
      <c r="I47" s="124"/>
      <c r="J47" s="243"/>
      <c r="K47" s="111" cm="1">
        <f t="array" ref="K47">IF(AD47=TRUE,_xlfn.IFS(I47=1,2,I47="",IF(J47="",1,2)),0)</f>
        <v>0</v>
      </c>
      <c r="L47" s="135" t="s">
        <v>255</v>
      </c>
      <c r="M47" s="121" t="s">
        <v>183</v>
      </c>
      <c r="N47" s="121" t="s">
        <v>183</v>
      </c>
      <c r="O47" s="69" t="s">
        <v>183</v>
      </c>
      <c r="P47" s="69"/>
      <c r="Q47" s="69"/>
      <c r="R47" s="69"/>
      <c r="S47" s="69"/>
      <c r="T47" s="69"/>
      <c r="U47" s="69"/>
      <c r="V47" s="69" t="s">
        <v>183</v>
      </c>
      <c r="W47" s="69"/>
      <c r="X47" s="69" t="s">
        <v>255</v>
      </c>
      <c r="Y47" s="69"/>
      <c r="Z47" s="69"/>
      <c r="AA47" s="69"/>
      <c r="AB47" s="69"/>
      <c r="AC47" s="69"/>
      <c r="AD47" s="123" t="b">
        <f t="shared" si="2"/>
        <v>0</v>
      </c>
      <c r="AE47" s="123"/>
      <c r="AF47" s="123"/>
      <c r="AG47" s="123"/>
      <c r="AH47" s="123"/>
      <c r="AI47" s="170" t="str">
        <f t="shared" si="3"/>
        <v/>
      </c>
      <c r="AJ47" s="123" t="s">
        <v>2210</v>
      </c>
    </row>
    <row r="48" spans="1:36">
      <c r="E48" s="20"/>
      <c r="F48" s="19"/>
      <c r="G48" s="2">
        <f>COUNTA(G8:G47)</f>
        <v>0</v>
      </c>
      <c r="K48" s="24">
        <f>COUNTIF(K8:K47,2)</f>
        <v>0</v>
      </c>
      <c r="AD48" s="24">
        <f>COUNTIF(AD8:AD47,TRUE)</f>
        <v>0</v>
      </c>
      <c r="AE48" s="24"/>
      <c r="AF48" s="24"/>
      <c r="AG48" s="24"/>
      <c r="AH48" s="24"/>
      <c r="AI48" s="24"/>
    </row>
    <row r="49" spans="5:30">
      <c r="E49" s="20"/>
      <c r="F49" s="19"/>
      <c r="G49" s="2">
        <f>COUNTIF(G8:G47,インデックス!CJ185)</f>
        <v>0</v>
      </c>
      <c r="K49" s="24" cm="1">
        <f t="array" ref="K49">SUMPRODUCT((K8:K47=2)*($AI8:$AI47&lt;&gt;""))</f>
        <v>0</v>
      </c>
      <c r="AD49" s="24" cm="1">
        <f t="array" ref="AD49">SUMPRODUCT((AD8:AD47=TRUE)*($AI8:$AI47&lt;&gt;""))</f>
        <v>0</v>
      </c>
    </row>
    <row r="50" spans="5:30">
      <c r="E50" s="20"/>
      <c r="F50" s="19"/>
      <c r="G50" cm="1">
        <f t="array" ref="G50">SUMPRODUCT((G8:G47&lt;&gt;"")*(AI8:AI47&lt;&gt;""))</f>
        <v>0</v>
      </c>
    </row>
    <row r="51" spans="5:30">
      <c r="E51" s="20"/>
      <c r="F51" s="19"/>
      <c r="G51" cm="1">
        <f t="array" ref="G51">SUMPRODUCT((G8:G47=インデックス!$CJ$185)*(AI8:AI47&lt;&gt;""))</f>
        <v>0</v>
      </c>
    </row>
  </sheetData>
  <autoFilter ref="A5:AJ47" xr:uid="{00000000-0001-0000-0500-000000000000}"/>
  <mergeCells count="1">
    <mergeCell ref="I1:J2"/>
  </mergeCells>
  <phoneticPr fontId="7"/>
  <conditionalFormatting sqref="E13:I13 E8:H12 E34:I34 E37:I37 E41:I41 E42:H46 E38:H40 E14:H33 E35:H36">
    <cfRule type="expression" dxfId="228" priority="369">
      <formula>$AD8=FALSE</formula>
    </cfRule>
  </conditionalFormatting>
  <conditionalFormatting sqref="E47:H47">
    <cfRule type="expression" dxfId="227" priority="5">
      <formula>$AD47=FALSE</formula>
    </cfRule>
  </conditionalFormatting>
  <dataValidations count="1">
    <dataValidation type="list" allowBlank="1" showInputMessage="1" showErrorMessage="1" sqref="I6:I47" xr:uid="{00000000-0002-0000-05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94F1EBF0-A243-4336-B0D7-39603D88C978}">
            <xm:f>I$1=インデックス!$CJ$189</xm:f>
            <x14:dxf>
              <fill>
                <patternFill>
                  <bgColor theme="5"/>
                </patternFill>
              </fill>
            </x14:dxf>
          </x14:cfRule>
          <x14:cfRule type="expression" priority="9" id="{3AE41D62-9DC0-470B-A226-478A21DDBDED}">
            <xm:f>I$1=インデックス!$CJ$188</xm:f>
            <x14:dxf>
              <fill>
                <patternFill>
                  <bgColor theme="9"/>
                </patternFill>
              </fill>
            </x14:dxf>
          </x14:cfRule>
          <x14:cfRule type="expression" priority="10" id="{1099EE53-CE27-429D-97D1-B6C8C8561E58}">
            <xm:f>I$1=インデックス!$CJ$187</xm:f>
            <x14:dxf>
              <fill>
                <patternFill>
                  <bgColor theme="4"/>
                </patternFill>
              </fill>
            </x14:dxf>
          </x14:cfRule>
          <xm:sqref>I1:J2</xm:sqref>
        </x14:conditionalFormatting>
        <x14:conditionalFormatting xmlns:xm="http://schemas.microsoft.com/office/excel/2006/main">
          <x14:cfRule type="expression" priority="783" id="{C5561F7B-CDDA-4DB1-A025-9F7989AA1FA0}">
            <xm:f>AND($AD8=TRUE,$G8=インデックス!$CJ$184,ISBLANK($H8))</xm:f>
            <x14:dxf>
              <fill>
                <patternFill>
                  <bgColor theme="5"/>
                </patternFill>
              </fill>
            </x14:dxf>
          </x14:cfRule>
          <xm:sqref>H13:I13 H34:I34 H37:I37 H41:I41 H38:H40 H35:H36 H8:H12 H14:H33 H43:H47</xm:sqref>
        </x14:conditionalFormatting>
        <x14:conditionalFormatting xmlns:xm="http://schemas.microsoft.com/office/excel/2006/main">
          <x14:cfRule type="expression" priority="795" id="{D8364DAF-085F-4622-9F53-B9D8E3419E18}">
            <xm:f>AND($AD42=TRUE,$G42=+インデックス!$CJ$184,ISBLANK($H42))</xm:f>
            <x14:dxf>
              <fill>
                <patternFill>
                  <bgColor theme="5"/>
                </patternFill>
              </fill>
            </x14:dxf>
          </x14:cfRule>
          <xm:sqref>H42</xm:sqref>
        </x14:conditionalFormatting>
        <x14:conditionalFormatting xmlns:xm="http://schemas.microsoft.com/office/excel/2006/main">
          <x14:cfRule type="expression" priority="796" id="{C7510424-F800-44B8-8DD1-2E3E750753A1}">
            <xm:f>AND($AD8=TRUE,COUNTIF($G8,インデックス!$CJ$186),ISBLANK($H8))</xm:f>
            <x14:dxf>
              <fill>
                <patternFill>
                  <bgColor theme="5"/>
                </patternFill>
              </fill>
            </x14:dxf>
          </x14:cfRule>
          <xm:sqref>H8:H47</xm:sqref>
        </x14:conditionalFormatting>
        <x14:conditionalFormatting xmlns:xm="http://schemas.microsoft.com/office/excel/2006/main">
          <x14:cfRule type="expression" priority="812" id="{A88D28E7-0959-4156-B48E-E424B4895304}">
            <xm:f>AND($AD8=TRUE,OR($G8=インデックス!$CJ$183,$G8=インデックス!$CJ$184,$G8=インデックス!$CJ$185,$G8=インデックス!$CJ$186),ISBLANK($I8))</xm:f>
            <x14:dxf>
              <fill>
                <patternFill>
                  <bgColor theme="5"/>
                </patternFill>
              </fill>
            </x14:dxf>
          </x14:cfRule>
          <xm:sqref>I8:I47</xm:sqref>
        </x14:conditionalFormatting>
        <x14:conditionalFormatting xmlns:xm="http://schemas.microsoft.com/office/excel/2006/main">
          <x14:cfRule type="expression" priority="813" id="{0A06C911-2168-497F-9329-A1B6F7600EBD}">
            <xm:f>AND($AD8=TRUE,OR($G8=インデックス!$CJ$184,$G8=インデックス!$CJ$185,$G8=インデックス!$CJ$186),ISBLANK($J8))</xm:f>
            <x14:dxf>
              <fill>
                <patternFill>
                  <bgColor theme="5"/>
                </patternFill>
              </fill>
            </x14:dxf>
          </x14:cfRule>
          <xm:sqref>J8:J47</xm:sqref>
        </x14:conditionalFormatting>
        <x14:conditionalFormatting xmlns:xm="http://schemas.microsoft.com/office/excel/2006/main">
          <x14:cfRule type="expression" priority="1674" id="{980CBA2F-4E3C-4D97-B70A-8865FDCAA8F0}">
            <xm:f>AND($AD8=TRUE,$G8=インデックス!$CJ$184,ISBLANK($J8),インデックス!$AL$40=TRUE)</xm:f>
            <x14:dxf>
              <fill>
                <patternFill>
                  <bgColor theme="5"/>
                </patternFill>
              </fill>
            </x14:dxf>
          </x14:cfRule>
          <xm:sqref>J14:J33 J38:J40 J8:J12 J35:J36 J42:J47</xm:sqref>
        </x14:conditionalFormatting>
        <x14:conditionalFormatting xmlns:xm="http://schemas.microsoft.com/office/excel/2006/main">
          <x14:cfRule type="expression" priority="1679" id="{5393ED73-815F-4FA2-8EEE-E726F9CD74F2}">
            <xm:f>AND($AD8=TRUE,$G8=インデックス!$CJ$184,ISBLANK($I8),インデックス!$AL$40=TRUE)</xm:f>
            <x14:dxf>
              <fill>
                <patternFill>
                  <bgColor theme="5"/>
                </patternFill>
              </fill>
            </x14:dxf>
          </x14:cfRule>
          <xm:sqref>I8:I12 I14:I33 I38:I40 I35:I36 I42:I47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インデックス!$CJ$183:$CJ$186</xm:f>
          </x14:formula1>
          <xm:sqref>G35:G36 G38:G40 G14:G33 G8:G12 G42:G47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1"/>
  <dimension ref="A1:Z53"/>
  <sheetViews>
    <sheetView showGridLines="0" zoomScale="70" zoomScaleNormal="70" workbookViewId="0">
      <pane ySplit="5" topLeftCell="A6" activePane="bottomLeft" state="frozen"/>
      <selection pane="bottomLeft"/>
    </sheetView>
  </sheetViews>
  <sheetFormatPr defaultRowHeight="18" outlineLevelCol="1"/>
  <cols>
    <col min="1" max="2" width="5.58203125" customWidth="1"/>
    <col min="3" max="3" width="9.08203125" bestFit="1" customWidth="1"/>
    <col min="4" max="4" width="8.58203125" customWidth="1"/>
    <col min="5" max="5" width="100.58203125" style="22" customWidth="1"/>
    <col min="6" max="6" width="16.58203125" style="1" customWidth="1"/>
    <col min="7" max="7" width="20.58203125" style="1" customWidth="1"/>
    <col min="8" max="8" width="55.58203125" style="1" customWidth="1"/>
    <col min="9" max="9" width="18.58203125" style="1" customWidth="1"/>
    <col min="10" max="10" width="50.58203125" style="1" customWidth="1"/>
    <col min="11" max="11" width="17.58203125" style="1" hidden="1" customWidth="1" outlineLevel="1"/>
    <col min="12" max="19" width="15.58203125" style="28" hidden="1" customWidth="1" outlineLevel="1"/>
    <col min="20" max="20" width="18.75" customWidth="1" collapsed="1"/>
  </cols>
  <sheetData>
    <row r="1" spans="1:26" ht="32.5">
      <c r="A1" s="43" t="s">
        <v>583</v>
      </c>
      <c r="E1" s="50"/>
      <c r="F1"/>
      <c r="G1"/>
      <c r="H1"/>
      <c r="I1" s="387" t="str">
        <f>IF(COUNTIF(K8:K51,1)=0,インデックス!$CJ$187,インデックス!$CJ$189)</f>
        <v>全件評価完了</v>
      </c>
      <c r="J1" s="387"/>
      <c r="K1"/>
      <c r="L1"/>
      <c r="M1"/>
      <c r="N1"/>
      <c r="O1"/>
      <c r="P1"/>
      <c r="Q1" s="24"/>
      <c r="R1" s="24"/>
      <c r="S1" s="24"/>
      <c r="T1" s="24"/>
      <c r="U1" s="24"/>
      <c r="V1" s="24"/>
      <c r="W1" s="24"/>
      <c r="X1" s="24"/>
      <c r="Y1" s="24"/>
      <c r="Z1" s="24"/>
    </row>
    <row r="2" spans="1:26" ht="26.5">
      <c r="B2" s="42" t="s">
        <v>584</v>
      </c>
      <c r="E2" s="50"/>
      <c r="F2"/>
      <c r="G2"/>
      <c r="H2"/>
      <c r="I2" s="387"/>
      <c r="J2" s="387"/>
      <c r="K2"/>
      <c r="L2"/>
      <c r="M2"/>
      <c r="N2"/>
      <c r="O2"/>
      <c r="P2"/>
      <c r="Q2" s="24"/>
      <c r="R2" s="24"/>
      <c r="S2" s="24"/>
      <c r="T2" s="24"/>
      <c r="U2" s="24"/>
      <c r="V2" s="24"/>
      <c r="W2" s="24"/>
      <c r="X2" s="24"/>
      <c r="Y2" s="24"/>
      <c r="Z2" s="24"/>
    </row>
    <row r="3" spans="1:26" ht="26.5">
      <c r="B3" s="42" t="s">
        <v>228</v>
      </c>
      <c r="E3" s="50"/>
      <c r="F3"/>
      <c r="G3"/>
      <c r="H3"/>
      <c r="I3"/>
      <c r="J3"/>
      <c r="K3"/>
      <c r="L3"/>
      <c r="M3"/>
      <c r="N3"/>
      <c r="O3"/>
      <c r="P3"/>
      <c r="Q3" s="24"/>
      <c r="R3" s="24"/>
      <c r="S3" s="24"/>
      <c r="T3" s="24"/>
      <c r="U3" s="24"/>
      <c r="V3" s="24"/>
      <c r="W3" s="24"/>
      <c r="X3" s="24"/>
      <c r="Y3" s="24"/>
      <c r="Z3" s="24"/>
    </row>
    <row r="4" spans="1:26">
      <c r="E4" s="2"/>
      <c r="F4"/>
      <c r="G4"/>
      <c r="H4"/>
      <c r="I4" s="163" t="s">
        <v>229</v>
      </c>
      <c r="J4" s="161"/>
      <c r="K4" s="161"/>
      <c r="L4" s="25" t="b">
        <f>AND(インデックス!$AL$38,インデックス!$AL$63)</f>
        <v>0</v>
      </c>
      <c r="M4" s="25" t="b">
        <f>AND(インデックス!$AL$39,インデックス!$AL$63)</f>
        <v>0</v>
      </c>
      <c r="N4" s="25" t="b">
        <f>AND(インデックス!$AL$39,インデックス!$AL$62)</f>
        <v>0</v>
      </c>
      <c r="O4" s="25" t="b">
        <f>OR(インデックス!$AL$37,インデックス!$AL$40)</f>
        <v>0</v>
      </c>
      <c r="P4" s="26" t="b">
        <f>AND(OR(インデックス!$AL$48,インデックス!$AL$49),NOT(インデックス!$AL$69))</f>
        <v>0</v>
      </c>
      <c r="Q4" s="31" t="b">
        <f>インデックス!AL67</f>
        <v>0</v>
      </c>
      <c r="R4" s="31" t="b">
        <f>インデックス!AL68</f>
        <v>0</v>
      </c>
      <c r="S4" s="160"/>
      <c r="T4" s="160"/>
    </row>
    <row r="5" spans="1:26" ht="67.5">
      <c r="A5" s="169"/>
      <c r="B5" s="169"/>
      <c r="C5" s="293" t="s">
        <v>230</v>
      </c>
      <c r="D5" s="64" t="s">
        <v>585</v>
      </c>
      <c r="E5" s="295" t="s">
        <v>231</v>
      </c>
      <c r="F5" s="159" t="s">
        <v>586</v>
      </c>
      <c r="G5" s="64" t="s">
        <v>233</v>
      </c>
      <c r="H5" s="291" t="s">
        <v>1985</v>
      </c>
      <c r="I5" s="159" t="s">
        <v>1999</v>
      </c>
      <c r="J5" s="73" t="s">
        <v>237</v>
      </c>
      <c r="K5" s="290" t="s">
        <v>1990</v>
      </c>
      <c r="L5" s="64" t="s">
        <v>238</v>
      </c>
      <c r="M5" s="64" t="s">
        <v>587</v>
      </c>
      <c r="N5" s="64" t="s">
        <v>588</v>
      </c>
      <c r="O5" s="159" t="s">
        <v>240</v>
      </c>
      <c r="P5" s="159" t="s">
        <v>589</v>
      </c>
      <c r="Q5" s="64" t="s">
        <v>590</v>
      </c>
      <c r="R5" s="64" t="s">
        <v>591</v>
      </c>
      <c r="S5" s="64" t="s">
        <v>592</v>
      </c>
      <c r="T5" s="64" t="s">
        <v>593</v>
      </c>
    </row>
    <row r="6" spans="1:26" ht="22.5">
      <c r="A6" s="52" t="s">
        <v>594</v>
      </c>
      <c r="B6" s="52"/>
      <c r="C6" s="113"/>
      <c r="D6" s="113"/>
      <c r="E6" s="77"/>
      <c r="F6" s="56"/>
      <c r="G6" s="56"/>
      <c r="H6" s="56"/>
      <c r="I6" s="114"/>
      <c r="J6" s="56"/>
      <c r="K6" s="56"/>
      <c r="L6" s="114"/>
      <c r="M6" s="114"/>
      <c r="N6" s="114"/>
      <c r="O6" s="114"/>
      <c r="P6" s="114"/>
      <c r="Q6" s="114"/>
      <c r="R6" s="114"/>
      <c r="S6" s="114"/>
      <c r="T6" s="114"/>
    </row>
    <row r="7" spans="1:26" ht="22.5">
      <c r="A7" s="52"/>
      <c r="B7" s="58" t="s">
        <v>595</v>
      </c>
      <c r="C7" s="115"/>
      <c r="D7" s="115"/>
      <c r="E7" s="84"/>
      <c r="F7" s="59"/>
      <c r="G7" s="59"/>
      <c r="H7" s="59"/>
      <c r="I7" s="125"/>
      <c r="J7" s="59"/>
      <c r="K7" s="59"/>
      <c r="L7" s="125"/>
      <c r="M7" s="125"/>
      <c r="N7" s="125"/>
      <c r="O7" s="125"/>
      <c r="P7" s="125"/>
      <c r="Q7" s="125"/>
      <c r="R7" s="125"/>
      <c r="S7" s="125" t="s">
        <v>596</v>
      </c>
      <c r="T7" s="125"/>
    </row>
    <row r="8" spans="1:26" ht="90">
      <c r="A8" s="52"/>
      <c r="B8" s="58"/>
      <c r="C8" s="71" t="s">
        <v>597</v>
      </c>
      <c r="D8" s="71" t="s">
        <v>252</v>
      </c>
      <c r="E8" s="107" t="s">
        <v>598</v>
      </c>
      <c r="F8" s="61" t="s">
        <v>599</v>
      </c>
      <c r="G8" s="61"/>
      <c r="H8" s="61"/>
      <c r="I8" s="124"/>
      <c r="J8" s="243"/>
      <c r="K8" s="111" cm="1">
        <f t="array" ref="K8">IF(S8=TRUE,_xlfn.IFS(I8=1,2,I8="",IF(J8="",1,2)),0)</f>
        <v>0</v>
      </c>
      <c r="L8" s="121" t="s">
        <v>255</v>
      </c>
      <c r="M8" s="121" t="s">
        <v>255</v>
      </c>
      <c r="N8" s="121" t="s">
        <v>255</v>
      </c>
      <c r="O8" s="121" t="s">
        <v>600</v>
      </c>
      <c r="P8" s="121" t="s">
        <v>600</v>
      </c>
      <c r="Q8" s="121"/>
      <c r="R8" s="121" t="s">
        <v>600</v>
      </c>
      <c r="S8" s="124" t="b">
        <f t="shared" ref="S8:S22" si="0">AND(OR(AND($L$4=TRUE,$L8&lt;&gt;""),AND($M$4=TRUE,$M8&lt;&gt;""),AND($N$4=TRUE,$N8&lt;&gt;""),AND($O$4=TRUE,$O8&lt;&gt;"")),AND($P$4=TRUE,$P8&lt;&gt;""),OR(AND($Q$4=TRUE,$Q8&lt;&gt;""),AND($R$4=TRUE,$R8&lt;&gt;"")))</f>
        <v>0</v>
      </c>
      <c r="T8" s="124" t="s">
        <v>601</v>
      </c>
    </row>
    <row r="9" spans="1:26" ht="180">
      <c r="A9" s="52"/>
      <c r="B9" s="58"/>
      <c r="C9" s="71" t="s">
        <v>602</v>
      </c>
      <c r="D9" s="71" t="s">
        <v>257</v>
      </c>
      <c r="E9" s="107" t="s">
        <v>603</v>
      </c>
      <c r="F9" s="61" t="s">
        <v>599</v>
      </c>
      <c r="G9" s="61"/>
      <c r="H9" s="61"/>
      <c r="I9" s="124"/>
      <c r="J9" s="243"/>
      <c r="K9" s="111" cm="1">
        <f t="array" ref="K9">IF(S9=TRUE,_xlfn.IFS(I9=1,2,I9="",IF(J9="",1,2)),0)</f>
        <v>0</v>
      </c>
      <c r="L9" s="121" t="s">
        <v>255</v>
      </c>
      <c r="M9" s="121" t="s">
        <v>255</v>
      </c>
      <c r="N9" s="121" t="s">
        <v>255</v>
      </c>
      <c r="O9" s="121" t="s">
        <v>600</v>
      </c>
      <c r="P9" s="121" t="s">
        <v>600</v>
      </c>
      <c r="Q9" s="121"/>
      <c r="R9" s="121" t="s">
        <v>600</v>
      </c>
      <c r="S9" s="124" t="b">
        <f t="shared" si="0"/>
        <v>0</v>
      </c>
      <c r="T9" s="124" t="s">
        <v>604</v>
      </c>
    </row>
    <row r="10" spans="1:26" ht="45">
      <c r="A10" s="52"/>
      <c r="B10" s="58"/>
      <c r="C10" s="71" t="s">
        <v>605</v>
      </c>
      <c r="D10" s="71" t="s">
        <v>606</v>
      </c>
      <c r="E10" s="107" t="s">
        <v>607</v>
      </c>
      <c r="F10" s="61" t="s">
        <v>599</v>
      </c>
      <c r="G10" s="61"/>
      <c r="H10" s="61"/>
      <c r="I10" s="124"/>
      <c r="J10" s="243"/>
      <c r="K10" s="111" cm="1">
        <f t="array" ref="K10">IF(S10=TRUE,_xlfn.IFS(I10=1,2,I10="",IF(J10="",1,2)),0)</f>
        <v>0</v>
      </c>
      <c r="L10" s="121" t="s">
        <v>255</v>
      </c>
      <c r="M10" s="121" t="s">
        <v>255</v>
      </c>
      <c r="N10" s="121" t="s">
        <v>255</v>
      </c>
      <c r="O10" s="121" t="s">
        <v>600</v>
      </c>
      <c r="P10" s="121" t="s">
        <v>600</v>
      </c>
      <c r="Q10" s="121"/>
      <c r="R10" s="121" t="s">
        <v>600</v>
      </c>
      <c r="S10" s="124" t="b">
        <f t="shared" si="0"/>
        <v>0</v>
      </c>
      <c r="T10" s="124"/>
    </row>
    <row r="11" spans="1:26" ht="90">
      <c r="A11" s="52"/>
      <c r="B11" s="58"/>
      <c r="C11" s="71" t="s">
        <v>608</v>
      </c>
      <c r="D11" s="71" t="s">
        <v>609</v>
      </c>
      <c r="E11" s="151" t="s">
        <v>610</v>
      </c>
      <c r="F11" s="61" t="s">
        <v>599</v>
      </c>
      <c r="G11" s="61"/>
      <c r="H11" s="133"/>
      <c r="I11" s="165"/>
      <c r="J11" s="254"/>
      <c r="K11" s="111" cm="1">
        <f t="array" ref="K11">IF(S11=TRUE,_xlfn.IFS(I11=1,2,I11="",IF(J11="",1,2)),0)</f>
        <v>0</v>
      </c>
      <c r="L11" s="134" t="s">
        <v>255</v>
      </c>
      <c r="M11" s="121" t="s">
        <v>255</v>
      </c>
      <c r="N11" s="121" t="s">
        <v>255</v>
      </c>
      <c r="O11" s="121" t="s">
        <v>600</v>
      </c>
      <c r="P11" s="121" t="s">
        <v>600</v>
      </c>
      <c r="Q11" s="121"/>
      <c r="R11" s="121" t="s">
        <v>600</v>
      </c>
      <c r="S11" s="124" t="b">
        <f t="shared" si="0"/>
        <v>0</v>
      </c>
      <c r="T11" s="124" t="s">
        <v>604</v>
      </c>
    </row>
    <row r="12" spans="1:26" ht="90">
      <c r="A12" s="52"/>
      <c r="B12" s="58"/>
      <c r="C12" s="71" t="s">
        <v>611</v>
      </c>
      <c r="D12" s="71" t="s">
        <v>485</v>
      </c>
      <c r="E12" s="151" t="s">
        <v>612</v>
      </c>
      <c r="F12" s="61" t="s">
        <v>599</v>
      </c>
      <c r="G12" s="61"/>
      <c r="H12" s="133"/>
      <c r="I12" s="165"/>
      <c r="J12" s="254"/>
      <c r="K12" s="111" cm="1">
        <f t="array" ref="K12">IF(S12=TRUE,_xlfn.IFS(I12=1,2,I12="",IF(J12="",1,2)),0)</f>
        <v>0</v>
      </c>
      <c r="L12" s="134" t="s">
        <v>255</v>
      </c>
      <c r="M12" s="121" t="s">
        <v>255</v>
      </c>
      <c r="N12" s="121" t="s">
        <v>255</v>
      </c>
      <c r="O12" s="121" t="s">
        <v>600</v>
      </c>
      <c r="P12" s="121" t="s">
        <v>600</v>
      </c>
      <c r="Q12" s="121"/>
      <c r="R12" s="121" t="s">
        <v>600</v>
      </c>
      <c r="S12" s="124" t="b">
        <f t="shared" si="0"/>
        <v>0</v>
      </c>
      <c r="T12" s="124" t="s">
        <v>604</v>
      </c>
    </row>
    <row r="13" spans="1:26" ht="45">
      <c r="A13" s="52"/>
      <c r="B13" s="58"/>
      <c r="C13" s="71" t="s">
        <v>613</v>
      </c>
      <c r="D13" s="71" t="s">
        <v>614</v>
      </c>
      <c r="E13" s="151" t="s">
        <v>615</v>
      </c>
      <c r="F13" s="61" t="s">
        <v>599</v>
      </c>
      <c r="G13" s="61"/>
      <c r="H13" s="133"/>
      <c r="I13" s="165"/>
      <c r="J13" s="254"/>
      <c r="K13" s="111" cm="1">
        <f t="array" ref="K13">IF(S13=TRUE,_xlfn.IFS(I13=1,2,I13="",IF(J13="",1,2)),0)</f>
        <v>0</v>
      </c>
      <c r="L13" s="134" t="s">
        <v>255</v>
      </c>
      <c r="M13" s="121" t="s">
        <v>255</v>
      </c>
      <c r="N13" s="121" t="s">
        <v>255</v>
      </c>
      <c r="O13" s="121" t="s">
        <v>600</v>
      </c>
      <c r="P13" s="121" t="s">
        <v>600</v>
      </c>
      <c r="Q13" s="121"/>
      <c r="R13" s="121" t="s">
        <v>600</v>
      </c>
      <c r="S13" s="124" t="b">
        <f t="shared" si="0"/>
        <v>0</v>
      </c>
      <c r="T13" s="124"/>
    </row>
    <row r="14" spans="1:26" ht="45">
      <c r="A14" s="52"/>
      <c r="B14" s="58"/>
      <c r="C14" s="71" t="s">
        <v>616</v>
      </c>
      <c r="D14" s="71" t="s">
        <v>617</v>
      </c>
      <c r="E14" s="151" t="s">
        <v>618</v>
      </c>
      <c r="F14" s="61" t="s">
        <v>599</v>
      </c>
      <c r="G14" s="61"/>
      <c r="H14" s="133"/>
      <c r="I14" s="165"/>
      <c r="J14" s="254"/>
      <c r="K14" s="111" cm="1">
        <f t="array" ref="K14">IF(S14=TRUE,_xlfn.IFS(I14=1,2,I14="",IF(J14="",1,2)),0)</f>
        <v>0</v>
      </c>
      <c r="L14" s="134" t="s">
        <v>255</v>
      </c>
      <c r="M14" s="121" t="s">
        <v>255</v>
      </c>
      <c r="N14" s="121" t="s">
        <v>255</v>
      </c>
      <c r="O14" s="121" t="s">
        <v>600</v>
      </c>
      <c r="P14" s="121" t="s">
        <v>600</v>
      </c>
      <c r="Q14" s="121"/>
      <c r="R14" s="121" t="s">
        <v>600</v>
      </c>
      <c r="S14" s="124" t="b">
        <f t="shared" si="0"/>
        <v>0</v>
      </c>
      <c r="T14" s="124" t="s">
        <v>619</v>
      </c>
    </row>
    <row r="15" spans="1:26" ht="67.5">
      <c r="A15" s="52"/>
      <c r="B15" s="58"/>
      <c r="C15" s="71" t="s">
        <v>620</v>
      </c>
      <c r="D15" s="71" t="s">
        <v>621</v>
      </c>
      <c r="E15" s="151" t="s">
        <v>622</v>
      </c>
      <c r="F15" s="61" t="s">
        <v>599</v>
      </c>
      <c r="G15" s="61"/>
      <c r="H15" s="133"/>
      <c r="I15" s="165"/>
      <c r="J15" s="254"/>
      <c r="K15" s="111" cm="1">
        <f t="array" ref="K15">IF(S15=TRUE,_xlfn.IFS(I15=1,2,I15="",IF(J15="",1,2)),0)</f>
        <v>0</v>
      </c>
      <c r="L15" s="134" t="s">
        <v>255</v>
      </c>
      <c r="M15" s="121" t="s">
        <v>255</v>
      </c>
      <c r="N15" s="121" t="s">
        <v>255</v>
      </c>
      <c r="O15" s="121" t="s">
        <v>600</v>
      </c>
      <c r="P15" s="121" t="s">
        <v>600</v>
      </c>
      <c r="Q15" s="121"/>
      <c r="R15" s="121" t="s">
        <v>600</v>
      </c>
      <c r="S15" s="124" t="b">
        <f t="shared" si="0"/>
        <v>0</v>
      </c>
      <c r="T15" s="124" t="s">
        <v>623</v>
      </c>
    </row>
    <row r="16" spans="1:26" ht="45">
      <c r="A16" s="52"/>
      <c r="B16" s="58"/>
      <c r="C16" s="71" t="s">
        <v>624</v>
      </c>
      <c r="D16" s="71" t="s">
        <v>625</v>
      </c>
      <c r="E16" s="151" t="s">
        <v>626</v>
      </c>
      <c r="F16" s="61" t="s">
        <v>599</v>
      </c>
      <c r="G16" s="61"/>
      <c r="H16" s="133"/>
      <c r="I16" s="165"/>
      <c r="J16" s="254"/>
      <c r="K16" s="111" cm="1">
        <f t="array" ref="K16">IF(S16=TRUE,_xlfn.IFS(I16=1,2,I16="",IF(J16="",1,2)),0)</f>
        <v>0</v>
      </c>
      <c r="L16" s="134" t="s">
        <v>255</v>
      </c>
      <c r="M16" s="121" t="s">
        <v>255</v>
      </c>
      <c r="N16" s="121" t="s">
        <v>255</v>
      </c>
      <c r="O16" s="121" t="s">
        <v>600</v>
      </c>
      <c r="P16" s="121" t="s">
        <v>600</v>
      </c>
      <c r="Q16" s="121"/>
      <c r="R16" s="121" t="s">
        <v>600</v>
      </c>
      <c r="S16" s="124" t="b">
        <f t="shared" si="0"/>
        <v>0</v>
      </c>
      <c r="T16" s="124"/>
    </row>
    <row r="17" spans="1:20" ht="67.5">
      <c r="A17" s="52"/>
      <c r="B17" s="58"/>
      <c r="C17" s="71" t="s">
        <v>627</v>
      </c>
      <c r="D17" s="71" t="s">
        <v>628</v>
      </c>
      <c r="E17" s="151" t="s">
        <v>629</v>
      </c>
      <c r="F17" s="61" t="s">
        <v>599</v>
      </c>
      <c r="G17" s="61"/>
      <c r="H17" s="133"/>
      <c r="I17" s="165"/>
      <c r="J17" s="254"/>
      <c r="K17" s="111" cm="1">
        <f t="array" ref="K17">IF(S17=TRUE,_xlfn.IFS(I17=1,2,I17="",IF(J17="",1,2)),0)</f>
        <v>0</v>
      </c>
      <c r="L17" s="134" t="s">
        <v>255</v>
      </c>
      <c r="M17" s="121" t="s">
        <v>255</v>
      </c>
      <c r="N17" s="121" t="s">
        <v>255</v>
      </c>
      <c r="O17" s="121" t="s">
        <v>600</v>
      </c>
      <c r="P17" s="121" t="s">
        <v>600</v>
      </c>
      <c r="Q17" s="121"/>
      <c r="R17" s="121" t="s">
        <v>600</v>
      </c>
      <c r="S17" s="124" t="b">
        <f t="shared" si="0"/>
        <v>0</v>
      </c>
      <c r="T17" s="124" t="s">
        <v>604</v>
      </c>
    </row>
    <row r="18" spans="1:20" ht="90">
      <c r="A18" s="52"/>
      <c r="B18" s="58"/>
      <c r="C18" s="71" t="s">
        <v>630</v>
      </c>
      <c r="D18" s="71" t="s">
        <v>631</v>
      </c>
      <c r="E18" s="151" t="s">
        <v>632</v>
      </c>
      <c r="F18" s="61" t="s">
        <v>599</v>
      </c>
      <c r="G18" s="61"/>
      <c r="H18" s="133"/>
      <c r="I18" s="165"/>
      <c r="J18" s="254"/>
      <c r="K18" s="111" cm="1">
        <f t="array" ref="K18">IF(S18=TRUE,_xlfn.IFS(I18=1,2,I18="",IF(J18="",1,2)),0)</f>
        <v>0</v>
      </c>
      <c r="L18" s="134" t="s">
        <v>255</v>
      </c>
      <c r="M18" s="121" t="s">
        <v>255</v>
      </c>
      <c r="N18" s="121" t="s">
        <v>255</v>
      </c>
      <c r="O18" s="121" t="s">
        <v>600</v>
      </c>
      <c r="P18" s="121" t="s">
        <v>600</v>
      </c>
      <c r="Q18" s="121"/>
      <c r="R18" s="121" t="s">
        <v>600</v>
      </c>
      <c r="S18" s="124" t="b">
        <f t="shared" si="0"/>
        <v>0</v>
      </c>
      <c r="T18" s="124" t="s">
        <v>623</v>
      </c>
    </row>
    <row r="19" spans="1:20" ht="67.5">
      <c r="A19" s="52"/>
      <c r="B19" s="58"/>
      <c r="C19" s="71" t="s">
        <v>633</v>
      </c>
      <c r="D19" s="71" t="s">
        <v>634</v>
      </c>
      <c r="E19" s="151" t="s">
        <v>635</v>
      </c>
      <c r="F19" s="61" t="s">
        <v>599</v>
      </c>
      <c r="G19" s="61"/>
      <c r="H19" s="133"/>
      <c r="I19" s="165"/>
      <c r="J19" s="254"/>
      <c r="K19" s="111" cm="1">
        <f t="array" ref="K19">IF(S19=TRUE,_xlfn.IFS(I19=1,2,I19="",IF(J19="",1,2)),0)</f>
        <v>0</v>
      </c>
      <c r="L19" s="134" t="s">
        <v>255</v>
      </c>
      <c r="M19" s="121" t="s">
        <v>255</v>
      </c>
      <c r="N19" s="121" t="s">
        <v>255</v>
      </c>
      <c r="O19" s="121" t="s">
        <v>600</v>
      </c>
      <c r="P19" s="121" t="s">
        <v>600</v>
      </c>
      <c r="Q19" s="121"/>
      <c r="R19" s="121" t="s">
        <v>600</v>
      </c>
      <c r="S19" s="124" t="b">
        <f t="shared" si="0"/>
        <v>0</v>
      </c>
      <c r="T19" s="124" t="s">
        <v>623</v>
      </c>
    </row>
    <row r="20" spans="1:20" ht="45">
      <c r="A20" s="52"/>
      <c r="B20" s="58"/>
      <c r="C20" s="71" t="s">
        <v>636</v>
      </c>
      <c r="D20" s="71" t="s">
        <v>637</v>
      </c>
      <c r="E20" s="151" t="s">
        <v>638</v>
      </c>
      <c r="F20" s="61" t="s">
        <v>599</v>
      </c>
      <c r="G20" s="61"/>
      <c r="H20" s="133"/>
      <c r="I20" s="165"/>
      <c r="J20" s="254"/>
      <c r="K20" s="111" cm="1">
        <f t="array" ref="K20">IF(S20=TRUE,_xlfn.IFS(I20=1,2,I20="",IF(J20="",1,2)),0)</f>
        <v>0</v>
      </c>
      <c r="L20" s="134" t="s">
        <v>255</v>
      </c>
      <c r="M20" s="121" t="s">
        <v>255</v>
      </c>
      <c r="N20" s="121" t="s">
        <v>255</v>
      </c>
      <c r="O20" s="121" t="s">
        <v>600</v>
      </c>
      <c r="P20" s="121" t="s">
        <v>600</v>
      </c>
      <c r="Q20" s="121"/>
      <c r="R20" s="121" t="s">
        <v>600</v>
      </c>
      <c r="S20" s="124" t="b">
        <f t="shared" si="0"/>
        <v>0</v>
      </c>
      <c r="T20" s="124" t="s">
        <v>623</v>
      </c>
    </row>
    <row r="21" spans="1:20" ht="135">
      <c r="A21" s="52"/>
      <c r="B21" s="58"/>
      <c r="C21" s="71" t="s">
        <v>639</v>
      </c>
      <c r="D21" s="71" t="s">
        <v>640</v>
      </c>
      <c r="E21" s="151" t="s">
        <v>641</v>
      </c>
      <c r="F21" s="61" t="s">
        <v>599</v>
      </c>
      <c r="G21" s="61"/>
      <c r="H21" s="133"/>
      <c r="I21" s="165"/>
      <c r="J21" s="254"/>
      <c r="K21" s="111" cm="1">
        <f t="array" ref="K21">IF(S21=TRUE,_xlfn.IFS(I21=1,2,I21="",IF(J21="",1,2)),0)</f>
        <v>0</v>
      </c>
      <c r="L21" s="134" t="s">
        <v>255</v>
      </c>
      <c r="M21" s="121" t="s">
        <v>255</v>
      </c>
      <c r="N21" s="121" t="s">
        <v>255</v>
      </c>
      <c r="O21" s="121" t="s">
        <v>600</v>
      </c>
      <c r="P21" s="121" t="s">
        <v>600</v>
      </c>
      <c r="Q21" s="121"/>
      <c r="R21" s="121" t="s">
        <v>600</v>
      </c>
      <c r="S21" s="124" t="b">
        <f t="shared" si="0"/>
        <v>0</v>
      </c>
      <c r="T21" s="124" t="s">
        <v>623</v>
      </c>
    </row>
    <row r="22" spans="1:20" ht="67.5">
      <c r="A22" s="52"/>
      <c r="B22" s="58"/>
      <c r="C22" s="71" t="s">
        <v>642</v>
      </c>
      <c r="D22" s="71" t="s">
        <v>643</v>
      </c>
      <c r="E22" s="151" t="s">
        <v>644</v>
      </c>
      <c r="F22" s="133" t="s">
        <v>599</v>
      </c>
      <c r="G22" s="61"/>
      <c r="H22" s="133"/>
      <c r="I22" s="165"/>
      <c r="J22" s="254"/>
      <c r="K22" s="111" cm="1">
        <f t="array" ref="K22">IF(S22=TRUE,_xlfn.IFS(I22=1,2,I22="",IF(J22="",1,2)),0)</f>
        <v>0</v>
      </c>
      <c r="L22" s="134" t="s">
        <v>255</v>
      </c>
      <c r="M22" s="121" t="s">
        <v>255</v>
      </c>
      <c r="N22" s="121" t="s">
        <v>255</v>
      </c>
      <c r="O22" s="121" t="s">
        <v>600</v>
      </c>
      <c r="P22" s="121" t="s">
        <v>600</v>
      </c>
      <c r="Q22" s="121"/>
      <c r="R22" s="121" t="s">
        <v>600</v>
      </c>
      <c r="S22" s="124" t="b">
        <f t="shared" si="0"/>
        <v>0</v>
      </c>
      <c r="T22" s="124" t="s">
        <v>645</v>
      </c>
    </row>
    <row r="23" spans="1:20" ht="22.5">
      <c r="A23" s="52"/>
      <c r="B23" s="58" t="s">
        <v>646</v>
      </c>
      <c r="C23" s="115"/>
      <c r="D23" s="115"/>
      <c r="E23" s="84"/>
      <c r="F23" s="59"/>
      <c r="G23" s="59"/>
      <c r="H23" s="120"/>
      <c r="I23" s="166"/>
      <c r="J23" s="244"/>
      <c r="K23" s="244"/>
      <c r="L23" s="125"/>
      <c r="M23" s="125"/>
      <c r="N23" s="125"/>
      <c r="O23" s="125"/>
      <c r="P23" s="125"/>
      <c r="Q23" s="125"/>
      <c r="R23" s="125"/>
      <c r="S23" s="125" t="s">
        <v>596</v>
      </c>
      <c r="T23" s="125"/>
    </row>
    <row r="24" spans="1:20" ht="112.5">
      <c r="A24" s="52"/>
      <c r="B24" s="58"/>
      <c r="C24" s="71" t="s">
        <v>647</v>
      </c>
      <c r="D24" s="71" t="s">
        <v>490</v>
      </c>
      <c r="E24" s="91" t="s">
        <v>2061</v>
      </c>
      <c r="F24" s="61" t="s">
        <v>599</v>
      </c>
      <c r="G24" s="61"/>
      <c r="H24" s="133"/>
      <c r="I24" s="165"/>
      <c r="J24" s="254"/>
      <c r="K24" s="111" cm="1">
        <f t="array" ref="K24">IF(S24=TRUE,_xlfn.IFS(I24=1,2,I24="",IF(J24="",1,2)),0)</f>
        <v>0</v>
      </c>
      <c r="L24" s="134" t="s">
        <v>255</v>
      </c>
      <c r="M24" s="121" t="s">
        <v>255</v>
      </c>
      <c r="N24" s="121" t="s">
        <v>255</v>
      </c>
      <c r="O24" s="121" t="s">
        <v>600</v>
      </c>
      <c r="P24" s="121" t="s">
        <v>600</v>
      </c>
      <c r="Q24" s="121"/>
      <c r="R24" s="121" t="s">
        <v>600</v>
      </c>
      <c r="S24" s="124" t="b">
        <f t="shared" ref="S24:S30" si="1">AND(OR(AND($L$4=TRUE,$L24&lt;&gt;""),AND($M$4=TRUE,$M24&lt;&gt;""),AND($N$4=TRUE,$N24&lt;&gt;""),AND($O$4=TRUE,$O24&lt;&gt;"")),AND($P$4=TRUE,$P24&lt;&gt;""),OR(AND($Q$4=TRUE,$Q24&lt;&gt;""),AND($R$4=TRUE,$R24&lt;&gt;"")))</f>
        <v>0</v>
      </c>
      <c r="T24" s="124" t="s">
        <v>2201</v>
      </c>
    </row>
    <row r="25" spans="1:20" ht="67.5">
      <c r="A25" s="52"/>
      <c r="B25" s="58"/>
      <c r="C25" s="71" t="s">
        <v>648</v>
      </c>
      <c r="D25" s="71" t="s">
        <v>494</v>
      </c>
      <c r="E25" s="91" t="s">
        <v>2062</v>
      </c>
      <c r="F25" s="61" t="s">
        <v>599</v>
      </c>
      <c r="G25" s="61"/>
      <c r="H25" s="61"/>
      <c r="I25" s="124"/>
      <c r="J25" s="243"/>
      <c r="K25" s="111" cm="1">
        <f t="array" ref="K25">IF(S25=TRUE,_xlfn.IFS(I25=1,2,I25="",IF(J25="",1,2)),0)</f>
        <v>0</v>
      </c>
      <c r="L25" s="121" t="s">
        <v>255</v>
      </c>
      <c r="M25" s="121" t="s">
        <v>255</v>
      </c>
      <c r="N25" s="121" t="s">
        <v>255</v>
      </c>
      <c r="O25" s="121" t="s">
        <v>600</v>
      </c>
      <c r="P25" s="121" t="s">
        <v>600</v>
      </c>
      <c r="Q25" s="121"/>
      <c r="R25" s="121" t="s">
        <v>600</v>
      </c>
      <c r="S25" s="124" t="b">
        <f t="shared" si="1"/>
        <v>0</v>
      </c>
      <c r="T25" s="124" t="s">
        <v>2202</v>
      </c>
    </row>
    <row r="26" spans="1:20" ht="90">
      <c r="A26" s="52"/>
      <c r="B26" s="58"/>
      <c r="C26" s="71" t="s">
        <v>649</v>
      </c>
      <c r="D26" s="71" t="s">
        <v>650</v>
      </c>
      <c r="E26" s="91" t="s">
        <v>2046</v>
      </c>
      <c r="F26" s="61" t="s">
        <v>599</v>
      </c>
      <c r="G26" s="61"/>
      <c r="H26" s="61"/>
      <c r="I26" s="124"/>
      <c r="J26" s="243"/>
      <c r="K26" s="111" cm="1">
        <f t="array" ref="K26">IF(S26=TRUE,_xlfn.IFS(I26=1,2,I26="",IF(J26="",1,2)),0)</f>
        <v>0</v>
      </c>
      <c r="L26" s="121" t="s">
        <v>255</v>
      </c>
      <c r="M26" s="121" t="s">
        <v>255</v>
      </c>
      <c r="N26" s="121" t="s">
        <v>255</v>
      </c>
      <c r="O26" s="121" t="s">
        <v>600</v>
      </c>
      <c r="P26" s="121" t="s">
        <v>600</v>
      </c>
      <c r="Q26" s="121"/>
      <c r="R26" s="121" t="s">
        <v>600</v>
      </c>
      <c r="S26" s="124" t="b">
        <f t="shared" si="1"/>
        <v>0</v>
      </c>
      <c r="T26" s="124" t="s">
        <v>2201</v>
      </c>
    </row>
    <row r="27" spans="1:20" ht="135">
      <c r="A27" s="52"/>
      <c r="B27" s="58"/>
      <c r="C27" s="305" t="s">
        <v>651</v>
      </c>
      <c r="D27" s="305" t="s">
        <v>652</v>
      </c>
      <c r="E27" s="317" t="s">
        <v>2047</v>
      </c>
      <c r="F27" s="306" t="s">
        <v>653</v>
      </c>
      <c r="G27" s="307"/>
      <c r="H27" s="307"/>
      <c r="I27" s="308"/>
      <c r="J27" s="309"/>
      <c r="K27" s="310" cm="1">
        <f t="array" ref="K27">IF(S27=TRUE,_xlfn.IFS(I27=1,2,I27="",IF(J27="",1,2)),0)</f>
        <v>0</v>
      </c>
      <c r="L27" s="311" t="s">
        <v>255</v>
      </c>
      <c r="M27" s="311" t="s">
        <v>255</v>
      </c>
      <c r="N27" s="311" t="s">
        <v>255</v>
      </c>
      <c r="O27" s="311" t="s">
        <v>600</v>
      </c>
      <c r="P27" s="311" t="s">
        <v>600</v>
      </c>
      <c r="Q27" s="311"/>
      <c r="R27" s="311" t="s">
        <v>600</v>
      </c>
      <c r="S27" s="308" t="b">
        <f t="shared" si="1"/>
        <v>0</v>
      </c>
      <c r="T27" s="308" t="s">
        <v>2222</v>
      </c>
    </row>
    <row r="28" spans="1:20" ht="67.5">
      <c r="A28" s="52"/>
      <c r="B28" s="58"/>
      <c r="C28" s="71" t="s">
        <v>654</v>
      </c>
      <c r="D28" s="71" t="s">
        <v>655</v>
      </c>
      <c r="E28" s="91" t="s">
        <v>2051</v>
      </c>
      <c r="F28" s="61" t="s">
        <v>599</v>
      </c>
      <c r="G28" s="61"/>
      <c r="H28" s="133"/>
      <c r="I28" s="165"/>
      <c r="J28" s="254"/>
      <c r="K28" s="111" cm="1">
        <f t="array" ref="K28">IF(S28=TRUE,_xlfn.IFS(I28=1,2,I28="",IF(J28="",1,2)),0)</f>
        <v>0</v>
      </c>
      <c r="L28" s="134" t="s">
        <v>255</v>
      </c>
      <c r="M28" s="121" t="s">
        <v>255</v>
      </c>
      <c r="N28" s="121" t="s">
        <v>255</v>
      </c>
      <c r="O28" s="121" t="s">
        <v>600</v>
      </c>
      <c r="P28" s="121" t="s">
        <v>600</v>
      </c>
      <c r="Q28" s="121"/>
      <c r="R28" s="121" t="s">
        <v>600</v>
      </c>
      <c r="S28" s="124" t="b">
        <f t="shared" si="1"/>
        <v>0</v>
      </c>
      <c r="T28" s="124" t="s">
        <v>2201</v>
      </c>
    </row>
    <row r="29" spans="1:20" ht="67.5">
      <c r="A29" s="52"/>
      <c r="B29" s="58"/>
      <c r="C29" s="71" t="s">
        <v>656</v>
      </c>
      <c r="D29" s="71" t="s">
        <v>657</v>
      </c>
      <c r="E29" s="151" t="s">
        <v>658</v>
      </c>
      <c r="F29" s="61" t="s">
        <v>599</v>
      </c>
      <c r="G29" s="61"/>
      <c r="H29" s="133"/>
      <c r="I29" s="165"/>
      <c r="J29" s="254"/>
      <c r="K29" s="111" cm="1">
        <f t="array" ref="K29">IF(S29=TRUE,_xlfn.IFS(I29=1,2,I29="",IF(J29="",1,2)),0)</f>
        <v>0</v>
      </c>
      <c r="L29" s="134" t="s">
        <v>255</v>
      </c>
      <c r="M29" s="121" t="s">
        <v>255</v>
      </c>
      <c r="N29" s="121" t="s">
        <v>255</v>
      </c>
      <c r="O29" s="121" t="s">
        <v>600</v>
      </c>
      <c r="P29" s="121" t="s">
        <v>600</v>
      </c>
      <c r="Q29" s="121"/>
      <c r="R29" s="121" t="s">
        <v>600</v>
      </c>
      <c r="S29" s="124" t="b">
        <f t="shared" si="1"/>
        <v>0</v>
      </c>
      <c r="T29" s="124" t="s">
        <v>623</v>
      </c>
    </row>
    <row r="30" spans="1:20" ht="45">
      <c r="A30" s="52"/>
      <c r="B30" s="58"/>
      <c r="C30" s="71" t="s">
        <v>659</v>
      </c>
      <c r="D30" s="71" t="s">
        <v>660</v>
      </c>
      <c r="E30" s="107" t="s">
        <v>661</v>
      </c>
      <c r="F30" s="133" t="s">
        <v>653</v>
      </c>
      <c r="G30" s="61"/>
      <c r="H30" s="61"/>
      <c r="I30" s="124"/>
      <c r="J30" s="243"/>
      <c r="K30" s="111" cm="1">
        <f t="array" ref="K30">IF(S30=TRUE,_xlfn.IFS(I30=1,2,I30="",IF(J30="",1,2)),0)</f>
        <v>0</v>
      </c>
      <c r="L30" s="121" t="s">
        <v>255</v>
      </c>
      <c r="M30" s="121" t="s">
        <v>255</v>
      </c>
      <c r="N30" s="121" t="s">
        <v>255</v>
      </c>
      <c r="O30" s="121" t="s">
        <v>600</v>
      </c>
      <c r="P30" s="121" t="s">
        <v>600</v>
      </c>
      <c r="Q30" s="121"/>
      <c r="R30" s="121" t="s">
        <v>600</v>
      </c>
      <c r="S30" s="124" t="b">
        <f t="shared" si="1"/>
        <v>0</v>
      </c>
      <c r="T30" s="124"/>
    </row>
    <row r="31" spans="1:20" ht="22.5">
      <c r="A31" s="52"/>
      <c r="B31" s="58" t="s">
        <v>662</v>
      </c>
      <c r="C31" s="115"/>
      <c r="D31" s="115"/>
      <c r="E31" s="84"/>
      <c r="F31" s="59"/>
      <c r="G31" s="59"/>
      <c r="H31" s="59"/>
      <c r="I31" s="125"/>
      <c r="J31" s="244"/>
      <c r="K31" s="244"/>
      <c r="L31" s="125"/>
      <c r="M31" s="125"/>
      <c r="N31" s="125"/>
      <c r="O31" s="125"/>
      <c r="P31" s="125"/>
      <c r="Q31" s="125"/>
      <c r="R31" s="125"/>
      <c r="S31" s="125" t="s">
        <v>596</v>
      </c>
      <c r="T31" s="125"/>
    </row>
    <row r="32" spans="1:20" ht="112.5">
      <c r="A32" s="52"/>
      <c r="B32" s="58"/>
      <c r="C32" s="71" t="s">
        <v>663</v>
      </c>
      <c r="D32" s="71" t="s">
        <v>553</v>
      </c>
      <c r="E32" s="151" t="s">
        <v>664</v>
      </c>
      <c r="F32" s="61" t="s">
        <v>599</v>
      </c>
      <c r="G32" s="61"/>
      <c r="H32" s="133"/>
      <c r="I32" s="165"/>
      <c r="J32" s="254"/>
      <c r="K32" s="111" cm="1">
        <f t="array" ref="K32">IF(S32=TRUE,_xlfn.IFS(I32=1,2,I32="",IF(J32="",1,2)),0)</f>
        <v>0</v>
      </c>
      <c r="L32" s="134" t="s">
        <v>255</v>
      </c>
      <c r="M32" s="121" t="s">
        <v>255</v>
      </c>
      <c r="N32" s="121" t="s">
        <v>255</v>
      </c>
      <c r="O32" s="121" t="s">
        <v>600</v>
      </c>
      <c r="P32" s="121" t="s">
        <v>600</v>
      </c>
      <c r="Q32" s="121"/>
      <c r="R32" s="121" t="s">
        <v>600</v>
      </c>
      <c r="S32" s="124" t="b">
        <f t="shared" ref="S32:S37" si="2">AND(OR(AND($L$4=TRUE,$L32&lt;&gt;""),AND($M$4=TRUE,$M32&lt;&gt;""),AND($N$4=TRUE,$N32&lt;&gt;""),AND($O$4=TRUE,$O32&lt;&gt;"")),AND($P$4=TRUE,$P32&lt;&gt;""),OR(AND($Q$4=TRUE,$Q32&lt;&gt;""),AND($R$4=TRUE,$R32&lt;&gt;"")))</f>
        <v>0</v>
      </c>
      <c r="T32" s="124"/>
    </row>
    <row r="33" spans="1:20" ht="120" customHeight="1">
      <c r="A33" s="52"/>
      <c r="B33" s="58"/>
      <c r="C33" s="71" t="s">
        <v>665</v>
      </c>
      <c r="D33" s="71" t="s">
        <v>556</v>
      </c>
      <c r="E33" s="151" t="s">
        <v>666</v>
      </c>
      <c r="F33" s="61" t="s">
        <v>599</v>
      </c>
      <c r="G33" s="61"/>
      <c r="H33" s="133"/>
      <c r="I33" s="165"/>
      <c r="J33" s="254"/>
      <c r="K33" s="111" cm="1">
        <f t="array" ref="K33">IF(S33=TRUE,_xlfn.IFS(I33=1,2,I33="",IF(J33="",1,2)),0)</f>
        <v>0</v>
      </c>
      <c r="L33" s="134" t="s">
        <v>255</v>
      </c>
      <c r="M33" s="121" t="s">
        <v>255</v>
      </c>
      <c r="N33" s="121" t="s">
        <v>255</v>
      </c>
      <c r="O33" s="121" t="s">
        <v>600</v>
      </c>
      <c r="P33" s="121" t="s">
        <v>600</v>
      </c>
      <c r="Q33" s="121"/>
      <c r="R33" s="121" t="s">
        <v>600</v>
      </c>
      <c r="S33" s="124" t="b">
        <f t="shared" si="2"/>
        <v>0</v>
      </c>
      <c r="T33" s="124"/>
    </row>
    <row r="34" spans="1:20" ht="45">
      <c r="A34" s="52"/>
      <c r="B34" s="58"/>
      <c r="C34" s="71" t="s">
        <v>670</v>
      </c>
      <c r="D34" s="196" t="s">
        <v>667</v>
      </c>
      <c r="E34" s="151" t="s">
        <v>672</v>
      </c>
      <c r="F34" s="133" t="s">
        <v>599</v>
      </c>
      <c r="G34" s="61"/>
      <c r="H34" s="133"/>
      <c r="I34" s="165"/>
      <c r="J34" s="254"/>
      <c r="K34" s="111" cm="1">
        <f t="array" ref="K34">IF(S34=TRUE,_xlfn.IFS(I34=1,2,I34="",IF(J34="",1,2)),0)</f>
        <v>0</v>
      </c>
      <c r="L34" s="134" t="s">
        <v>255</v>
      </c>
      <c r="M34" s="121" t="s">
        <v>255</v>
      </c>
      <c r="N34" s="121" t="s">
        <v>255</v>
      </c>
      <c r="O34" s="121" t="s">
        <v>600</v>
      </c>
      <c r="P34" s="121" t="s">
        <v>600</v>
      </c>
      <c r="Q34" s="121"/>
      <c r="R34" s="121" t="s">
        <v>600</v>
      </c>
      <c r="S34" s="124" t="b">
        <f t="shared" si="2"/>
        <v>0</v>
      </c>
      <c r="T34" s="124" t="s">
        <v>604</v>
      </c>
    </row>
    <row r="35" spans="1:20" ht="67.5">
      <c r="A35" s="52"/>
      <c r="B35" s="58"/>
      <c r="C35" s="71" t="s">
        <v>673</v>
      </c>
      <c r="D35" s="196" t="s">
        <v>668</v>
      </c>
      <c r="E35" s="107" t="s">
        <v>674</v>
      </c>
      <c r="F35" s="133" t="s">
        <v>653</v>
      </c>
      <c r="G35" s="61"/>
      <c r="H35" s="61"/>
      <c r="I35" s="124"/>
      <c r="J35" s="243"/>
      <c r="K35" s="111" cm="1">
        <f t="array" ref="K35">IF(S35=TRUE,_xlfn.IFS(I35=1,2,I35="",IF(J35="",1,2)),0)</f>
        <v>0</v>
      </c>
      <c r="L35" s="121" t="s">
        <v>255</v>
      </c>
      <c r="M35" s="121" t="s">
        <v>255</v>
      </c>
      <c r="N35" s="121" t="s">
        <v>255</v>
      </c>
      <c r="O35" s="121" t="s">
        <v>600</v>
      </c>
      <c r="P35" s="121" t="s">
        <v>600</v>
      </c>
      <c r="Q35" s="121"/>
      <c r="R35" s="121" t="s">
        <v>600</v>
      </c>
      <c r="S35" s="124" t="b">
        <f t="shared" si="2"/>
        <v>0</v>
      </c>
      <c r="T35" s="124"/>
    </row>
    <row r="36" spans="1:20" ht="45">
      <c r="A36" s="52"/>
      <c r="B36" s="58"/>
      <c r="C36" s="71" t="s">
        <v>675</v>
      </c>
      <c r="D36" s="196" t="s">
        <v>669</v>
      </c>
      <c r="E36" s="151" t="s">
        <v>676</v>
      </c>
      <c r="F36" s="133" t="s">
        <v>653</v>
      </c>
      <c r="G36" s="61"/>
      <c r="H36" s="133"/>
      <c r="I36" s="165"/>
      <c r="J36" s="254"/>
      <c r="K36" s="111" cm="1">
        <f t="array" ref="K36">IF(S36=TRUE,_xlfn.IFS(I36=1,2,I36="",IF(J36="",1,2)),0)</f>
        <v>0</v>
      </c>
      <c r="L36" s="134" t="s">
        <v>255</v>
      </c>
      <c r="M36" s="121" t="s">
        <v>255</v>
      </c>
      <c r="N36" s="121" t="s">
        <v>255</v>
      </c>
      <c r="O36" s="121" t="s">
        <v>600</v>
      </c>
      <c r="P36" s="121" t="s">
        <v>600</v>
      </c>
      <c r="Q36" s="121"/>
      <c r="R36" s="121" t="s">
        <v>600</v>
      </c>
      <c r="S36" s="124" t="b">
        <f t="shared" si="2"/>
        <v>0</v>
      </c>
      <c r="T36" s="124"/>
    </row>
    <row r="37" spans="1:20" ht="67.5">
      <c r="A37" s="52"/>
      <c r="B37" s="58"/>
      <c r="C37" s="71" t="s">
        <v>677</v>
      </c>
      <c r="D37" s="196" t="s">
        <v>671</v>
      </c>
      <c r="E37" s="151" t="s">
        <v>678</v>
      </c>
      <c r="F37" s="133" t="s">
        <v>653</v>
      </c>
      <c r="G37" s="61"/>
      <c r="H37" s="133"/>
      <c r="I37" s="165"/>
      <c r="J37" s="254"/>
      <c r="K37" s="111" cm="1">
        <f t="array" ref="K37">IF(S37=TRUE,_xlfn.IFS(I37=1,2,I37="",IF(J37="",1,2)),0)</f>
        <v>0</v>
      </c>
      <c r="L37" s="134" t="s">
        <v>255</v>
      </c>
      <c r="M37" s="121" t="s">
        <v>255</v>
      </c>
      <c r="N37" s="121" t="s">
        <v>255</v>
      </c>
      <c r="O37" s="121" t="s">
        <v>600</v>
      </c>
      <c r="P37" s="121" t="s">
        <v>600</v>
      </c>
      <c r="Q37" s="121"/>
      <c r="R37" s="121" t="s">
        <v>600</v>
      </c>
      <c r="S37" s="124" t="b">
        <f t="shared" si="2"/>
        <v>0</v>
      </c>
      <c r="T37" s="124"/>
    </row>
    <row r="38" spans="1:20" ht="22.5">
      <c r="A38" s="52"/>
      <c r="B38" s="58" t="s">
        <v>679</v>
      </c>
      <c r="C38" s="115"/>
      <c r="D38" s="115"/>
      <c r="E38" s="84"/>
      <c r="F38" s="59"/>
      <c r="G38" s="59"/>
      <c r="H38" s="59"/>
      <c r="I38" s="125"/>
      <c r="J38" s="244"/>
      <c r="K38" s="244"/>
      <c r="L38" s="125"/>
      <c r="M38" s="125"/>
      <c r="N38" s="125"/>
      <c r="O38" s="125"/>
      <c r="P38" s="125"/>
      <c r="Q38" s="125"/>
      <c r="R38" s="125"/>
      <c r="S38" s="125" t="s">
        <v>596</v>
      </c>
      <c r="T38" s="125"/>
    </row>
    <row r="39" spans="1:20" ht="112.5">
      <c r="A39" s="52"/>
      <c r="B39" s="58"/>
      <c r="C39" s="71" t="s">
        <v>680</v>
      </c>
      <c r="D39" s="71" t="s">
        <v>681</v>
      </c>
      <c r="E39" s="91" t="s">
        <v>2063</v>
      </c>
      <c r="F39" s="133" t="s">
        <v>653</v>
      </c>
      <c r="G39" s="61"/>
      <c r="H39" s="133"/>
      <c r="I39" s="165"/>
      <c r="J39" s="254"/>
      <c r="K39" s="111" cm="1">
        <f t="array" ref="K39">IF(S39=TRUE,_xlfn.IFS(I39=1,2,I39="",IF(J39="",1,2)),0)</f>
        <v>0</v>
      </c>
      <c r="L39" s="134" t="s">
        <v>255</v>
      </c>
      <c r="M39" s="121" t="s">
        <v>255</v>
      </c>
      <c r="N39" s="121" t="s">
        <v>255</v>
      </c>
      <c r="O39" s="121" t="s">
        <v>600</v>
      </c>
      <c r="P39" s="121" t="s">
        <v>600</v>
      </c>
      <c r="Q39" s="121"/>
      <c r="R39" s="121" t="s">
        <v>600</v>
      </c>
      <c r="S39" s="124" t="b">
        <f>AND(OR(AND($L$4=TRUE,$L39&lt;&gt;""),AND($M$4=TRUE,$M39&lt;&gt;""),AND($N$4=TRUE,$N39&lt;&gt;""),AND($O$4=TRUE,$O39&lt;&gt;"")),AND($P$4=TRUE,$P39&lt;&gt;""),OR(AND($Q$4=TRUE,$Q39&lt;&gt;""),AND($R$4=TRUE,$R39&lt;&gt;"")))</f>
        <v>0</v>
      </c>
      <c r="T39" s="124" t="s">
        <v>2201</v>
      </c>
    </row>
    <row r="40" spans="1:20" ht="90">
      <c r="A40" s="52"/>
      <c r="B40" s="58"/>
      <c r="C40" s="71" t="s">
        <v>682</v>
      </c>
      <c r="D40" s="71" t="s">
        <v>683</v>
      </c>
      <c r="E40" s="151" t="s">
        <v>684</v>
      </c>
      <c r="F40" s="133" t="s">
        <v>653</v>
      </c>
      <c r="G40" s="61"/>
      <c r="H40" s="133"/>
      <c r="I40" s="165"/>
      <c r="J40" s="254"/>
      <c r="K40" s="111" cm="1">
        <f t="array" ref="K40">IF(S40=TRUE,_xlfn.IFS(I40=1,2,I40="",IF(J40="",1,2)),0)</f>
        <v>0</v>
      </c>
      <c r="L40" s="134" t="s">
        <v>255</v>
      </c>
      <c r="M40" s="121" t="s">
        <v>255</v>
      </c>
      <c r="N40" s="121" t="s">
        <v>255</v>
      </c>
      <c r="O40" s="121" t="s">
        <v>600</v>
      </c>
      <c r="P40" s="121" t="s">
        <v>600</v>
      </c>
      <c r="Q40" s="121"/>
      <c r="R40" s="121" t="s">
        <v>600</v>
      </c>
      <c r="S40" s="124" t="b">
        <f>AND(OR(AND($L$4=TRUE,$L40&lt;&gt;""),AND($M$4=TRUE,$M40&lt;&gt;""),AND($N$4=TRUE,$N40&lt;&gt;""),AND($O$4=TRUE,$O40&lt;&gt;"")),AND($P$4=TRUE,$P40&lt;&gt;""),OR(AND($Q$4=TRUE,$Q40&lt;&gt;""),AND($R$4=TRUE,$R40&lt;&gt;"")))</f>
        <v>0</v>
      </c>
      <c r="T40" s="124"/>
    </row>
    <row r="41" spans="1:20" ht="67.5">
      <c r="A41" s="52"/>
      <c r="B41" s="58"/>
      <c r="C41" s="71" t="s">
        <v>685</v>
      </c>
      <c r="D41" s="71" t="s">
        <v>686</v>
      </c>
      <c r="E41" s="151" t="s">
        <v>687</v>
      </c>
      <c r="F41" s="133" t="s">
        <v>653</v>
      </c>
      <c r="G41" s="61"/>
      <c r="H41" s="133"/>
      <c r="I41" s="165"/>
      <c r="J41" s="254"/>
      <c r="K41" s="111" cm="1">
        <f t="array" ref="K41">IF(S41=TRUE,_xlfn.IFS(I41=1,2,I41="",IF(J41="",1,2)),0)</f>
        <v>0</v>
      </c>
      <c r="L41" s="134" t="s">
        <v>255</v>
      </c>
      <c r="M41" s="121" t="s">
        <v>255</v>
      </c>
      <c r="N41" s="121" t="s">
        <v>255</v>
      </c>
      <c r="O41" s="121" t="s">
        <v>600</v>
      </c>
      <c r="P41" s="121" t="s">
        <v>600</v>
      </c>
      <c r="Q41" s="121" t="s">
        <v>600</v>
      </c>
      <c r="R41" s="121" t="s">
        <v>600</v>
      </c>
      <c r="S41" s="124" t="b">
        <f>AND(OR(AND($L$4=TRUE,$L41&lt;&gt;""),AND($M$4=TRUE,$M41&lt;&gt;""),AND($N$4=TRUE,$N41&lt;&gt;""),AND($O$4=TRUE,$O41&lt;&gt;"")),AND($P$4=TRUE,$P41&lt;&gt;""),OR(AND($Q$4=TRUE,$Q41&lt;&gt;""),AND($R$4=TRUE,$R41&lt;&gt;"")))</f>
        <v>0</v>
      </c>
      <c r="T41" s="124"/>
    </row>
    <row r="42" spans="1:20" ht="45">
      <c r="A42" s="52"/>
      <c r="B42" s="58"/>
      <c r="C42" s="71" t="s">
        <v>688</v>
      </c>
      <c r="D42" s="71" t="s">
        <v>689</v>
      </c>
      <c r="E42" s="151" t="s">
        <v>690</v>
      </c>
      <c r="F42" s="133" t="s">
        <v>653</v>
      </c>
      <c r="G42" s="61"/>
      <c r="H42" s="133"/>
      <c r="I42" s="165"/>
      <c r="J42" s="254"/>
      <c r="K42" s="111" cm="1">
        <f t="array" ref="K42">IF(S42=TRUE,_xlfn.IFS(I42=1,2,I42="",IF(J42="",1,2)),0)</f>
        <v>0</v>
      </c>
      <c r="L42" s="134" t="s">
        <v>255</v>
      </c>
      <c r="M42" s="121" t="s">
        <v>255</v>
      </c>
      <c r="N42" s="121" t="s">
        <v>255</v>
      </c>
      <c r="O42" s="121" t="s">
        <v>600</v>
      </c>
      <c r="P42" s="121" t="s">
        <v>600</v>
      </c>
      <c r="Q42" s="121"/>
      <c r="R42" s="121" t="s">
        <v>600</v>
      </c>
      <c r="S42" s="124" t="b">
        <f>AND(OR(AND($L$4=TRUE,$L42&lt;&gt;""),AND($M$4=TRUE,$M42&lt;&gt;""),AND($N$4=TRUE,$N42&lt;&gt;""),AND($O$4=TRUE,$O42&lt;&gt;"")),AND($P$4=TRUE,$P42&lt;&gt;""),OR(AND($Q$4=TRUE,$Q42&lt;&gt;""),AND($R$4=TRUE,$R42&lt;&gt;"")))</f>
        <v>0</v>
      </c>
      <c r="T42" s="124"/>
    </row>
    <row r="43" spans="1:20" ht="22.5">
      <c r="A43" s="52"/>
      <c r="B43" s="58" t="s">
        <v>691</v>
      </c>
      <c r="C43" s="115"/>
      <c r="D43" s="115"/>
      <c r="E43" s="84"/>
      <c r="F43" s="59"/>
      <c r="G43" s="59"/>
      <c r="H43" s="59"/>
      <c r="I43" s="125"/>
      <c r="J43" s="244"/>
      <c r="K43" s="244"/>
      <c r="L43" s="125"/>
      <c r="M43" s="125"/>
      <c r="N43" s="125"/>
      <c r="O43" s="125"/>
      <c r="P43" s="125"/>
      <c r="Q43" s="125"/>
      <c r="R43" s="125"/>
      <c r="S43" s="125" t="s">
        <v>596</v>
      </c>
      <c r="T43" s="125"/>
    </row>
    <row r="44" spans="1:20" ht="225">
      <c r="A44" s="52"/>
      <c r="B44" s="58"/>
      <c r="C44" s="71" t="s">
        <v>692</v>
      </c>
      <c r="D44" s="71" t="s">
        <v>693</v>
      </c>
      <c r="E44" s="91" t="s">
        <v>2064</v>
      </c>
      <c r="F44" s="133" t="s">
        <v>599</v>
      </c>
      <c r="G44" s="61"/>
      <c r="H44" s="133"/>
      <c r="I44" s="165"/>
      <c r="J44" s="254"/>
      <c r="K44" s="111" cm="1">
        <f t="array" ref="K44">IF(S44=TRUE,_xlfn.IFS(I44=1,2,I44="",IF(J44="",1,2)),0)</f>
        <v>0</v>
      </c>
      <c r="L44" s="134" t="s">
        <v>255</v>
      </c>
      <c r="M44" s="121" t="s">
        <v>255</v>
      </c>
      <c r="N44" s="121" t="s">
        <v>255</v>
      </c>
      <c r="O44" s="121" t="s">
        <v>600</v>
      </c>
      <c r="P44" s="121" t="s">
        <v>600</v>
      </c>
      <c r="Q44" s="121" t="s">
        <v>600</v>
      </c>
      <c r="R44" s="121" t="s">
        <v>600</v>
      </c>
      <c r="S44" s="124" t="b">
        <f t="shared" ref="S44:S49" si="3">AND(OR(AND($L$4=TRUE,$L44&lt;&gt;""),AND($M$4=TRUE,$M44&lt;&gt;""),AND($N$4=TRUE,$N44&lt;&gt;""),AND($O$4=TRUE,$O44&lt;&gt;"")),AND($P$4=TRUE,$P44&lt;&gt;""),OR(AND($Q$4=TRUE,$Q44&lt;&gt;""),AND($R$4=TRUE,$R44&lt;&gt;"")))</f>
        <v>0</v>
      </c>
      <c r="T44" s="124" t="s">
        <v>2203</v>
      </c>
    </row>
    <row r="45" spans="1:20" ht="45">
      <c r="A45" s="52"/>
      <c r="B45" s="58"/>
      <c r="C45" s="71" t="s">
        <v>694</v>
      </c>
      <c r="D45" s="71" t="s">
        <v>695</v>
      </c>
      <c r="E45" s="107" t="s">
        <v>696</v>
      </c>
      <c r="F45" s="133" t="s">
        <v>653</v>
      </c>
      <c r="G45" s="61"/>
      <c r="H45" s="61"/>
      <c r="I45" s="124"/>
      <c r="J45" s="243"/>
      <c r="K45" s="111" cm="1">
        <f t="array" ref="K45">IF(S45=TRUE,_xlfn.IFS(I45=1,2,I45="",IF(J45="",1,2)),0)</f>
        <v>0</v>
      </c>
      <c r="L45" s="121" t="s">
        <v>255</v>
      </c>
      <c r="M45" s="121" t="s">
        <v>255</v>
      </c>
      <c r="N45" s="121" t="s">
        <v>255</v>
      </c>
      <c r="O45" s="121" t="s">
        <v>600</v>
      </c>
      <c r="P45" s="121" t="s">
        <v>600</v>
      </c>
      <c r="Q45" s="121" t="s">
        <v>600</v>
      </c>
      <c r="R45" s="121" t="s">
        <v>600</v>
      </c>
      <c r="S45" s="124" t="b">
        <f t="shared" si="3"/>
        <v>0</v>
      </c>
      <c r="T45" s="124"/>
    </row>
    <row r="46" spans="1:20" ht="90">
      <c r="A46" s="52"/>
      <c r="B46" s="58"/>
      <c r="C46" s="71" t="s">
        <v>697</v>
      </c>
      <c r="D46" s="71" t="s">
        <v>698</v>
      </c>
      <c r="E46" s="151" t="s">
        <v>699</v>
      </c>
      <c r="F46" s="133" t="s">
        <v>653</v>
      </c>
      <c r="G46" s="61"/>
      <c r="H46" s="133"/>
      <c r="I46" s="165"/>
      <c r="J46" s="254"/>
      <c r="K46" s="111" cm="1">
        <f t="array" ref="K46">IF(S46=TRUE,_xlfn.IFS(I46=1,2,I46="",IF(J46="",1,2)),0)</f>
        <v>0</v>
      </c>
      <c r="L46" s="134" t="s">
        <v>255</v>
      </c>
      <c r="M46" s="121" t="s">
        <v>255</v>
      </c>
      <c r="N46" s="121" t="s">
        <v>255</v>
      </c>
      <c r="O46" s="121" t="s">
        <v>600</v>
      </c>
      <c r="P46" s="121" t="s">
        <v>600</v>
      </c>
      <c r="Q46" s="121" t="s">
        <v>600</v>
      </c>
      <c r="R46" s="121" t="s">
        <v>600</v>
      </c>
      <c r="S46" s="124" t="b">
        <f t="shared" si="3"/>
        <v>0</v>
      </c>
      <c r="T46" s="124"/>
    </row>
    <row r="47" spans="1:20" ht="112.5">
      <c r="A47" s="52"/>
      <c r="B47" s="58"/>
      <c r="C47" s="71" t="s">
        <v>700</v>
      </c>
      <c r="D47" s="71" t="s">
        <v>701</v>
      </c>
      <c r="E47" s="91" t="s">
        <v>2052</v>
      </c>
      <c r="F47" s="133" t="s">
        <v>599</v>
      </c>
      <c r="G47" s="61"/>
      <c r="H47" s="133"/>
      <c r="I47" s="165"/>
      <c r="J47" s="254"/>
      <c r="K47" s="111" cm="1">
        <f t="array" ref="K47">IF(S47=TRUE,_xlfn.IFS(I47=1,2,I47="",IF(J47="",1,2)),0)</f>
        <v>0</v>
      </c>
      <c r="L47" s="134" t="s">
        <v>255</v>
      </c>
      <c r="M47" s="121" t="s">
        <v>255</v>
      </c>
      <c r="N47" s="121" t="s">
        <v>255</v>
      </c>
      <c r="O47" s="121" t="s">
        <v>600</v>
      </c>
      <c r="P47" s="121" t="s">
        <v>600</v>
      </c>
      <c r="Q47" s="121" t="s">
        <v>600</v>
      </c>
      <c r="R47" s="121" t="s">
        <v>600</v>
      </c>
      <c r="S47" s="124" t="b">
        <f t="shared" si="3"/>
        <v>0</v>
      </c>
      <c r="T47" s="124" t="s">
        <v>2223</v>
      </c>
    </row>
    <row r="48" spans="1:20" ht="45">
      <c r="A48" s="52"/>
      <c r="B48" s="58"/>
      <c r="C48" s="71" t="s">
        <v>702</v>
      </c>
      <c r="D48" s="71" t="s">
        <v>703</v>
      </c>
      <c r="E48" s="107" t="s">
        <v>704</v>
      </c>
      <c r="F48" s="133" t="s">
        <v>653</v>
      </c>
      <c r="G48" s="61"/>
      <c r="H48" s="61"/>
      <c r="I48" s="124"/>
      <c r="J48" s="243"/>
      <c r="K48" s="111" cm="1">
        <f t="array" ref="K48">IF(S48=TRUE,_xlfn.IFS(I48=1,2,I48="",IF(J48="",1,2)),0)</f>
        <v>0</v>
      </c>
      <c r="L48" s="121" t="s">
        <v>255</v>
      </c>
      <c r="M48" s="121" t="s">
        <v>255</v>
      </c>
      <c r="N48" s="121" t="s">
        <v>255</v>
      </c>
      <c r="O48" s="121" t="s">
        <v>600</v>
      </c>
      <c r="P48" s="121" t="s">
        <v>600</v>
      </c>
      <c r="Q48" s="121" t="s">
        <v>600</v>
      </c>
      <c r="R48" s="121" t="s">
        <v>600</v>
      </c>
      <c r="S48" s="124" t="b">
        <f t="shared" si="3"/>
        <v>0</v>
      </c>
      <c r="T48" s="124"/>
    </row>
    <row r="49" spans="1:20" ht="135">
      <c r="A49" s="52"/>
      <c r="B49" s="58"/>
      <c r="C49" s="71" t="s">
        <v>705</v>
      </c>
      <c r="D49" s="71" t="s">
        <v>706</v>
      </c>
      <c r="E49" s="151" t="s">
        <v>707</v>
      </c>
      <c r="F49" s="133" t="s">
        <v>599</v>
      </c>
      <c r="G49" s="61"/>
      <c r="H49" s="133"/>
      <c r="I49" s="165"/>
      <c r="J49" s="254"/>
      <c r="K49" s="111" cm="1">
        <f t="array" ref="K49">IF(S49=TRUE,_xlfn.IFS(I49=1,2,I49="",IF(J49="",1,2)),0)</f>
        <v>0</v>
      </c>
      <c r="L49" s="134" t="s">
        <v>255</v>
      </c>
      <c r="M49" s="121" t="s">
        <v>255</v>
      </c>
      <c r="N49" s="121" t="s">
        <v>255</v>
      </c>
      <c r="O49" s="121" t="s">
        <v>600</v>
      </c>
      <c r="P49" s="121" t="s">
        <v>600</v>
      </c>
      <c r="Q49" s="121" t="s">
        <v>600</v>
      </c>
      <c r="R49" s="121" t="s">
        <v>600</v>
      </c>
      <c r="S49" s="124" t="b">
        <f t="shared" si="3"/>
        <v>0</v>
      </c>
      <c r="T49" s="124" t="s">
        <v>604</v>
      </c>
    </row>
    <row r="50" spans="1:20" ht="22.5">
      <c r="A50" s="52"/>
      <c r="B50" s="58" t="s">
        <v>708</v>
      </c>
      <c r="C50" s="115"/>
      <c r="D50" s="115"/>
      <c r="E50" s="84"/>
      <c r="F50" s="59"/>
      <c r="G50" s="59"/>
      <c r="H50" s="59"/>
      <c r="I50" s="125"/>
      <c r="J50" s="244"/>
      <c r="K50" s="244"/>
      <c r="L50" s="125"/>
      <c r="M50" s="125"/>
      <c r="N50" s="125"/>
      <c r="O50" s="125"/>
      <c r="P50" s="125"/>
      <c r="Q50" s="125"/>
      <c r="R50" s="125"/>
      <c r="S50" s="125" t="s">
        <v>596</v>
      </c>
      <c r="T50" s="125"/>
    </row>
    <row r="51" spans="1:20" ht="135">
      <c r="A51" s="52"/>
      <c r="B51" s="58"/>
      <c r="C51" s="71" t="s">
        <v>709</v>
      </c>
      <c r="D51" s="71" t="s">
        <v>710</v>
      </c>
      <c r="E51" s="151" t="s">
        <v>711</v>
      </c>
      <c r="F51" s="133" t="s">
        <v>599</v>
      </c>
      <c r="G51" s="61"/>
      <c r="H51" s="133"/>
      <c r="I51" s="165"/>
      <c r="J51" s="254"/>
      <c r="K51" s="111" cm="1">
        <f t="array" ref="K51">IF(S51=TRUE,_xlfn.IFS(I51=1,2,I51="",IF(J51="",1,2)),0)</f>
        <v>0</v>
      </c>
      <c r="L51" s="134" t="s">
        <v>255</v>
      </c>
      <c r="M51" s="121" t="s">
        <v>255</v>
      </c>
      <c r="N51" s="121" t="s">
        <v>255</v>
      </c>
      <c r="O51" s="121" t="s">
        <v>600</v>
      </c>
      <c r="P51" s="121" t="s">
        <v>600</v>
      </c>
      <c r="Q51" s="121"/>
      <c r="R51" s="121" t="s">
        <v>600</v>
      </c>
      <c r="S51" s="124" t="b">
        <f>AND(OR(AND($L$4=TRUE,$L51&lt;&gt;""),AND($M$4=TRUE,$M51&lt;&gt;""),AND($N$4=TRUE,$N51&lt;&gt;""),AND($O$4=TRUE,$O51&lt;&gt;"")),AND($P$4=TRUE,$P51&lt;&gt;""),OR(AND($Q$4=TRUE,$Q51&lt;&gt;""),AND($R$4=TRUE,$R51&lt;&gt;"")))</f>
        <v>0</v>
      </c>
      <c r="T51" s="124" t="s">
        <v>623</v>
      </c>
    </row>
    <row r="52" spans="1:20">
      <c r="G52" s="28">
        <f>COUNTA(G8:G51)</f>
        <v>0</v>
      </c>
      <c r="K52" s="28">
        <f>COUNTIF(K8:K51,2)</f>
        <v>0</v>
      </c>
      <c r="S52" s="28">
        <f>COUNTIF(S8:S51,TRUE)</f>
        <v>0</v>
      </c>
    </row>
    <row r="53" spans="1:20">
      <c r="G53" s="28">
        <f>COUNTIF(G8:G51,インデックス!CJ185)</f>
        <v>0</v>
      </c>
    </row>
  </sheetData>
  <autoFilter ref="A5:T53" xr:uid="{00000000-0009-0000-0000-000006000000}"/>
  <mergeCells count="1">
    <mergeCell ref="I1:J2"/>
  </mergeCells>
  <phoneticPr fontId="8"/>
  <conditionalFormatting sqref="E23:I23 E8:H22 E31:I31 E24:H30 E38:I38 E50:I50 E39:H42 E51:H51 E44:H49 E43:I43 E32:H37">
    <cfRule type="expression" dxfId="216" priority="363">
      <formula>$S8=FALSE</formula>
    </cfRule>
  </conditionalFormatting>
  <dataValidations count="1">
    <dataValidation type="list" allowBlank="1" showInputMessage="1" showErrorMessage="1" sqref="I6:I51" xr:uid="{00000000-0002-0000-06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6" id="{6956CAA1-2F93-4660-A5F4-07365AC615BC}">
            <xm:f>AND($S8=TRUE,$G8=インデックス!$CJ$184,ISBLANK($H8))</xm:f>
            <x14:dxf>
              <fill>
                <patternFill>
                  <bgColor theme="5"/>
                </patternFill>
              </fill>
            </x14:dxf>
          </x14:cfRule>
          <xm:sqref>H23:I23 H8:H13 H31:I31 H24 H38:I38 H50:I50 H39:H42 H51 H16:H17 H22 H26:H28 H30 H44:H49 H32:H37</xm:sqref>
        </x14:conditionalFormatting>
        <x14:conditionalFormatting xmlns:xm="http://schemas.microsoft.com/office/excel/2006/main">
          <x14:cfRule type="expression" priority="38" id="{FF5B7E48-D0D1-4CE3-AAE1-9E4948F7F450}">
            <xm:f>AND($S8=TRUE,COUNTIF($G8,インデックス!$CJ$186),ISBLANK($H8))</xm:f>
            <x14:dxf>
              <fill>
                <patternFill>
                  <bgColor theme="5"/>
                </patternFill>
              </fill>
            </x14:dxf>
          </x14:cfRule>
          <xm:sqref>H8:H13 H50:H51 H16:H17 H22:H24 H26:H28 H30:H42</xm:sqref>
        </x14:conditionalFormatting>
        <x14:conditionalFormatting xmlns:xm="http://schemas.microsoft.com/office/excel/2006/main">
          <x14:cfRule type="expression" priority="7" id="{C5E5A9F3-B864-448D-8510-771A4873CBA9}">
            <xm:f>AND($S43=TRUE,$G43=インデックス!$CJ$184,ISBLANK($H43))</xm:f>
            <x14:dxf>
              <fill>
                <patternFill>
                  <bgColor theme="5"/>
                </patternFill>
              </fill>
            </x14:dxf>
          </x14:cfRule>
          <xm:sqref>H43:I43</xm:sqref>
        </x14:conditionalFormatting>
        <x14:conditionalFormatting xmlns:xm="http://schemas.microsoft.com/office/excel/2006/main">
          <x14:cfRule type="expression" priority="35" id="{5265C303-51FD-47E1-9CCA-AFA9D75C3705}">
            <xm:f>AND($S43=TRUE,COUNTIF($G43,インデックス!$CJ$186),ISBLANK($H43))</xm:f>
            <x14:dxf>
              <fill>
                <patternFill>
                  <bgColor theme="5"/>
                </patternFill>
              </fill>
            </x14:dxf>
          </x14:cfRule>
          <xm:sqref>H43:H49</xm:sqref>
        </x14:conditionalFormatting>
        <x14:conditionalFormatting xmlns:xm="http://schemas.microsoft.com/office/excel/2006/main">
          <x14:cfRule type="expression" priority="33" id="{33BD097D-BE19-4F89-9B95-0F137963C186}">
            <xm:f>AND($S15=TRUE,$G15=インデックス!$CJ$184,ISBLANK($H15))</xm:f>
            <x14:dxf>
              <fill>
                <patternFill>
                  <bgColor theme="5"/>
                </patternFill>
              </fill>
            </x14:dxf>
          </x14:cfRule>
          <xm:sqref>H15</xm:sqref>
        </x14:conditionalFormatting>
        <x14:conditionalFormatting xmlns:xm="http://schemas.microsoft.com/office/excel/2006/main">
          <x14:cfRule type="expression" priority="32" id="{95024042-CF8E-4951-BD9C-C9E7B04BB166}">
            <xm:f>AND($S15=TRUE,COUNTIF($G15,インデックス!$CJ$186),ISBLANK($H15))</xm:f>
            <x14:dxf>
              <fill>
                <patternFill>
                  <bgColor theme="5"/>
                </patternFill>
              </fill>
            </x14:dxf>
          </x14:cfRule>
          <xm:sqref>H15</xm:sqref>
        </x14:conditionalFormatting>
        <x14:conditionalFormatting xmlns:xm="http://schemas.microsoft.com/office/excel/2006/main">
          <x14:cfRule type="expression" priority="30" id="{EB657688-05E1-4226-B2C5-23219F104033}">
            <xm:f>AND($S14=TRUE,$G14=インデックス!$CJ$184,ISBLANK($H14))</xm:f>
            <x14:dxf>
              <fill>
                <patternFill>
                  <bgColor theme="5"/>
                </patternFill>
              </fill>
            </x14:dxf>
          </x14:cfRule>
          <xm:sqref>H14</xm:sqref>
        </x14:conditionalFormatting>
        <x14:conditionalFormatting xmlns:xm="http://schemas.microsoft.com/office/excel/2006/main">
          <x14:cfRule type="expression" priority="29" id="{5DAF3927-7324-4FE0-A5D2-7EA7459F42E0}">
            <xm:f>AND($S14=TRUE,COUNTIF($G14,インデックス!$CJ$186),ISBLANK($H14))</xm:f>
            <x14:dxf>
              <fill>
                <patternFill>
                  <bgColor theme="5"/>
                </patternFill>
              </fill>
            </x14:dxf>
          </x14:cfRule>
          <xm:sqref>H14</xm:sqref>
        </x14:conditionalFormatting>
        <x14:conditionalFormatting xmlns:xm="http://schemas.microsoft.com/office/excel/2006/main">
          <x14:cfRule type="expression" priority="27" id="{2CD4A5FA-3FFA-48B9-89BF-56C5DAF3E79A}">
            <xm:f>AND($S21=TRUE,$G21=インデックス!$CJ$184,ISBLANK($H21))</xm:f>
            <x14:dxf>
              <fill>
                <patternFill>
                  <bgColor theme="5"/>
                </patternFill>
              </fill>
            </x14:dxf>
          </x14:cfRule>
          <xm:sqref>H21</xm:sqref>
        </x14:conditionalFormatting>
        <x14:conditionalFormatting xmlns:xm="http://schemas.microsoft.com/office/excel/2006/main">
          <x14:cfRule type="expression" priority="26" id="{D3C51352-DFB6-42C9-B5A0-2A47524BFEAE}">
            <xm:f>AND($S21=TRUE,COUNTIF($G21,インデックス!$CJ$186),ISBLANK($H21))</xm:f>
            <x14:dxf>
              <fill>
                <patternFill>
                  <bgColor theme="5"/>
                </patternFill>
              </fill>
            </x14:dxf>
          </x14:cfRule>
          <xm:sqref>H21</xm:sqref>
        </x14:conditionalFormatting>
        <x14:conditionalFormatting xmlns:xm="http://schemas.microsoft.com/office/excel/2006/main">
          <x14:cfRule type="expression" priority="24" id="{5ADB629E-F528-4E26-B9B1-D91B4CA46385}">
            <xm:f>AND($S20=TRUE,$G20=インデックス!$CJ$184,ISBLANK($H20))</xm:f>
            <x14:dxf>
              <fill>
                <patternFill>
                  <bgColor theme="5"/>
                </patternFill>
              </fill>
            </x14:dxf>
          </x14:cfRule>
          <xm:sqref>H20</xm:sqref>
        </x14:conditionalFormatting>
        <x14:conditionalFormatting xmlns:xm="http://schemas.microsoft.com/office/excel/2006/main">
          <x14:cfRule type="expression" priority="23" id="{79B2D5AD-9452-469F-87F6-E13C508F4FD7}">
            <xm:f>AND($S20=TRUE,COUNTIF($G20,インデックス!$CJ$186),ISBLANK($H20))</xm:f>
            <x14:dxf>
              <fill>
                <patternFill>
                  <bgColor theme="5"/>
                </patternFill>
              </fill>
            </x14:dxf>
          </x14:cfRule>
          <xm:sqref>H20</xm:sqref>
        </x14:conditionalFormatting>
        <x14:conditionalFormatting xmlns:xm="http://schemas.microsoft.com/office/excel/2006/main">
          <x14:cfRule type="expression" priority="21" id="{5A51F8A3-ABE8-41B3-BA7C-0CC9119D4907}">
            <xm:f>AND($S19=TRUE,$G19=インデックス!$CJ$184,ISBLANK($H19))</xm:f>
            <x14:dxf>
              <fill>
                <patternFill>
                  <bgColor theme="5"/>
                </patternFill>
              </fill>
            </x14:dxf>
          </x14:cfRule>
          <xm:sqref>H19</xm:sqref>
        </x14:conditionalFormatting>
        <x14:conditionalFormatting xmlns:xm="http://schemas.microsoft.com/office/excel/2006/main">
          <x14:cfRule type="expression" priority="20" id="{103D67A4-FA57-4B30-A266-F742C50CFE8D}">
            <xm:f>AND($S19=TRUE,COUNTIF($G19,インデックス!$CJ$186),ISBLANK($H19))</xm:f>
            <x14:dxf>
              <fill>
                <patternFill>
                  <bgColor theme="5"/>
                </patternFill>
              </fill>
            </x14:dxf>
          </x14:cfRule>
          <xm:sqref>H19</xm:sqref>
        </x14:conditionalFormatting>
        <x14:conditionalFormatting xmlns:xm="http://schemas.microsoft.com/office/excel/2006/main">
          <x14:cfRule type="expression" priority="18" id="{51F3B4AF-2B9C-4E30-8734-28D77A290022}">
            <xm:f>AND($S18=TRUE,$G18=インデックス!$CJ$184,ISBLANK($H18))</xm:f>
            <x14:dxf>
              <fill>
                <patternFill>
                  <bgColor theme="5"/>
                </patternFill>
              </fill>
            </x14:dxf>
          </x14:cfRule>
          <xm:sqref>H18</xm:sqref>
        </x14:conditionalFormatting>
        <x14:conditionalFormatting xmlns:xm="http://schemas.microsoft.com/office/excel/2006/main">
          <x14:cfRule type="expression" priority="17" id="{E96AA0EA-038F-4043-9EF9-49B0687CCD47}">
            <xm:f>AND($S18=TRUE,COUNTIF($G18,インデックス!$CJ$186),ISBLANK($H18))</xm:f>
            <x14:dxf>
              <fill>
                <patternFill>
                  <bgColor theme="5"/>
                </patternFill>
              </fill>
            </x14:dxf>
          </x14:cfRule>
          <xm:sqref>H18</xm:sqref>
        </x14:conditionalFormatting>
        <x14:conditionalFormatting xmlns:xm="http://schemas.microsoft.com/office/excel/2006/main">
          <x14:cfRule type="expression" priority="15" id="{7B35D253-A6CC-4448-8713-C8CAD88BB4BE}">
            <xm:f>AND($S25=TRUE,$G25=インデックス!$CJ$184,ISBLANK($H25))</xm:f>
            <x14:dxf>
              <fill>
                <patternFill>
                  <bgColor theme="5"/>
                </patternFill>
              </fill>
            </x14:dxf>
          </x14:cfRule>
          <xm:sqref>H25</xm:sqref>
        </x14:conditionalFormatting>
        <x14:conditionalFormatting xmlns:xm="http://schemas.microsoft.com/office/excel/2006/main">
          <x14:cfRule type="expression" priority="14" id="{C6ECEFB6-A709-4BCE-BE3D-2AB243FCB73C}">
            <xm:f>AND($S25=TRUE,COUNTIF($G25,インデックス!$CJ$186),ISBLANK($H25))</xm:f>
            <x14:dxf>
              <fill>
                <patternFill>
                  <bgColor theme="5"/>
                </patternFill>
              </fill>
            </x14:dxf>
          </x14:cfRule>
          <xm:sqref>H25</xm:sqref>
        </x14:conditionalFormatting>
        <x14:conditionalFormatting xmlns:xm="http://schemas.microsoft.com/office/excel/2006/main">
          <x14:cfRule type="expression" priority="12" id="{75847BFF-A087-4BE8-A621-D2663395AA37}">
            <xm:f>AND($S29=TRUE,$G29=インデックス!$CJ$184,ISBLANK($H29))</xm:f>
            <x14:dxf>
              <fill>
                <patternFill>
                  <bgColor theme="5"/>
                </patternFill>
              </fill>
            </x14:dxf>
          </x14:cfRule>
          <xm:sqref>H29</xm:sqref>
        </x14:conditionalFormatting>
        <x14:conditionalFormatting xmlns:xm="http://schemas.microsoft.com/office/excel/2006/main">
          <x14:cfRule type="expression" priority="11" id="{D54290E5-2802-4DF5-ACB3-3ADEB9DDC86E}">
            <xm:f>AND($S29=TRUE,COUNTIF($G29,インデックス!$CJ$186),ISBLANK($H29))</xm:f>
            <x14:dxf>
              <fill>
                <patternFill>
                  <bgColor theme="5"/>
                </patternFill>
              </fill>
            </x14:dxf>
          </x14:cfRule>
          <xm:sqref>H29</xm:sqref>
        </x14:conditionalFormatting>
        <x14:conditionalFormatting xmlns:xm="http://schemas.microsoft.com/office/excel/2006/main">
          <x14:cfRule type="expression" priority="39" id="{ADF46C2A-AE67-4B74-978F-01035C593533}">
            <xm:f>AND($S8=TRUE,OR($G8=インデックス!$CJ$183,$G8=インデックス!$CJ$184,$G8=インデックス!$CJ$185,$G8=インデックス!$CJ$186),ISBLANK($I8))</xm:f>
            <x14:dxf>
              <fill>
                <patternFill>
                  <bgColor theme="5"/>
                </patternFill>
              </fill>
            </x14:dxf>
          </x14:cfRule>
          <xm:sqref>I8:I51</xm:sqref>
        </x14:conditionalFormatting>
        <x14:conditionalFormatting xmlns:xm="http://schemas.microsoft.com/office/excel/2006/main">
          <x14:cfRule type="expression" priority="6" id="{9EF0F8C9-F90D-4908-BDF0-85C52183EC60}">
            <xm:f>AND($S8=TRUE,OR($G8=インデックス!$CJ$184,$G8=インデックス!$CJ$185,$G8=インデックス!$CJ$186),ISBLANK($J8))</xm:f>
            <x14:dxf>
              <fill>
                <patternFill>
                  <bgColor theme="5"/>
                </patternFill>
              </fill>
            </x14:dxf>
          </x14:cfRule>
          <xm:sqref>J8:J51</xm:sqref>
        </x14:conditionalFormatting>
        <x14:conditionalFormatting xmlns:xm="http://schemas.microsoft.com/office/excel/2006/main">
          <x14:cfRule type="expression" priority="1" id="{310716B6-F23A-4ABE-9ADE-A4F658318EB7}">
            <xm:f>I$1=インデックス!$CJ$189</xm:f>
            <x14:dxf>
              <fill>
                <patternFill>
                  <bgColor theme="5"/>
                </patternFill>
              </fill>
            </x14:dxf>
          </x14:cfRule>
          <x14:cfRule type="expression" priority="2" id="{1B9B976F-BA9E-4BA6-AF9E-B13B418EB2E9}">
            <xm:f>I$1=インデックス!$CJ$188</xm:f>
            <x14:dxf>
              <fill>
                <patternFill>
                  <bgColor theme="9"/>
                </patternFill>
              </fill>
            </x14:dxf>
          </x14:cfRule>
          <x14:cfRule type="expression" priority="3" id="{B3F1127F-E8BE-477C-AFD1-8D59F93D23BD}">
            <xm:f>I$1=インデックス!$CJ$187</xm:f>
            <x14:dxf>
              <fill>
                <patternFill>
                  <bgColor theme="4"/>
                </patternFill>
              </fill>
            </x14:dxf>
          </x14:cfRule>
          <xm:sqref>I1:J2</xm:sqref>
        </x14:conditionalFormatting>
        <x14:conditionalFormatting xmlns:xm="http://schemas.microsoft.com/office/excel/2006/main">
          <x14:cfRule type="expression" priority="1702" id="{1FF68FF6-2913-4CCC-958D-4D49E0958B75}">
            <xm:f>AND($S8=TRUE,$G8=インデックス!$CJ$184,ISBLANK($I8),インデックス!$AL$40=TRUE)</xm:f>
            <x14:dxf>
              <fill>
                <patternFill>
                  <bgColor theme="5"/>
                </patternFill>
              </fill>
            </x14:dxf>
          </x14:cfRule>
          <xm:sqref>I8:I22 I24:I30 I39:I42 I44:I49 I51 I32:I37</xm:sqref>
        </x14:conditionalFormatting>
        <x14:conditionalFormatting xmlns:xm="http://schemas.microsoft.com/office/excel/2006/main">
          <x14:cfRule type="expression" priority="1708" id="{FA68260E-68F9-44F5-B721-BBB900C94B76}">
            <xm:f>AND($S8=TRUE,$G8=インデックス!$CJ$184,ISBLANK($J8),インデックス!$AL$40=TRUE)</xm:f>
            <x14:dxf>
              <fill>
                <patternFill>
                  <bgColor theme="5"/>
                </patternFill>
              </fill>
            </x14:dxf>
          </x14:cfRule>
          <xm:sqref>J24:J30 J39:J42 J44:J49 J51 J8:J22 J32:J37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インデックス!$CJ$183:$CJ$186</xm:f>
          </x14:formula1>
          <xm:sqref>G51 G24:G30 G8:G22 G39:G42 G44:G49 G32:G37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N117"/>
  <sheetViews>
    <sheetView showGridLines="0" zoomScale="70" zoomScaleNormal="70" workbookViewId="0">
      <pane ySplit="6" topLeftCell="A7" activePane="bottomLeft" state="frozen"/>
      <selection activeCell="B5" sqref="B5"/>
      <selection pane="bottomLeft"/>
    </sheetView>
  </sheetViews>
  <sheetFormatPr defaultRowHeight="18" outlineLevelCol="2"/>
  <cols>
    <col min="1" max="2" width="5.58203125" customWidth="1"/>
    <col min="3" max="3" width="9.08203125" style="2" customWidth="1"/>
    <col min="4" max="4" width="8.58203125" style="2" customWidth="1"/>
    <col min="5" max="5" width="100.58203125" style="3" customWidth="1"/>
    <col min="6" max="6" width="16.58203125" customWidth="1"/>
    <col min="7" max="7" width="20.58203125" customWidth="1"/>
    <col min="8" max="8" width="55.58203125" style="2" customWidth="1"/>
    <col min="9" max="11" width="15.58203125" hidden="1" customWidth="1" outlineLevel="1"/>
    <col min="12" max="12" width="18.58203125" customWidth="1" collapsed="1"/>
    <col min="13" max="13" width="50.58203125" customWidth="1"/>
    <col min="14" max="14" width="17.58203125" hidden="1" customWidth="1" outlineLevel="1"/>
    <col min="15" max="18" width="15.58203125" style="24" hidden="1" customWidth="1" outlineLevel="1"/>
    <col min="19" max="23" width="15.58203125" style="27" hidden="1" customWidth="1" outlineLevel="1"/>
    <col min="24" max="34" width="15.58203125" style="24" hidden="1" customWidth="1" outlineLevel="1"/>
    <col min="35" max="38" width="15.58203125" hidden="1" customWidth="1" outlineLevel="2"/>
    <col min="39" max="39" width="40.75" customWidth="1" collapsed="1"/>
    <col min="40" max="40" width="18.75" customWidth="1"/>
  </cols>
  <sheetData>
    <row r="1" spans="1:40" ht="32.5">
      <c r="A1" s="43" t="s">
        <v>712</v>
      </c>
      <c r="C1"/>
      <c r="D1"/>
      <c r="E1" s="20"/>
      <c r="I1" s="24"/>
      <c r="J1" s="24"/>
      <c r="K1" s="24"/>
      <c r="L1" s="387" t="str" cm="1">
        <f t="array" ref="L1">IF(COUNTIF(N9:N113,1)=0,インデックス!$CJ$187,IF(AND(インデックス!$AL$63,SUMPRODUCT((N9:N113=1)*($AM9:$AM113&lt;&gt;""))=0),インデックス!$CJ$188,インデックス!$CJ$189))</f>
        <v>全件評価完了</v>
      </c>
      <c r="M1" s="387"/>
      <c r="N1" s="24"/>
      <c r="S1" s="24"/>
      <c r="T1" s="24"/>
      <c r="U1" s="24"/>
      <c r="V1" s="24"/>
      <c r="W1" s="24"/>
      <c r="Y1"/>
      <c r="Z1"/>
      <c r="AA1"/>
      <c r="AB1"/>
      <c r="AC1"/>
      <c r="AD1"/>
      <c r="AE1"/>
      <c r="AF1"/>
      <c r="AG1"/>
      <c r="AH1"/>
    </row>
    <row r="2" spans="1:40" ht="26.5">
      <c r="B2" s="42" t="s">
        <v>713</v>
      </c>
      <c r="C2"/>
      <c r="D2"/>
      <c r="E2" s="20"/>
      <c r="I2" s="24"/>
      <c r="J2" s="24"/>
      <c r="K2" s="24"/>
      <c r="L2" s="387"/>
      <c r="M2" s="387"/>
      <c r="N2" s="24"/>
      <c r="S2" s="24"/>
      <c r="T2" s="24"/>
      <c r="U2" s="24"/>
      <c r="V2" s="24"/>
      <c r="W2" s="24"/>
      <c r="Y2"/>
      <c r="Z2"/>
      <c r="AA2"/>
      <c r="AB2"/>
      <c r="AC2"/>
      <c r="AD2"/>
      <c r="AE2"/>
      <c r="AF2"/>
      <c r="AG2"/>
      <c r="AH2"/>
    </row>
    <row r="3" spans="1:40" ht="26.5">
      <c r="B3" s="42" t="s">
        <v>714</v>
      </c>
      <c r="C3"/>
      <c r="D3"/>
      <c r="E3" s="20"/>
      <c r="I3" s="24"/>
      <c r="J3" s="24"/>
      <c r="K3" s="24"/>
      <c r="L3" s="24"/>
      <c r="M3" s="24"/>
      <c r="N3" s="24"/>
      <c r="S3" s="24"/>
      <c r="T3" s="24"/>
      <c r="U3" s="24"/>
      <c r="V3" s="24"/>
      <c r="W3" s="24"/>
      <c r="Y3"/>
      <c r="Z3"/>
      <c r="AA3"/>
      <c r="AB3"/>
      <c r="AC3"/>
      <c r="AD3"/>
      <c r="AE3"/>
      <c r="AF3"/>
      <c r="AG3"/>
      <c r="AH3"/>
    </row>
    <row r="4" spans="1:40" ht="26.5">
      <c r="B4" s="42" t="s">
        <v>228</v>
      </c>
      <c r="C4"/>
      <c r="D4"/>
      <c r="E4" s="20"/>
      <c r="I4" s="24"/>
      <c r="J4" s="24"/>
      <c r="K4" s="24"/>
      <c r="L4" s="24"/>
      <c r="M4" s="24"/>
      <c r="N4" s="24"/>
      <c r="S4" s="24"/>
      <c r="T4" s="24"/>
      <c r="U4" s="24"/>
      <c r="V4" s="24"/>
      <c r="W4" s="24"/>
      <c r="Y4"/>
      <c r="Z4"/>
      <c r="AA4"/>
      <c r="AB4"/>
      <c r="AC4"/>
      <c r="AD4"/>
      <c r="AE4"/>
      <c r="AF4"/>
      <c r="AG4"/>
      <c r="AH4"/>
    </row>
    <row r="5" spans="1:40">
      <c r="C5"/>
      <c r="D5"/>
      <c r="I5" s="160"/>
      <c r="J5" s="160"/>
      <c r="K5" s="160"/>
      <c r="L5" s="163" t="s">
        <v>229</v>
      </c>
      <c r="M5" s="161"/>
      <c r="N5" s="161"/>
      <c r="O5" s="25" t="b">
        <f>AND(インデックス!$AL$38,インデックス!$AL$63)</f>
        <v>0</v>
      </c>
      <c r="P5" s="25" t="b">
        <f>インデックス!$AL$39</f>
        <v>0</v>
      </c>
      <c r="Q5" s="25" t="b">
        <f>OR(インデックス!$AL$37,インデックス!$AL$40)</f>
        <v>0</v>
      </c>
      <c r="R5" s="32" t="b">
        <f>インデックス!AL109</f>
        <v>0</v>
      </c>
      <c r="S5" s="26" t="b">
        <f>AND(TRUE,NOT(OR(インデックス!$AL$51,インデックス!$AL$69)))</f>
        <v>1</v>
      </c>
      <c r="T5" s="26" t="b">
        <f>AND(インデックス!$AL$56,NOT(OR(インデックス!$AL$51,インデックス!$AL$69)))</f>
        <v>0</v>
      </c>
      <c r="U5" s="26" t="b">
        <f>AND(インデックス!$AL$57,NOT(OR(インデックス!$AL$51,インデックス!$AL$69)))</f>
        <v>0</v>
      </c>
      <c r="V5" s="26" t="b">
        <f>AND(インデックス!$AL$58,NOT(OR(インデックス!$AL$51,インデックス!$AL$69)))</f>
        <v>0</v>
      </c>
      <c r="W5" s="30" t="b">
        <f>AND(インデックス!$AL$63,NOT(OR(インデックス!$AL$51,インデックス!$AL$69)))</f>
        <v>0</v>
      </c>
      <c r="X5" s="26" t="b">
        <f>インデックス!$AL$86</f>
        <v>0</v>
      </c>
      <c r="Y5" s="26" t="b">
        <f>インデックス!$AL$88</f>
        <v>0</v>
      </c>
      <c r="Z5" s="26" t="b">
        <f>インデックス!$AL$87</f>
        <v>0</v>
      </c>
      <c r="AA5" s="26" t="b">
        <f>AND(インデックス!$AL$93,NOT(OR(インデックス!$AL$51,インデックス!$AL$69)))</f>
        <v>0</v>
      </c>
      <c r="AB5" s="26" t="b">
        <f>AND(インデックス!$AL$94,NOT(OR(インデックス!$AL$51,インデックス!$AL$69)))</f>
        <v>0</v>
      </c>
      <c r="AC5" s="26" t="b">
        <f>AND(インデックス!$AL$48,NOT(インデックス!$AL$69))</f>
        <v>0</v>
      </c>
      <c r="AD5" s="31" t="b">
        <f>インデックス!$AL$43</f>
        <v>0</v>
      </c>
      <c r="AE5" s="31" t="b">
        <f>OR(インデックス!$AL$48,インデックス!$AL$49)</f>
        <v>0</v>
      </c>
      <c r="AF5" s="31" t="b">
        <f>インデックス!$AL$63</f>
        <v>0</v>
      </c>
      <c r="AG5" s="31" t="b">
        <f>インデックス!$AL$44</f>
        <v>0</v>
      </c>
      <c r="AH5" s="160"/>
      <c r="AI5" s="162"/>
      <c r="AJ5" s="162"/>
      <c r="AK5" s="162"/>
      <c r="AL5" s="162"/>
      <c r="AM5" s="162"/>
      <c r="AN5" s="162"/>
    </row>
    <row r="6" spans="1:40" ht="67.5">
      <c r="A6" s="293"/>
      <c r="B6" s="293"/>
      <c r="C6" s="293" t="s">
        <v>230</v>
      </c>
      <c r="D6" s="293" t="s">
        <v>155</v>
      </c>
      <c r="E6" s="292" t="s">
        <v>231</v>
      </c>
      <c r="F6" s="294" t="s">
        <v>232</v>
      </c>
      <c r="G6" s="64" t="s">
        <v>233</v>
      </c>
      <c r="H6" s="291" t="s">
        <v>1985</v>
      </c>
      <c r="I6" s="64" t="s">
        <v>234</v>
      </c>
      <c r="J6" s="64" t="s">
        <v>235</v>
      </c>
      <c r="K6" s="64" t="s">
        <v>236</v>
      </c>
      <c r="L6" s="159" t="s">
        <v>2000</v>
      </c>
      <c r="M6" s="73" t="s">
        <v>237</v>
      </c>
      <c r="N6" s="290" t="s">
        <v>1989</v>
      </c>
      <c r="O6" s="64" t="s">
        <v>238</v>
      </c>
      <c r="P6" s="64" t="s">
        <v>239</v>
      </c>
      <c r="Q6" s="159" t="s">
        <v>240</v>
      </c>
      <c r="R6" s="64" t="s">
        <v>715</v>
      </c>
      <c r="S6" s="112" t="s">
        <v>241</v>
      </c>
      <c r="T6" s="74" t="s">
        <v>716</v>
      </c>
      <c r="U6" s="112" t="s">
        <v>717</v>
      </c>
      <c r="V6" s="112" t="s">
        <v>718</v>
      </c>
      <c r="W6" s="112" t="s">
        <v>195</v>
      </c>
      <c r="X6" s="112" t="s">
        <v>82</v>
      </c>
      <c r="Y6" s="112" t="s">
        <v>84</v>
      </c>
      <c r="Z6" s="112" t="s">
        <v>469</v>
      </c>
      <c r="AA6" s="112" t="s">
        <v>242</v>
      </c>
      <c r="AB6" s="112" t="s">
        <v>466</v>
      </c>
      <c r="AC6" s="112" t="s">
        <v>51</v>
      </c>
      <c r="AD6" s="112" t="s">
        <v>470</v>
      </c>
      <c r="AE6" s="112" t="s">
        <v>467</v>
      </c>
      <c r="AF6" s="112" t="s">
        <v>195</v>
      </c>
      <c r="AG6" s="112" t="s">
        <v>719</v>
      </c>
      <c r="AH6" s="112" t="s">
        <v>243</v>
      </c>
      <c r="AI6" s="74" t="s">
        <v>244</v>
      </c>
      <c r="AJ6" s="74" t="s">
        <v>245</v>
      </c>
      <c r="AK6" s="74" t="s">
        <v>246</v>
      </c>
      <c r="AL6" s="74" t="s">
        <v>247</v>
      </c>
      <c r="AM6" s="74" t="s">
        <v>248</v>
      </c>
      <c r="AN6" s="74" t="s">
        <v>249</v>
      </c>
    </row>
    <row r="7" spans="1:40" ht="18.75" customHeight="1">
      <c r="A7" s="52" t="s">
        <v>473</v>
      </c>
      <c r="B7" s="52"/>
      <c r="C7" s="113"/>
      <c r="D7" s="113"/>
      <c r="E7" s="77"/>
      <c r="F7" s="56"/>
      <c r="G7" s="56"/>
      <c r="H7" s="77"/>
      <c r="I7" s="56"/>
      <c r="J7" s="56"/>
      <c r="K7" s="56"/>
      <c r="L7" s="114"/>
      <c r="M7" s="56"/>
      <c r="N7" s="56"/>
      <c r="O7" s="114"/>
      <c r="P7" s="114"/>
      <c r="Q7" s="114"/>
      <c r="R7" s="114"/>
      <c r="S7" s="114"/>
      <c r="T7" s="114"/>
      <c r="U7" s="114"/>
      <c r="V7" s="114"/>
      <c r="W7" s="114"/>
      <c r="X7" s="114"/>
      <c r="Y7" s="114"/>
      <c r="Z7" s="114"/>
      <c r="AA7" s="114"/>
      <c r="AB7" s="114"/>
      <c r="AC7" s="114"/>
      <c r="AD7" s="114"/>
      <c r="AE7" s="114"/>
      <c r="AF7" s="114"/>
      <c r="AG7" s="114"/>
      <c r="AH7" s="114"/>
      <c r="AI7" s="114"/>
      <c r="AJ7" s="114"/>
      <c r="AK7" s="114"/>
      <c r="AL7" s="114"/>
      <c r="AM7" s="114"/>
      <c r="AN7" s="114"/>
    </row>
    <row r="8" spans="1:40" ht="18.75" customHeight="1">
      <c r="A8" s="52"/>
      <c r="B8" s="58" t="s">
        <v>474</v>
      </c>
      <c r="C8" s="115"/>
      <c r="D8" s="115"/>
      <c r="E8" s="84"/>
      <c r="F8" s="59"/>
      <c r="G8" s="182"/>
      <c r="H8" s="183"/>
      <c r="I8" s="116"/>
      <c r="J8" s="116"/>
      <c r="K8" s="116"/>
      <c r="L8" s="117"/>
      <c r="M8" s="116"/>
      <c r="N8" s="116"/>
      <c r="O8" s="117"/>
      <c r="P8" s="117"/>
      <c r="Q8" s="117"/>
      <c r="R8" s="117"/>
      <c r="S8" s="117"/>
      <c r="T8" s="117"/>
      <c r="U8" s="117"/>
      <c r="V8" s="117"/>
      <c r="W8" s="117"/>
      <c r="X8" s="117"/>
      <c r="Y8" s="117"/>
      <c r="Z8" s="117"/>
      <c r="AA8" s="117"/>
      <c r="AB8" s="117"/>
      <c r="AC8" s="117"/>
      <c r="AD8" s="117"/>
      <c r="AE8" s="117"/>
      <c r="AF8" s="117"/>
      <c r="AG8" s="117"/>
      <c r="AH8" s="117"/>
      <c r="AI8" s="117"/>
      <c r="AJ8" s="117"/>
      <c r="AK8" s="117"/>
      <c r="AL8" s="117"/>
      <c r="AM8" s="117"/>
      <c r="AN8" s="117"/>
    </row>
    <row r="9" spans="1:40" ht="96" customHeight="1">
      <c r="A9" s="52"/>
      <c r="B9" s="58"/>
      <c r="C9" s="71" t="s">
        <v>2088</v>
      </c>
      <c r="D9" s="71" t="s">
        <v>252</v>
      </c>
      <c r="E9" s="91" t="s">
        <v>720</v>
      </c>
      <c r="F9" s="92" t="s">
        <v>254</v>
      </c>
      <c r="G9" s="61"/>
      <c r="H9" s="107"/>
      <c r="I9" s="60"/>
      <c r="J9" s="60"/>
      <c r="K9" s="60"/>
      <c r="L9" s="123"/>
      <c r="M9" s="243"/>
      <c r="N9" s="111" cm="1">
        <f t="array" ref="N9">IF(AH9=TRUE,_xlfn.IFS(L9=1,2,L9="",IF(M9="",1,2)),0)</f>
        <v>0</v>
      </c>
      <c r="O9" s="69" t="s">
        <v>255</v>
      </c>
      <c r="P9" s="69" t="s">
        <v>183</v>
      </c>
      <c r="Q9" s="69" t="s">
        <v>183</v>
      </c>
      <c r="R9" s="69" t="s">
        <v>183</v>
      </c>
      <c r="S9" s="118" t="s">
        <v>183</v>
      </c>
      <c r="T9" s="118"/>
      <c r="U9" s="118"/>
      <c r="V9" s="118"/>
      <c r="W9" s="118" t="s">
        <v>448</v>
      </c>
      <c r="X9" s="69"/>
      <c r="Y9" s="69"/>
      <c r="Z9" s="69"/>
      <c r="AA9" s="69"/>
      <c r="AB9" s="69"/>
      <c r="AC9" s="69"/>
      <c r="AD9" s="69" t="s">
        <v>183</v>
      </c>
      <c r="AE9" s="69" t="s">
        <v>183</v>
      </c>
      <c r="AF9" s="69" t="s">
        <v>255</v>
      </c>
      <c r="AG9" s="69"/>
      <c r="AH9" s="123" t="b">
        <f>AND(OR(AND($O$5=TRUE,$O9&lt;&gt;""),AND($P$5=TRUE,$P9&lt;&gt;""),AND($Q$5=TRUE,$Q9&lt;&gt;"")),AND($R$5=TRUE,$R9&lt;&gt;""),OR(AND($S$5=TRUE,$S9&lt;&gt;""),AND($T$5=TRUE,$T9&lt;&gt;""),AND($U$5=TRUE,$U9&lt;&gt;""),AND($V$5=TRUE,$V9&lt;&gt;""),AND($W$5=TRUE,$W9&lt;&gt;""),AND($X$5=TRUE,$X9&lt;&gt;""),AND($Y$5=TRUE,$Y9&lt;&gt;""),AND($Z$5=TRUE,$Z9&lt;&gt;""),AND($AA$5=TRUE,$AA9&lt;&gt;""),AND($AB$5=TRUE,$AB9&lt;&gt;""),AND($AC$5=TRUE,$AC9&lt;&gt;"")),OR(AND($AD$5=TRUE,$AD9&lt;&gt;""),AND($AE$5=TRUE,$AE9&lt;&gt;""),AND($AF$5=TRUE,$AF9&lt;&gt;""),AND($AG$5=TRUE,$AG9&lt;&gt;"")))</f>
        <v>0</v>
      </c>
      <c r="AI9" s="123" t="s">
        <v>183</v>
      </c>
      <c r="AJ9" s="123"/>
      <c r="AK9" s="123"/>
      <c r="AL9" s="123" t="s">
        <v>183</v>
      </c>
      <c r="AM9" s="170" t="str">
        <f>IF(AI9&lt;&gt;"","セキュリティ管理/","")&amp;IF(AJ9&lt;&gt;"","マルウェア/","")&amp;IF(AK9&lt;&gt;"","クラウド/","")&amp;IF(AL9&lt;&gt;"","別表1,2,3","")</f>
        <v>セキュリティ管理/別表1,2,3</v>
      </c>
      <c r="AN9" s="123"/>
    </row>
    <row r="10" spans="1:40" ht="67.5">
      <c r="A10" s="52"/>
      <c r="B10" s="58"/>
      <c r="C10" s="71" t="s">
        <v>722</v>
      </c>
      <c r="D10" s="71" t="s">
        <v>478</v>
      </c>
      <c r="E10" s="91" t="s">
        <v>721</v>
      </c>
      <c r="F10" s="92" t="s">
        <v>254</v>
      </c>
      <c r="G10" s="61"/>
      <c r="H10" s="107"/>
      <c r="I10" s="60"/>
      <c r="J10" s="60"/>
      <c r="K10" s="60"/>
      <c r="L10" s="123"/>
      <c r="M10" s="243"/>
      <c r="N10" s="111" cm="1">
        <f t="array" ref="N10">IF(AH10=TRUE,_xlfn.IFS(L10=1,2,L10="",IF(M10="",1,2)),0)</f>
        <v>0</v>
      </c>
      <c r="O10" s="69" t="s">
        <v>255</v>
      </c>
      <c r="P10" s="69" t="s">
        <v>183</v>
      </c>
      <c r="Q10" s="69" t="s">
        <v>183</v>
      </c>
      <c r="R10" s="69" t="s">
        <v>183</v>
      </c>
      <c r="S10" s="118" t="s">
        <v>183</v>
      </c>
      <c r="T10" s="118"/>
      <c r="U10" s="118"/>
      <c r="V10" s="118"/>
      <c r="W10" s="118" t="s">
        <v>448</v>
      </c>
      <c r="X10" s="69"/>
      <c r="Y10" s="69"/>
      <c r="Z10" s="69"/>
      <c r="AA10" s="69"/>
      <c r="AB10" s="69"/>
      <c r="AC10" s="69"/>
      <c r="AD10" s="69" t="s">
        <v>183</v>
      </c>
      <c r="AE10" s="69" t="s">
        <v>183</v>
      </c>
      <c r="AF10" s="69"/>
      <c r="AG10" s="69"/>
      <c r="AH10" s="123" t="b">
        <f>AND(OR(AND($O$5=TRUE,$O10&lt;&gt;""),AND($P$5=TRUE,$P10&lt;&gt;""),AND($Q$5=TRUE,$Q10&lt;&gt;"")),AND($R$5=TRUE,$R10&lt;&gt;""),OR(AND($S$5=TRUE,$S10&lt;&gt;""),AND($T$5=TRUE,$T10&lt;&gt;""),AND($U$5=TRUE,$U10&lt;&gt;""),AND($V$5=TRUE,$V10&lt;&gt;""),AND($W$5=TRUE,$W10&lt;&gt;""),AND($X$5=TRUE,$X10&lt;&gt;""),AND($Y$5=TRUE,$Y10&lt;&gt;""),AND($Z$5=TRUE,$Z10&lt;&gt;""),AND($AA$5=TRUE,$AA10&lt;&gt;""),AND($AB$5=TRUE,$AB10&lt;&gt;""),AND($AC$5=TRUE,$AC10&lt;&gt;"")),OR(AND($AD$5=TRUE,$AD10&lt;&gt;""),AND($AE$5=TRUE,$AE10&lt;&gt;""),AND($AF$5=TRUE,$AF10&lt;&gt;""),AND($AG$5=TRUE,$AG10&lt;&gt;"")))</f>
        <v>0</v>
      </c>
      <c r="AI10" s="123"/>
      <c r="AJ10" s="123"/>
      <c r="AK10" s="123"/>
      <c r="AL10" s="123"/>
      <c r="AM10" s="170" t="str">
        <f>IF(AI10&lt;&gt;"","セキュリティ管理/","")&amp;IF(AJ10&lt;&gt;"","マルウェア/","")&amp;IF(AK10&lt;&gt;"","クラウド/","")&amp;IF(AL10&lt;&gt;"","別表1,2,3","")</f>
        <v/>
      </c>
      <c r="AN10" s="123"/>
    </row>
    <row r="11" spans="1:40" ht="22.5">
      <c r="A11" s="52"/>
      <c r="B11" s="58"/>
      <c r="C11" s="71" t="s">
        <v>724</v>
      </c>
      <c r="D11" s="71" t="s">
        <v>259</v>
      </c>
      <c r="E11" s="91" t="s">
        <v>723</v>
      </c>
      <c r="F11" s="92" t="s">
        <v>254</v>
      </c>
      <c r="G11" s="61"/>
      <c r="H11" s="107"/>
      <c r="I11" s="60"/>
      <c r="J11" s="60"/>
      <c r="K11" s="60"/>
      <c r="L11" s="123"/>
      <c r="M11" s="243"/>
      <c r="N11" s="111" cm="1">
        <f t="array" ref="N11">IF(AH11=TRUE,_xlfn.IFS(L11=1,2,L11="",IF(M11="",1,2)),0)</f>
        <v>0</v>
      </c>
      <c r="O11" s="69" t="s">
        <v>255</v>
      </c>
      <c r="P11" s="69" t="s">
        <v>183</v>
      </c>
      <c r="Q11" s="69" t="s">
        <v>183</v>
      </c>
      <c r="R11" s="69" t="s">
        <v>183</v>
      </c>
      <c r="S11" s="118" t="s">
        <v>183</v>
      </c>
      <c r="T11" s="118"/>
      <c r="U11" s="118"/>
      <c r="V11" s="118"/>
      <c r="W11" s="118" t="s">
        <v>448</v>
      </c>
      <c r="X11" s="69"/>
      <c r="Y11" s="69"/>
      <c r="Z11" s="69"/>
      <c r="AA11" s="69"/>
      <c r="AB11" s="69"/>
      <c r="AC11" s="69"/>
      <c r="AD11" s="69" t="s">
        <v>183</v>
      </c>
      <c r="AE11" s="69" t="s">
        <v>183</v>
      </c>
      <c r="AF11" s="69"/>
      <c r="AG11" s="69"/>
      <c r="AH11" s="123" t="b">
        <f>AND(OR(AND($O$5=TRUE,$O11&lt;&gt;""),AND($P$5=TRUE,$P11&lt;&gt;""),AND($Q$5=TRUE,$Q11&lt;&gt;"")),AND($R$5=TRUE,$R11&lt;&gt;""),OR(AND($S$5=TRUE,$S11&lt;&gt;""),AND($T$5=TRUE,$T11&lt;&gt;""),AND($U$5=TRUE,$U11&lt;&gt;""),AND($V$5=TRUE,$V11&lt;&gt;""),AND($W$5=TRUE,$W11&lt;&gt;""),AND($X$5=TRUE,$X11&lt;&gt;""),AND($Y$5=TRUE,$Y11&lt;&gt;""),AND($Z$5=TRUE,$Z11&lt;&gt;""),AND($AA$5=TRUE,$AA11&lt;&gt;""),AND($AB$5=TRUE,$AB11&lt;&gt;""),AND($AC$5=TRUE,$AC11&lt;&gt;"")),OR(AND($AD$5=TRUE,$AD11&lt;&gt;""),AND($AE$5=TRUE,$AE11&lt;&gt;""),AND($AF$5=TRUE,$AF11&lt;&gt;""),AND($AG$5=TRUE,$AG11&lt;&gt;"")))</f>
        <v>0</v>
      </c>
      <c r="AI11" s="123"/>
      <c r="AJ11" s="123"/>
      <c r="AK11" s="123"/>
      <c r="AL11" s="123"/>
      <c r="AM11" s="170" t="str">
        <f>IF(AI11&lt;&gt;"","セキュリティ管理/","")&amp;IF(AJ11&lt;&gt;"","マルウェア/","")&amp;IF(AK11&lt;&gt;"","クラウド/","")&amp;IF(AL11&lt;&gt;"","別表1,2,3","")</f>
        <v/>
      </c>
      <c r="AN11" s="123"/>
    </row>
    <row r="12" spans="1:40" ht="135">
      <c r="A12" s="52"/>
      <c r="B12" s="58"/>
      <c r="C12" s="71" t="s">
        <v>726</v>
      </c>
      <c r="D12" s="71" t="s">
        <v>262</v>
      </c>
      <c r="E12" s="91" t="s">
        <v>725</v>
      </c>
      <c r="F12" s="92" t="s">
        <v>254</v>
      </c>
      <c r="G12" s="61"/>
      <c r="H12" s="107"/>
      <c r="I12" s="60"/>
      <c r="J12" s="60"/>
      <c r="K12" s="60"/>
      <c r="L12" s="123"/>
      <c r="M12" s="243"/>
      <c r="N12" s="111" cm="1">
        <f t="array" ref="N12">IF(AH12=TRUE,_xlfn.IFS(L12=1,2,L12="",IF(M12="",1,2)),0)</f>
        <v>0</v>
      </c>
      <c r="O12" s="69" t="s">
        <v>255</v>
      </c>
      <c r="P12" s="69" t="s">
        <v>183</v>
      </c>
      <c r="Q12" s="69" t="s">
        <v>183</v>
      </c>
      <c r="R12" s="69" t="s">
        <v>183</v>
      </c>
      <c r="S12" s="118" t="s">
        <v>183</v>
      </c>
      <c r="T12" s="118"/>
      <c r="U12" s="118"/>
      <c r="V12" s="118"/>
      <c r="W12" s="118" t="s">
        <v>448</v>
      </c>
      <c r="X12" s="69"/>
      <c r="Y12" s="69"/>
      <c r="Z12" s="69"/>
      <c r="AA12" s="69"/>
      <c r="AB12" s="69"/>
      <c r="AC12" s="69"/>
      <c r="AD12" s="69" t="s">
        <v>183</v>
      </c>
      <c r="AE12" s="69" t="s">
        <v>183</v>
      </c>
      <c r="AF12" s="69"/>
      <c r="AG12" s="69"/>
      <c r="AH12" s="123" t="b">
        <f>AND(OR(AND($O$5=TRUE,$O12&lt;&gt;""),AND($P$5=TRUE,$P12&lt;&gt;""),AND($Q$5=TRUE,$Q12&lt;&gt;"")),AND($R$5=TRUE,$R12&lt;&gt;""),OR(AND($S$5=TRUE,$S12&lt;&gt;""),AND($T$5=TRUE,$T12&lt;&gt;""),AND($U$5=TRUE,$U12&lt;&gt;""),AND($V$5=TRUE,$V12&lt;&gt;""),AND($W$5=TRUE,$W12&lt;&gt;""),AND($X$5=TRUE,$X12&lt;&gt;""),AND($Y$5=TRUE,$Y12&lt;&gt;""),AND($Z$5=TRUE,$Z12&lt;&gt;""),AND($AA$5=TRUE,$AA12&lt;&gt;""),AND($AB$5=TRUE,$AB12&lt;&gt;""),AND($AC$5=TRUE,$AC12&lt;&gt;"")),OR(AND($AD$5=TRUE,$AD12&lt;&gt;""),AND($AE$5=TRUE,$AE12&lt;&gt;""),AND($AF$5=TRUE,$AF12&lt;&gt;""),AND($AG$5=TRUE,$AG12&lt;&gt;"")))</f>
        <v>0</v>
      </c>
      <c r="AI12" s="123"/>
      <c r="AJ12" s="123"/>
      <c r="AK12" s="123"/>
      <c r="AL12" s="123"/>
      <c r="AM12" s="170" t="str">
        <f>IF(AI12&lt;&gt;"","セキュリティ管理/","")&amp;IF(AJ12&lt;&gt;"","マルウェア/","")&amp;IF(AK12&lt;&gt;"","クラウド/","")&amp;IF(AL12&lt;&gt;"","別表1,2,3","")</f>
        <v/>
      </c>
      <c r="AN12" s="123"/>
    </row>
    <row r="13" spans="1:40" ht="180">
      <c r="A13" s="52"/>
      <c r="B13" s="58"/>
      <c r="C13" s="71" t="s">
        <v>2089</v>
      </c>
      <c r="D13" s="71" t="s">
        <v>265</v>
      </c>
      <c r="E13" s="91" t="s">
        <v>727</v>
      </c>
      <c r="F13" s="92" t="s">
        <v>254</v>
      </c>
      <c r="G13" s="61"/>
      <c r="H13" s="107"/>
      <c r="I13" s="60"/>
      <c r="J13" s="60"/>
      <c r="K13" s="60"/>
      <c r="L13" s="123"/>
      <c r="M13" s="243"/>
      <c r="N13" s="111" cm="1">
        <f t="array" ref="N13">IF(AH13=TRUE,_xlfn.IFS(L13=1,2,L13="",IF(M13="",1,2)),0)</f>
        <v>0</v>
      </c>
      <c r="O13" s="69" t="s">
        <v>255</v>
      </c>
      <c r="P13" s="69" t="s">
        <v>183</v>
      </c>
      <c r="Q13" s="69" t="s">
        <v>183</v>
      </c>
      <c r="R13" s="69" t="s">
        <v>183</v>
      </c>
      <c r="S13" s="118" t="s">
        <v>183</v>
      </c>
      <c r="T13" s="118"/>
      <c r="U13" s="118"/>
      <c r="V13" s="118"/>
      <c r="W13" s="118" t="s">
        <v>448</v>
      </c>
      <c r="X13" s="69"/>
      <c r="Y13" s="69"/>
      <c r="Z13" s="69"/>
      <c r="AA13" s="69"/>
      <c r="AB13" s="69"/>
      <c r="AC13" s="69"/>
      <c r="AD13" s="69" t="s">
        <v>183</v>
      </c>
      <c r="AE13" s="69" t="s">
        <v>183</v>
      </c>
      <c r="AF13" s="69"/>
      <c r="AG13" s="69"/>
      <c r="AH13" s="123" t="b">
        <f>AND(OR(AND($O$5=TRUE,$O13&lt;&gt;""),AND($P$5=TRUE,$P13&lt;&gt;""),AND($Q$5=TRUE,$Q13&lt;&gt;"")),AND($R$5=TRUE,$R13&lt;&gt;""),OR(AND($S$5=TRUE,$S13&lt;&gt;""),AND($T$5=TRUE,$T13&lt;&gt;""),AND($U$5=TRUE,$U13&lt;&gt;""),AND($V$5=TRUE,$V13&lt;&gt;""),AND($W$5=TRUE,$W13&lt;&gt;""),AND($X$5=TRUE,$X13&lt;&gt;""),AND($Y$5=TRUE,$Y13&lt;&gt;""),AND($Z$5=TRUE,$Z13&lt;&gt;""),AND($AA$5=TRUE,$AA13&lt;&gt;""),AND($AB$5=TRUE,$AB13&lt;&gt;""),AND($AC$5=TRUE,$AC13&lt;&gt;"")),OR(AND($AD$5=TRUE,$AD13&lt;&gt;""),AND($AE$5=TRUE,$AE13&lt;&gt;""),AND($AF$5=TRUE,$AF13&lt;&gt;""),AND($AG$5=TRUE,$AG13&lt;&gt;"")))</f>
        <v>0</v>
      </c>
      <c r="AI13" s="123"/>
      <c r="AJ13" s="123"/>
      <c r="AK13" s="123"/>
      <c r="AL13" s="123"/>
      <c r="AM13" s="170" t="str">
        <f>IF(AI13&lt;&gt;"","セキュリティ管理/","")&amp;IF(AJ13&lt;&gt;"","マルウェア/","")&amp;IF(AK13&lt;&gt;"","クラウド/","")&amp;IF(AL13&lt;&gt;"","別表1,2,3","")</f>
        <v/>
      </c>
      <c r="AN13" s="123"/>
    </row>
    <row r="14" spans="1:40" ht="22.5">
      <c r="A14" s="52"/>
      <c r="B14" s="58" t="s">
        <v>488</v>
      </c>
      <c r="C14" s="115"/>
      <c r="D14" s="115"/>
      <c r="E14" s="119"/>
      <c r="F14" s="120"/>
      <c r="G14" s="182"/>
      <c r="H14" s="183"/>
      <c r="I14" s="116"/>
      <c r="J14" s="116"/>
      <c r="K14" s="116"/>
      <c r="L14" s="117"/>
      <c r="M14" s="250"/>
      <c r="N14" s="250"/>
      <c r="O14" s="117"/>
      <c r="P14" s="117"/>
      <c r="Q14" s="117"/>
      <c r="R14" s="117"/>
      <c r="S14" s="117"/>
      <c r="T14" s="117"/>
      <c r="U14" s="117"/>
      <c r="V14" s="117"/>
      <c r="W14" s="117"/>
      <c r="X14" s="117"/>
      <c r="Y14" s="117"/>
      <c r="Z14" s="117"/>
      <c r="AA14" s="117"/>
      <c r="AB14" s="117"/>
      <c r="AC14" s="117"/>
      <c r="AD14" s="117"/>
      <c r="AE14" s="117"/>
      <c r="AF14" s="117"/>
      <c r="AG14" s="117"/>
      <c r="AH14" s="117" t="s">
        <v>728</v>
      </c>
      <c r="AI14" s="117"/>
      <c r="AJ14" s="117"/>
      <c r="AK14" s="117"/>
      <c r="AL14" s="117"/>
      <c r="AM14" s="117"/>
      <c r="AN14" s="117"/>
    </row>
    <row r="15" spans="1:40" ht="22.5">
      <c r="A15" s="52"/>
      <c r="B15" s="58"/>
      <c r="C15" s="71" t="s">
        <v>2090</v>
      </c>
      <c r="D15" s="71" t="s">
        <v>490</v>
      </c>
      <c r="E15" s="91" t="s">
        <v>729</v>
      </c>
      <c r="F15" s="92" t="s">
        <v>254</v>
      </c>
      <c r="G15" s="61"/>
      <c r="H15" s="107"/>
      <c r="I15" s="60" t="s">
        <v>730</v>
      </c>
      <c r="J15" s="60" t="s">
        <v>730</v>
      </c>
      <c r="K15" s="60"/>
      <c r="L15" s="123"/>
      <c r="M15" s="243"/>
      <c r="N15" s="111" cm="1">
        <f t="array" ref="N15">IF(AH15=TRUE,_xlfn.IFS(L15=1,2,L15="",IF(M15="",1,2)),0)</f>
        <v>0</v>
      </c>
      <c r="O15" s="69" t="s">
        <v>255</v>
      </c>
      <c r="P15" s="69" t="s">
        <v>183</v>
      </c>
      <c r="Q15" s="69" t="s">
        <v>183</v>
      </c>
      <c r="R15" s="69" t="s">
        <v>183</v>
      </c>
      <c r="S15" s="118" t="s">
        <v>183</v>
      </c>
      <c r="T15" s="118"/>
      <c r="U15" s="118"/>
      <c r="V15" s="118"/>
      <c r="W15" s="118" t="s">
        <v>448</v>
      </c>
      <c r="X15" s="69"/>
      <c r="Y15" s="69"/>
      <c r="Z15" s="69"/>
      <c r="AA15" s="69"/>
      <c r="AB15" s="69"/>
      <c r="AC15" s="69"/>
      <c r="AD15" s="69" t="s">
        <v>183</v>
      </c>
      <c r="AE15" s="69" t="s">
        <v>183</v>
      </c>
      <c r="AF15" s="69" t="s">
        <v>255</v>
      </c>
      <c r="AG15" s="69"/>
      <c r="AH15" s="123" t="b">
        <f t="shared" ref="AH15:AH23" si="0">AND(OR(AND($O$5=TRUE,$O15&lt;&gt;""),AND($P$5=TRUE,$P15&lt;&gt;""),AND($Q$5=TRUE,$Q15&lt;&gt;"")),AND($R$5=TRUE,$R15&lt;&gt;""),OR(AND($S$5=TRUE,$S15&lt;&gt;""),AND($T$5=TRUE,$T15&lt;&gt;""),AND($U$5=TRUE,$U15&lt;&gt;""),AND($V$5=TRUE,$V15&lt;&gt;""),AND($W$5=TRUE,$W15&lt;&gt;""),AND($X$5=TRUE,$X15&lt;&gt;""),AND($Y$5=TRUE,$Y15&lt;&gt;""),AND($Z$5=TRUE,$Z15&lt;&gt;""),AND($AA$5=TRUE,$AA15&lt;&gt;""),AND($AB$5=TRUE,$AB15&lt;&gt;""),AND($AC$5=TRUE,$AC15&lt;&gt;"")),OR(AND($AD$5=TRUE,$AD15&lt;&gt;""),AND($AE$5=TRUE,$AE15&lt;&gt;""),AND($AF$5=TRUE,$AF15&lt;&gt;""),AND($AG$5=TRUE,$AG15&lt;&gt;"")))</f>
        <v>0</v>
      </c>
      <c r="AI15" s="123" t="s">
        <v>183</v>
      </c>
      <c r="AJ15" s="123"/>
      <c r="AK15" s="123"/>
      <c r="AL15" s="123"/>
      <c r="AM15" s="170" t="str">
        <f t="shared" ref="AM15:AM23" si="1">IF(AI15&lt;&gt;"","セキュリティ管理/","")&amp;IF(AJ15&lt;&gt;"","マルウェア/","")&amp;IF(AK15&lt;&gt;"","クラウド/","")&amp;IF(AL15&lt;&gt;"","別表1,2,3","")</f>
        <v>セキュリティ管理/</v>
      </c>
      <c r="AN15" s="123"/>
    </row>
    <row r="16" spans="1:40" ht="67.5">
      <c r="A16" s="52"/>
      <c r="B16" s="58"/>
      <c r="C16" s="71" t="s">
        <v>733</v>
      </c>
      <c r="D16" s="71" t="s">
        <v>494</v>
      </c>
      <c r="E16" s="91" t="s">
        <v>731</v>
      </c>
      <c r="F16" s="92" t="s">
        <v>254</v>
      </c>
      <c r="G16" s="61"/>
      <c r="H16" s="107"/>
      <c r="I16" s="60"/>
      <c r="J16" s="60"/>
      <c r="K16" s="60"/>
      <c r="L16" s="123"/>
      <c r="M16" s="243"/>
      <c r="N16" s="111" cm="1">
        <f t="array" ref="N16">IF(AH16=TRUE,_xlfn.IFS(L16=1,2,L16="",IF(M16="",1,2)),0)</f>
        <v>0</v>
      </c>
      <c r="O16" s="69" t="s">
        <v>255</v>
      </c>
      <c r="P16" s="69" t="s">
        <v>183</v>
      </c>
      <c r="Q16" s="69" t="s">
        <v>183</v>
      </c>
      <c r="R16" s="69" t="s">
        <v>183</v>
      </c>
      <c r="S16" s="118" t="s">
        <v>732</v>
      </c>
      <c r="T16" s="118"/>
      <c r="U16" s="118"/>
      <c r="V16" s="118"/>
      <c r="W16" s="118" t="s">
        <v>448</v>
      </c>
      <c r="X16" s="69"/>
      <c r="Y16" s="69"/>
      <c r="Z16" s="69"/>
      <c r="AA16" s="118"/>
      <c r="AB16" s="118"/>
      <c r="AC16" s="118"/>
      <c r="AD16" s="69" t="s">
        <v>183</v>
      </c>
      <c r="AE16" s="69" t="s">
        <v>183</v>
      </c>
      <c r="AF16" s="69"/>
      <c r="AG16" s="69"/>
      <c r="AH16" s="123" t="b">
        <f t="shared" si="0"/>
        <v>0</v>
      </c>
      <c r="AI16" s="123"/>
      <c r="AJ16" s="123"/>
      <c r="AK16" s="123"/>
      <c r="AL16" s="123"/>
      <c r="AM16" s="170" t="str">
        <f t="shared" si="1"/>
        <v/>
      </c>
      <c r="AN16" s="123"/>
    </row>
    <row r="17" spans="1:40" ht="67.5">
      <c r="A17" s="52"/>
      <c r="B17" s="58"/>
      <c r="C17" s="71" t="s">
        <v>735</v>
      </c>
      <c r="D17" s="71" t="s">
        <v>498</v>
      </c>
      <c r="E17" s="91" t="s">
        <v>734</v>
      </c>
      <c r="F17" s="92" t="s">
        <v>254</v>
      </c>
      <c r="G17" s="61"/>
      <c r="H17" s="107"/>
      <c r="I17" s="60"/>
      <c r="J17" s="60"/>
      <c r="K17" s="60"/>
      <c r="L17" s="123"/>
      <c r="M17" s="243"/>
      <c r="N17" s="111" cm="1">
        <f t="array" ref="N17">IF(AH17=TRUE,_xlfn.IFS(L17=1,2,L17="",IF(M17="",1,2)),0)</f>
        <v>0</v>
      </c>
      <c r="O17" s="69" t="s">
        <v>255</v>
      </c>
      <c r="P17" s="69" t="s">
        <v>183</v>
      </c>
      <c r="Q17" s="69" t="s">
        <v>183</v>
      </c>
      <c r="R17" s="69" t="s">
        <v>183</v>
      </c>
      <c r="S17" s="118" t="s">
        <v>183</v>
      </c>
      <c r="T17" s="118"/>
      <c r="U17" s="118"/>
      <c r="V17" s="118"/>
      <c r="W17" s="118" t="s">
        <v>448</v>
      </c>
      <c r="X17" s="69"/>
      <c r="Y17" s="69"/>
      <c r="Z17" s="69"/>
      <c r="AA17" s="118"/>
      <c r="AB17" s="118"/>
      <c r="AC17" s="118"/>
      <c r="AD17" s="69" t="s">
        <v>183</v>
      </c>
      <c r="AE17" s="69" t="s">
        <v>183</v>
      </c>
      <c r="AF17" s="69"/>
      <c r="AG17" s="69"/>
      <c r="AH17" s="123" t="b">
        <f t="shared" si="0"/>
        <v>0</v>
      </c>
      <c r="AI17" s="123"/>
      <c r="AJ17" s="123"/>
      <c r="AK17" s="123"/>
      <c r="AL17" s="123"/>
      <c r="AM17" s="170" t="str">
        <f t="shared" si="1"/>
        <v/>
      </c>
      <c r="AN17" s="123"/>
    </row>
    <row r="18" spans="1:40" ht="409.5">
      <c r="A18" s="52"/>
      <c r="B18" s="58"/>
      <c r="C18" s="71" t="s">
        <v>736</v>
      </c>
      <c r="D18" s="71" t="s">
        <v>501</v>
      </c>
      <c r="E18" s="91" t="s">
        <v>2282</v>
      </c>
      <c r="F18" s="92" t="s">
        <v>254</v>
      </c>
      <c r="G18" s="61"/>
      <c r="H18" s="107"/>
      <c r="I18" s="60"/>
      <c r="J18" s="60"/>
      <c r="K18" s="60"/>
      <c r="L18" s="123"/>
      <c r="M18" s="243"/>
      <c r="N18" s="111" cm="1">
        <f t="array" ref="N18">IF(AH18=TRUE,_xlfn.IFS(L18=1,2,L18="",IF(M18="",1,2)),0)</f>
        <v>0</v>
      </c>
      <c r="O18" s="69" t="s">
        <v>255</v>
      </c>
      <c r="P18" s="69" t="s">
        <v>183</v>
      </c>
      <c r="Q18" s="69" t="s">
        <v>183</v>
      </c>
      <c r="R18" s="69" t="s">
        <v>183</v>
      </c>
      <c r="S18" s="118" t="s">
        <v>183</v>
      </c>
      <c r="T18" s="118"/>
      <c r="U18" s="118"/>
      <c r="V18" s="118"/>
      <c r="W18" s="118" t="s">
        <v>448</v>
      </c>
      <c r="X18" s="69"/>
      <c r="Y18" s="69"/>
      <c r="Z18" s="69"/>
      <c r="AA18" s="118"/>
      <c r="AB18" s="118"/>
      <c r="AC18" s="118"/>
      <c r="AD18" s="69" t="s">
        <v>183</v>
      </c>
      <c r="AE18" s="69" t="s">
        <v>183</v>
      </c>
      <c r="AF18" s="69" t="s">
        <v>255</v>
      </c>
      <c r="AG18" s="69"/>
      <c r="AH18" s="123" t="b">
        <f t="shared" si="0"/>
        <v>0</v>
      </c>
      <c r="AI18" s="123" t="s">
        <v>183</v>
      </c>
      <c r="AJ18" s="123"/>
      <c r="AK18" s="123"/>
      <c r="AL18" s="123" t="s">
        <v>183</v>
      </c>
      <c r="AM18" s="170" t="str">
        <f t="shared" si="1"/>
        <v>セキュリティ管理/別表1,2,3</v>
      </c>
      <c r="AN18" s="124" t="s">
        <v>2255</v>
      </c>
    </row>
    <row r="19" spans="1:40" ht="202.5">
      <c r="A19" s="52"/>
      <c r="B19" s="58"/>
      <c r="C19" s="71" t="s">
        <v>738</v>
      </c>
      <c r="D19" s="71" t="s">
        <v>737</v>
      </c>
      <c r="E19" s="91" t="s">
        <v>2254</v>
      </c>
      <c r="F19" s="92" t="s">
        <v>254</v>
      </c>
      <c r="G19" s="61"/>
      <c r="H19" s="107"/>
      <c r="I19" s="60"/>
      <c r="J19" s="60"/>
      <c r="K19" s="60"/>
      <c r="L19" s="123"/>
      <c r="M19" s="243"/>
      <c r="N19" s="111" cm="1">
        <f t="array" ref="N19">IF(AH19=TRUE,_xlfn.IFS(L19=1,2,L19="",IF(M19="",1,2)),0)</f>
        <v>0</v>
      </c>
      <c r="O19" s="69" t="s">
        <v>255</v>
      </c>
      <c r="P19" s="69" t="s">
        <v>183</v>
      </c>
      <c r="Q19" s="69" t="s">
        <v>183</v>
      </c>
      <c r="R19" s="69" t="s">
        <v>183</v>
      </c>
      <c r="S19" s="118" t="s">
        <v>183</v>
      </c>
      <c r="T19" s="118"/>
      <c r="U19" s="118"/>
      <c r="V19" s="118"/>
      <c r="W19" s="118" t="s">
        <v>448</v>
      </c>
      <c r="X19" s="69"/>
      <c r="Y19" s="69"/>
      <c r="Z19" s="69"/>
      <c r="AA19" s="118"/>
      <c r="AB19" s="118"/>
      <c r="AC19" s="118"/>
      <c r="AD19" s="69" t="s">
        <v>183</v>
      </c>
      <c r="AE19" s="69" t="s">
        <v>183</v>
      </c>
      <c r="AF19" s="69" t="s">
        <v>255</v>
      </c>
      <c r="AG19" s="69"/>
      <c r="AH19" s="123" t="b">
        <f t="shared" si="0"/>
        <v>0</v>
      </c>
      <c r="AI19" s="123"/>
      <c r="AJ19" s="123" t="s">
        <v>183</v>
      </c>
      <c r="AK19" s="123"/>
      <c r="AL19" s="123"/>
      <c r="AM19" s="170" t="str">
        <f t="shared" si="1"/>
        <v>マルウェア/</v>
      </c>
      <c r="AN19" s="124" t="s">
        <v>2255</v>
      </c>
    </row>
    <row r="20" spans="1:40" ht="135">
      <c r="A20" s="52"/>
      <c r="B20" s="58"/>
      <c r="C20" s="71" t="s">
        <v>739</v>
      </c>
      <c r="D20" s="71" t="s">
        <v>509</v>
      </c>
      <c r="E20" s="91" t="s">
        <v>2057</v>
      </c>
      <c r="F20" s="92" t="s">
        <v>254</v>
      </c>
      <c r="G20" s="61"/>
      <c r="H20" s="107"/>
      <c r="I20" s="60"/>
      <c r="J20" s="60"/>
      <c r="K20" s="60"/>
      <c r="L20" s="123"/>
      <c r="M20" s="243"/>
      <c r="N20" s="111" cm="1">
        <f t="array" ref="N20">IF(AH20=TRUE,_xlfn.IFS(L20=1,2,L20="",IF(M20="",1,2)),0)</f>
        <v>0</v>
      </c>
      <c r="O20" s="69" t="s">
        <v>255</v>
      </c>
      <c r="P20" s="69" t="s">
        <v>183</v>
      </c>
      <c r="Q20" s="69" t="s">
        <v>183</v>
      </c>
      <c r="R20" s="69" t="s">
        <v>183</v>
      </c>
      <c r="S20" s="118" t="s">
        <v>183</v>
      </c>
      <c r="T20" s="118"/>
      <c r="U20" s="118"/>
      <c r="V20" s="118"/>
      <c r="W20" s="118" t="s">
        <v>448</v>
      </c>
      <c r="X20" s="69"/>
      <c r="Y20" s="69"/>
      <c r="Z20" s="69"/>
      <c r="AA20" s="118"/>
      <c r="AB20" s="118"/>
      <c r="AC20" s="118"/>
      <c r="AD20" s="69" t="s">
        <v>183</v>
      </c>
      <c r="AE20" s="69" t="s">
        <v>183</v>
      </c>
      <c r="AF20" s="69"/>
      <c r="AG20" s="69"/>
      <c r="AH20" s="123" t="b">
        <f t="shared" si="0"/>
        <v>0</v>
      </c>
      <c r="AI20" s="123"/>
      <c r="AJ20" s="123"/>
      <c r="AK20" s="123"/>
      <c r="AL20" s="123"/>
      <c r="AM20" s="170" t="str">
        <f t="shared" si="1"/>
        <v/>
      </c>
      <c r="AN20" s="123" t="s">
        <v>2198</v>
      </c>
    </row>
    <row r="21" spans="1:40" ht="90">
      <c r="A21" s="52"/>
      <c r="B21" s="58"/>
      <c r="C21" s="71" t="s">
        <v>742</v>
      </c>
      <c r="D21" s="71" t="s">
        <v>740</v>
      </c>
      <c r="E21" s="91" t="s">
        <v>741</v>
      </c>
      <c r="F21" s="92" t="s">
        <v>254</v>
      </c>
      <c r="G21" s="61"/>
      <c r="H21" s="107"/>
      <c r="I21" s="60"/>
      <c r="J21" s="60"/>
      <c r="K21" s="60"/>
      <c r="L21" s="123"/>
      <c r="M21" s="243"/>
      <c r="N21" s="111" cm="1">
        <f t="array" ref="N21">IF(AH21=TRUE,_xlfn.IFS(L21=1,2,L21="",IF(M21="",1,2)),0)</f>
        <v>0</v>
      </c>
      <c r="O21" s="69" t="s">
        <v>255</v>
      </c>
      <c r="P21" s="69" t="s">
        <v>183</v>
      </c>
      <c r="Q21" s="69" t="s">
        <v>183</v>
      </c>
      <c r="R21" s="69" t="s">
        <v>183</v>
      </c>
      <c r="S21" s="118" t="s">
        <v>183</v>
      </c>
      <c r="T21" s="118"/>
      <c r="U21" s="118"/>
      <c r="V21" s="118"/>
      <c r="W21" s="118" t="s">
        <v>448</v>
      </c>
      <c r="X21" s="69"/>
      <c r="Y21" s="69"/>
      <c r="Z21" s="69"/>
      <c r="AA21" s="118"/>
      <c r="AB21" s="118"/>
      <c r="AC21" s="118"/>
      <c r="AD21" s="69" t="s">
        <v>183</v>
      </c>
      <c r="AE21" s="69" t="s">
        <v>183</v>
      </c>
      <c r="AF21" s="69"/>
      <c r="AG21" s="69"/>
      <c r="AH21" s="123" t="b">
        <f t="shared" si="0"/>
        <v>0</v>
      </c>
      <c r="AI21" s="123"/>
      <c r="AJ21" s="123"/>
      <c r="AK21" s="123"/>
      <c r="AL21" s="123"/>
      <c r="AM21" s="170" t="str">
        <f t="shared" si="1"/>
        <v/>
      </c>
      <c r="AN21" s="123"/>
    </row>
    <row r="22" spans="1:40" ht="22.5">
      <c r="A22" s="52"/>
      <c r="B22" s="58"/>
      <c r="C22" s="71" t="s">
        <v>745</v>
      </c>
      <c r="D22" s="71" t="s">
        <v>743</v>
      </c>
      <c r="E22" s="91" t="s">
        <v>744</v>
      </c>
      <c r="F22" s="60" t="s">
        <v>503</v>
      </c>
      <c r="G22" s="61"/>
      <c r="H22" s="107"/>
      <c r="I22" s="60"/>
      <c r="J22" s="60"/>
      <c r="K22" s="60"/>
      <c r="L22" s="123"/>
      <c r="M22" s="243"/>
      <c r="N22" s="111" cm="1">
        <f t="array" ref="N22">IF(AH22=TRUE,_xlfn.IFS(L22=1,2,L22="",IF(M22="",1,2)),0)</f>
        <v>0</v>
      </c>
      <c r="O22" s="69" t="s">
        <v>255</v>
      </c>
      <c r="P22" s="69" t="s">
        <v>183</v>
      </c>
      <c r="Q22" s="69" t="s">
        <v>183</v>
      </c>
      <c r="R22" s="69" t="s">
        <v>183</v>
      </c>
      <c r="S22" s="69" t="s">
        <v>183</v>
      </c>
      <c r="T22" s="69"/>
      <c r="U22" s="69"/>
      <c r="V22" s="69"/>
      <c r="W22" s="118"/>
      <c r="X22" s="69"/>
      <c r="Y22" s="69"/>
      <c r="Z22" s="69"/>
      <c r="AA22" s="118"/>
      <c r="AB22" s="118"/>
      <c r="AC22" s="118"/>
      <c r="AD22" s="69" t="s">
        <v>183</v>
      </c>
      <c r="AE22" s="69" t="s">
        <v>183</v>
      </c>
      <c r="AF22" s="69"/>
      <c r="AG22" s="69"/>
      <c r="AH22" s="123" t="b">
        <f t="shared" si="0"/>
        <v>0</v>
      </c>
      <c r="AI22" s="123"/>
      <c r="AJ22" s="123"/>
      <c r="AK22" s="123"/>
      <c r="AL22" s="123"/>
      <c r="AM22" s="170" t="str">
        <f t="shared" si="1"/>
        <v/>
      </c>
      <c r="AN22" s="123" t="s">
        <v>359</v>
      </c>
    </row>
    <row r="23" spans="1:40" ht="22.5">
      <c r="A23" s="52"/>
      <c r="B23" s="58"/>
      <c r="C23" s="71" t="s">
        <v>2091</v>
      </c>
      <c r="D23" s="71" t="s">
        <v>517</v>
      </c>
      <c r="E23" s="91" t="s">
        <v>746</v>
      </c>
      <c r="F23" s="60" t="s">
        <v>503</v>
      </c>
      <c r="G23" s="61"/>
      <c r="H23" s="107"/>
      <c r="I23" s="60"/>
      <c r="J23" s="60"/>
      <c r="K23" s="60"/>
      <c r="L23" s="123"/>
      <c r="M23" s="243"/>
      <c r="N23" s="111" cm="1">
        <f t="array" ref="N23">IF(AH23=TRUE,_xlfn.IFS(L23=1,2,L23="",IF(M23="",1,2)),0)</f>
        <v>0</v>
      </c>
      <c r="O23" s="69" t="s">
        <v>255</v>
      </c>
      <c r="P23" s="69" t="s">
        <v>183</v>
      </c>
      <c r="Q23" s="69" t="s">
        <v>183</v>
      </c>
      <c r="R23" s="69" t="s">
        <v>183</v>
      </c>
      <c r="S23" s="118" t="s">
        <v>183</v>
      </c>
      <c r="T23" s="118"/>
      <c r="U23" s="118"/>
      <c r="V23" s="118"/>
      <c r="W23" s="118" t="s">
        <v>448</v>
      </c>
      <c r="X23" s="69"/>
      <c r="Y23" s="69"/>
      <c r="Z23" s="69"/>
      <c r="AA23" s="118"/>
      <c r="AB23" s="118"/>
      <c r="AC23" s="118"/>
      <c r="AD23" s="69" t="s">
        <v>183</v>
      </c>
      <c r="AE23" s="69" t="s">
        <v>183</v>
      </c>
      <c r="AF23" s="69"/>
      <c r="AG23" s="69"/>
      <c r="AH23" s="123" t="b">
        <f t="shared" si="0"/>
        <v>0</v>
      </c>
      <c r="AI23" s="123"/>
      <c r="AJ23" s="123"/>
      <c r="AK23" s="123"/>
      <c r="AL23" s="123"/>
      <c r="AM23" s="170" t="str">
        <f t="shared" si="1"/>
        <v/>
      </c>
      <c r="AN23" s="123" t="s">
        <v>747</v>
      </c>
    </row>
    <row r="24" spans="1:40" ht="18.75" customHeight="1">
      <c r="A24" s="52"/>
      <c r="B24" s="58" t="s">
        <v>551</v>
      </c>
      <c r="C24" s="115"/>
      <c r="D24" s="115"/>
      <c r="E24" s="84"/>
      <c r="F24" s="59"/>
      <c r="G24" s="182"/>
      <c r="H24" s="183"/>
      <c r="I24" s="116"/>
      <c r="J24" s="116"/>
      <c r="K24" s="116"/>
      <c r="L24" s="117"/>
      <c r="M24" s="250"/>
      <c r="N24" s="250"/>
      <c r="O24" s="117"/>
      <c r="P24" s="117"/>
      <c r="Q24" s="117"/>
      <c r="R24" s="117"/>
      <c r="S24" s="117"/>
      <c r="T24" s="117"/>
      <c r="U24" s="117"/>
      <c r="V24" s="117"/>
      <c r="W24" s="117"/>
      <c r="X24" s="117"/>
      <c r="Y24" s="117"/>
      <c r="Z24" s="117"/>
      <c r="AA24" s="117"/>
      <c r="AB24" s="117"/>
      <c r="AC24" s="117"/>
      <c r="AD24" s="117"/>
      <c r="AE24" s="117"/>
      <c r="AF24" s="117"/>
      <c r="AG24" s="117"/>
      <c r="AH24" s="117" t="s">
        <v>728</v>
      </c>
      <c r="AI24" s="117"/>
      <c r="AJ24" s="117"/>
      <c r="AK24" s="117"/>
      <c r="AL24" s="117"/>
      <c r="AM24" s="117"/>
      <c r="AN24" s="117"/>
    </row>
    <row r="25" spans="1:40" ht="398.5" customHeight="1">
      <c r="A25" s="52"/>
      <c r="B25" s="58"/>
      <c r="C25" s="71" t="s">
        <v>750</v>
      </c>
      <c r="D25" s="71" t="s">
        <v>553</v>
      </c>
      <c r="E25" s="91" t="s">
        <v>748</v>
      </c>
      <c r="F25" s="92" t="s">
        <v>254</v>
      </c>
      <c r="G25" s="61"/>
      <c r="H25" s="107"/>
      <c r="I25" s="60" t="s">
        <v>730</v>
      </c>
      <c r="J25" s="60"/>
      <c r="K25" s="60"/>
      <c r="L25" s="123"/>
      <c r="M25" s="243"/>
      <c r="N25" s="111" cm="1">
        <f t="array" ref="N25">IF(AH25=TRUE,_xlfn.IFS(L25=1,2,L25="",IF(M25="",1,2)),0)</f>
        <v>0</v>
      </c>
      <c r="O25" s="69" t="s">
        <v>255</v>
      </c>
      <c r="P25" s="69" t="s">
        <v>183</v>
      </c>
      <c r="Q25" s="69" t="s">
        <v>183</v>
      </c>
      <c r="R25" s="69" t="s">
        <v>183</v>
      </c>
      <c r="S25" s="118" t="s">
        <v>183</v>
      </c>
      <c r="T25" s="118"/>
      <c r="U25" s="118"/>
      <c r="V25" s="118"/>
      <c r="W25" s="118" t="s">
        <v>448</v>
      </c>
      <c r="X25" s="69"/>
      <c r="Y25" s="69"/>
      <c r="Z25" s="69"/>
      <c r="AA25" s="118"/>
      <c r="AB25" s="118"/>
      <c r="AC25" s="118"/>
      <c r="AD25" s="69" t="s">
        <v>183</v>
      </c>
      <c r="AE25" s="69" t="s">
        <v>183</v>
      </c>
      <c r="AF25" s="69" t="s">
        <v>255</v>
      </c>
      <c r="AG25" s="69"/>
      <c r="AH25" s="123" t="b">
        <f>AND(OR(AND($O$5=TRUE,$O25&lt;&gt;""),AND($P$5=TRUE,$P25&lt;&gt;""),AND($Q$5=TRUE,$Q25&lt;&gt;"")),AND($R$5=TRUE,$R25&lt;&gt;""),OR(AND($S$5=TRUE,$S25&lt;&gt;""),AND($T$5=TRUE,$T25&lt;&gt;""),AND($U$5=TRUE,$U25&lt;&gt;""),AND($V$5=TRUE,$V25&lt;&gt;""),AND($W$5=TRUE,$W25&lt;&gt;""),AND($X$5=TRUE,$X25&lt;&gt;""),AND($Y$5=TRUE,$Y25&lt;&gt;""),AND($Z$5=TRUE,$Z25&lt;&gt;""),AND($AA$5=TRUE,$AA25&lt;&gt;""),AND($AB$5=TRUE,$AB25&lt;&gt;""),AND($AC$5=TRUE,$AC25&lt;&gt;"")),OR(AND($AD$5=TRUE,$AD25&lt;&gt;""),AND($AE$5=TRUE,$AE25&lt;&gt;""),AND($AF$5=TRUE,$AF25&lt;&gt;""),AND($AG$5=TRUE,$AG25&lt;&gt;"")))</f>
        <v>0</v>
      </c>
      <c r="AI25" s="123" t="s">
        <v>183</v>
      </c>
      <c r="AJ25" s="123"/>
      <c r="AK25" s="123"/>
      <c r="AL25" s="123"/>
      <c r="AM25" s="170" t="str">
        <f>IF(AI25&lt;&gt;"","セキュリティ管理/","")&amp;IF(AJ25&lt;&gt;"","マルウェア/","")&amp;IF(AK25&lt;&gt;"","クラウド/","")&amp;IF(AL25&lt;&gt;"","別表1,2,3","")</f>
        <v>セキュリティ管理/</v>
      </c>
      <c r="AN25" s="123"/>
    </row>
    <row r="26" spans="1:40" ht="22.5">
      <c r="A26" s="52"/>
      <c r="B26" s="58"/>
      <c r="C26" s="71" t="s">
        <v>2092</v>
      </c>
      <c r="D26" s="71" t="s">
        <v>556</v>
      </c>
      <c r="E26" s="91" t="s">
        <v>749</v>
      </c>
      <c r="F26" s="92" t="s">
        <v>254</v>
      </c>
      <c r="G26" s="61"/>
      <c r="H26" s="107"/>
      <c r="I26" s="60"/>
      <c r="J26" s="60"/>
      <c r="K26" s="60"/>
      <c r="L26" s="123"/>
      <c r="M26" s="243"/>
      <c r="N26" s="111" cm="1">
        <f t="array" ref="N26">IF(AH26=TRUE,_xlfn.IFS(L26=1,2,L26="",IF(M26="",1,2)),0)</f>
        <v>0</v>
      </c>
      <c r="O26" s="69" t="s">
        <v>255</v>
      </c>
      <c r="P26" s="69" t="s">
        <v>183</v>
      </c>
      <c r="Q26" s="69" t="s">
        <v>183</v>
      </c>
      <c r="R26" s="69" t="s">
        <v>183</v>
      </c>
      <c r="S26" s="118" t="s">
        <v>183</v>
      </c>
      <c r="T26" s="118"/>
      <c r="U26" s="118"/>
      <c r="V26" s="118"/>
      <c r="W26" s="118" t="s">
        <v>448</v>
      </c>
      <c r="X26" s="69"/>
      <c r="Y26" s="69"/>
      <c r="Z26" s="69"/>
      <c r="AA26" s="118"/>
      <c r="AB26" s="118"/>
      <c r="AC26" s="118"/>
      <c r="AD26" s="69" t="s">
        <v>183</v>
      </c>
      <c r="AE26" s="69" t="s">
        <v>183</v>
      </c>
      <c r="AF26" s="69"/>
      <c r="AG26" s="69"/>
      <c r="AH26" s="123" t="b">
        <f>AND(OR(AND($O$5=TRUE,$O26&lt;&gt;""),AND($P$5=TRUE,$P26&lt;&gt;""),AND($Q$5=TRUE,$Q26&lt;&gt;"")),AND($R$5=TRUE,$R26&lt;&gt;""),OR(AND($S$5=TRUE,$S26&lt;&gt;""),AND($T$5=TRUE,$T26&lt;&gt;""),AND($U$5=TRUE,$U26&lt;&gt;""),AND($V$5=TRUE,$V26&lt;&gt;""),AND($W$5=TRUE,$W26&lt;&gt;""),AND($X$5=TRUE,$X26&lt;&gt;""),AND($Y$5=TRUE,$Y26&lt;&gt;""),AND($Z$5=TRUE,$Z26&lt;&gt;""),AND($AA$5=TRUE,$AA26&lt;&gt;""),AND($AB$5=TRUE,$AB26&lt;&gt;""),AND($AC$5=TRUE,$AC26&lt;&gt;"")),OR(AND($AD$5=TRUE,$AD26&lt;&gt;""),AND($AE$5=TRUE,$AE26&lt;&gt;""),AND($AF$5=TRUE,$AF26&lt;&gt;""),AND($AG$5=TRUE,$AG26&lt;&gt;"")))</f>
        <v>0</v>
      </c>
      <c r="AI26" s="123"/>
      <c r="AJ26" s="123"/>
      <c r="AK26" s="123"/>
      <c r="AL26" s="123"/>
      <c r="AM26" s="170" t="str">
        <f>IF(AI26&lt;&gt;"","セキュリティ管理/","")&amp;IF(AJ26&lt;&gt;"","マルウェア/","")&amp;IF(AK26&lt;&gt;"","クラウド/","")&amp;IF(AL26&lt;&gt;"","別表1,2,3","")</f>
        <v/>
      </c>
      <c r="AN26" s="123"/>
    </row>
    <row r="27" spans="1:40" ht="45">
      <c r="A27" s="52"/>
      <c r="B27" s="58"/>
      <c r="C27" s="71" t="s">
        <v>752</v>
      </c>
      <c r="D27" s="71" t="s">
        <v>558</v>
      </c>
      <c r="E27" s="107" t="s">
        <v>751</v>
      </c>
      <c r="F27" s="60" t="s">
        <v>254</v>
      </c>
      <c r="G27" s="61"/>
      <c r="H27" s="107"/>
      <c r="I27" s="60"/>
      <c r="J27" s="60"/>
      <c r="K27" s="60"/>
      <c r="L27" s="123"/>
      <c r="M27" s="243"/>
      <c r="N27" s="111" cm="1">
        <f t="array" ref="N27">IF(AH27=TRUE,_xlfn.IFS(L27=1,2,L27="",IF(M27="",1,2)),0)</f>
        <v>0</v>
      </c>
      <c r="O27" s="69" t="s">
        <v>255</v>
      </c>
      <c r="P27" s="69" t="s">
        <v>183</v>
      </c>
      <c r="Q27" s="69" t="s">
        <v>183</v>
      </c>
      <c r="R27" s="69" t="s">
        <v>183</v>
      </c>
      <c r="S27" s="69" t="s">
        <v>183</v>
      </c>
      <c r="T27" s="69"/>
      <c r="U27" s="69"/>
      <c r="V27" s="69"/>
      <c r="W27" s="118" t="s">
        <v>448</v>
      </c>
      <c r="X27" s="69"/>
      <c r="Y27" s="69"/>
      <c r="Z27" s="69"/>
      <c r="AA27" s="118"/>
      <c r="AB27" s="118"/>
      <c r="AC27" s="118"/>
      <c r="AD27" s="69" t="s">
        <v>183</v>
      </c>
      <c r="AE27" s="69" t="s">
        <v>183</v>
      </c>
      <c r="AF27" s="69"/>
      <c r="AG27" s="69"/>
      <c r="AH27" s="123" t="b">
        <f>AND(OR(AND($O$5=TRUE,$O27&lt;&gt;""),AND($P$5=TRUE,$P27&lt;&gt;""),AND($Q$5=TRUE,$Q27&lt;&gt;"")),AND($R$5=TRUE,$R27&lt;&gt;""),OR(AND($S$5=TRUE,$S27&lt;&gt;""),AND($T$5=TRUE,$T27&lt;&gt;""),AND($U$5=TRUE,$U27&lt;&gt;""),AND($V$5=TRUE,$V27&lt;&gt;""),AND($W$5=TRUE,$W27&lt;&gt;""),AND($X$5=TRUE,$X27&lt;&gt;""),AND($Y$5=TRUE,$Y27&lt;&gt;""),AND($Z$5=TRUE,$Z27&lt;&gt;""),AND($AA$5=TRUE,$AA27&lt;&gt;""),AND($AB$5=TRUE,$AB27&lt;&gt;""),AND($AC$5=TRUE,$AC27&lt;&gt;"")),OR(AND($AD$5=TRUE,$AD27&lt;&gt;""),AND($AE$5=TRUE,$AE27&lt;&gt;""),AND($AF$5=TRUE,$AF27&lt;&gt;""),AND($AG$5=TRUE,$AG27&lt;&gt;"")))</f>
        <v>0</v>
      </c>
      <c r="AI27" s="123"/>
      <c r="AJ27" s="123"/>
      <c r="AK27" s="123"/>
      <c r="AL27" s="123"/>
      <c r="AM27" s="170" t="str">
        <f>IF(AI27&lt;&gt;"","セキュリティ管理/","")&amp;IF(AJ27&lt;&gt;"","マルウェア/","")&amp;IF(AK27&lt;&gt;"","クラウド/","")&amp;IF(AL27&lt;&gt;"","別表1,2,3","")</f>
        <v/>
      </c>
      <c r="AN27" s="123"/>
    </row>
    <row r="28" spans="1:40" ht="18.75" customHeight="1">
      <c r="A28" s="52" t="s">
        <v>559</v>
      </c>
      <c r="B28" s="52"/>
      <c r="C28" s="113"/>
      <c r="D28" s="113"/>
      <c r="E28" s="77"/>
      <c r="F28" s="56"/>
      <c r="G28" s="56"/>
      <c r="H28" s="77"/>
      <c r="I28" s="56"/>
      <c r="J28" s="56"/>
      <c r="K28" s="56"/>
      <c r="L28" s="114"/>
      <c r="M28" s="249"/>
      <c r="N28" s="249"/>
      <c r="O28" s="114"/>
      <c r="P28" s="114"/>
      <c r="Q28" s="114"/>
      <c r="R28" s="114"/>
      <c r="S28" s="114"/>
      <c r="T28" s="114"/>
      <c r="U28" s="114"/>
      <c r="V28" s="114"/>
      <c r="W28" s="114"/>
      <c r="X28" s="114"/>
      <c r="Y28" s="114"/>
      <c r="Z28" s="114"/>
      <c r="AA28" s="114"/>
      <c r="AB28" s="114"/>
      <c r="AC28" s="114"/>
      <c r="AD28" s="114"/>
      <c r="AE28" s="114"/>
      <c r="AF28" s="114"/>
      <c r="AG28" s="114"/>
      <c r="AH28" s="114" t="s">
        <v>728</v>
      </c>
      <c r="AI28" s="114"/>
      <c r="AJ28" s="114"/>
      <c r="AK28" s="114"/>
      <c r="AL28" s="114"/>
      <c r="AM28" s="114"/>
      <c r="AN28" s="114"/>
    </row>
    <row r="29" spans="1:40" ht="18.75" customHeight="1">
      <c r="A29" s="52"/>
      <c r="B29" s="58"/>
      <c r="C29" s="58"/>
      <c r="D29" s="58"/>
      <c r="E29" s="115"/>
      <c r="F29" s="58"/>
      <c r="G29" s="59"/>
      <c r="H29" s="84"/>
      <c r="I29" s="58"/>
      <c r="J29" s="58"/>
      <c r="K29" s="58"/>
      <c r="L29" s="122"/>
      <c r="M29" s="244"/>
      <c r="N29" s="244"/>
      <c r="O29" s="122"/>
      <c r="P29" s="122"/>
      <c r="Q29" s="122"/>
      <c r="R29" s="122"/>
      <c r="S29" s="122"/>
      <c r="T29" s="122"/>
      <c r="U29" s="122"/>
      <c r="V29" s="122"/>
      <c r="W29" s="122"/>
      <c r="X29" s="122"/>
      <c r="Y29" s="122"/>
      <c r="Z29" s="122"/>
      <c r="AA29" s="122"/>
      <c r="AB29" s="122"/>
      <c r="AC29" s="122"/>
      <c r="AD29" s="122"/>
      <c r="AE29" s="122"/>
      <c r="AF29" s="122"/>
      <c r="AG29" s="122"/>
      <c r="AH29" s="122" t="s">
        <v>728</v>
      </c>
      <c r="AI29" s="122"/>
      <c r="AJ29" s="122"/>
      <c r="AK29" s="122"/>
      <c r="AL29" s="122"/>
      <c r="AM29" s="122"/>
      <c r="AN29" s="122"/>
    </row>
    <row r="30" spans="1:40" ht="270">
      <c r="A30" s="52"/>
      <c r="B30" s="58"/>
      <c r="C30" s="71" t="s">
        <v>755</v>
      </c>
      <c r="D30" s="71" t="s">
        <v>270</v>
      </c>
      <c r="E30" s="132" t="s">
        <v>2221</v>
      </c>
      <c r="F30" s="92" t="s">
        <v>361</v>
      </c>
      <c r="G30" s="61"/>
      <c r="H30" s="107"/>
      <c r="I30" s="60"/>
      <c r="J30" s="60"/>
      <c r="K30" s="60"/>
      <c r="L30" s="123"/>
      <c r="M30" s="243"/>
      <c r="N30" s="111" cm="1">
        <f t="array" ref="N30">IF(AH30=TRUE,_xlfn.IFS(L30=1,2,L30="",IF(M30="",1,2)),0)</f>
        <v>0</v>
      </c>
      <c r="O30" s="69" t="s">
        <v>255</v>
      </c>
      <c r="P30" s="69" t="s">
        <v>183</v>
      </c>
      <c r="Q30" s="69" t="s">
        <v>183</v>
      </c>
      <c r="R30" s="69" t="s">
        <v>183</v>
      </c>
      <c r="S30" s="118" t="s">
        <v>183</v>
      </c>
      <c r="T30" s="118"/>
      <c r="U30" s="118"/>
      <c r="V30" s="118"/>
      <c r="W30" s="118" t="s">
        <v>448</v>
      </c>
      <c r="X30" s="69"/>
      <c r="Y30" s="69"/>
      <c r="Z30" s="69"/>
      <c r="AA30" s="118"/>
      <c r="AB30" s="118" t="s">
        <v>183</v>
      </c>
      <c r="AC30" s="118"/>
      <c r="AD30" s="69" t="s">
        <v>183</v>
      </c>
      <c r="AE30" s="69" t="s">
        <v>183</v>
      </c>
      <c r="AF30" s="69" t="s">
        <v>255</v>
      </c>
      <c r="AG30" s="69"/>
      <c r="AH30" s="123" t="b">
        <f>AND(OR(AND($O$5=TRUE,$O30&lt;&gt;""),AND($P$5=TRUE,$P30&lt;&gt;""),AND($Q$5=TRUE,$Q30&lt;&gt;"")),AND($R$5=TRUE,$R30&lt;&gt;""),OR(AND($S$5=TRUE,$S30&lt;&gt;""),AND($T$5=TRUE,$T30&lt;&gt;""),AND($U$5=TRUE,$U30&lt;&gt;""),AND($V$5=TRUE,$V30&lt;&gt;""),AND($W$5=TRUE,$W30&lt;&gt;""),AND($X$5=TRUE,$X30&lt;&gt;""),AND($Y$5=TRUE,$Y30&lt;&gt;""),AND($Z$5=TRUE,$Z30&lt;&gt;""),AND($AA$5=TRUE,$AA30&lt;&gt;""),AND($AB$5=TRUE,$AB30&lt;&gt;""),AND($AC$5=TRUE,$AC30&lt;&gt;"")),OR(AND($AD$5=TRUE,$AD30&lt;&gt;""),AND($AE$5=TRUE,$AE30&lt;&gt;""),AND($AF$5=TRUE,$AF30&lt;&gt;""),AND($AG$5=TRUE,$AG30&lt;&gt;"")))</f>
        <v>0</v>
      </c>
      <c r="AI30" s="123"/>
      <c r="AJ30" s="123"/>
      <c r="AK30" s="123"/>
      <c r="AL30" s="123"/>
      <c r="AM30" s="170" t="str">
        <f>IF(AI30&lt;&gt;"","セキュリティ管理/","")&amp;IF(AJ30&lt;&gt;"","マルウェア/","")&amp;IF(AK30&lt;&gt;"","クラウド/","")&amp;IF(AL30&lt;&gt;"","別表1,2,3","")</f>
        <v/>
      </c>
      <c r="AN30" s="124" t="s">
        <v>2208</v>
      </c>
    </row>
    <row r="31" spans="1:40" ht="112.5">
      <c r="A31" s="52"/>
      <c r="B31" s="58"/>
      <c r="C31" s="71" t="s">
        <v>757</v>
      </c>
      <c r="D31" s="71" t="s">
        <v>562</v>
      </c>
      <c r="E31" s="91" t="s">
        <v>753</v>
      </c>
      <c r="F31" s="92" t="s">
        <v>254</v>
      </c>
      <c r="G31" s="61"/>
      <c r="H31" s="107"/>
      <c r="I31" s="60"/>
      <c r="J31" s="60"/>
      <c r="K31" s="60"/>
      <c r="L31" s="123"/>
      <c r="M31" s="243"/>
      <c r="N31" s="111" cm="1">
        <f t="array" ref="N31">IF(AH31=TRUE,_xlfn.IFS(L31=1,2,L31="",IF(M31="",1,2)),0)</f>
        <v>0</v>
      </c>
      <c r="O31" s="69" t="s">
        <v>255</v>
      </c>
      <c r="P31" s="69" t="s">
        <v>183</v>
      </c>
      <c r="Q31" s="69" t="s">
        <v>183</v>
      </c>
      <c r="R31" s="69" t="s">
        <v>183</v>
      </c>
      <c r="S31" s="118" t="s">
        <v>183</v>
      </c>
      <c r="T31" s="118"/>
      <c r="U31" s="118"/>
      <c r="V31" s="118"/>
      <c r="W31" s="118" t="s">
        <v>448</v>
      </c>
      <c r="X31" s="69"/>
      <c r="Y31" s="69"/>
      <c r="Z31" s="69"/>
      <c r="AA31" s="118"/>
      <c r="AB31" s="118"/>
      <c r="AC31" s="118"/>
      <c r="AD31" s="69" t="s">
        <v>183</v>
      </c>
      <c r="AE31" s="69" t="s">
        <v>183</v>
      </c>
      <c r="AF31" s="69"/>
      <c r="AG31" s="69"/>
      <c r="AH31" s="123" t="b">
        <f>AND(OR(AND($O$5=TRUE,$O31&lt;&gt;""),AND($P$5=TRUE,$P31&lt;&gt;""),AND($Q$5=TRUE,$Q31&lt;&gt;"")),AND($R$5=TRUE,$R31&lt;&gt;""),OR(AND($S$5=TRUE,$S31&lt;&gt;""),AND($T$5=TRUE,$T31&lt;&gt;""),AND($U$5=TRUE,$U31&lt;&gt;""),AND($V$5=TRUE,$V31&lt;&gt;""),AND($W$5=TRUE,$W31&lt;&gt;""),AND($X$5=TRUE,$X31&lt;&gt;""),AND($Y$5=TRUE,$Y31&lt;&gt;""),AND($Z$5=TRUE,$Z31&lt;&gt;""),AND($AA$5=TRUE,$AA31&lt;&gt;""),AND($AB$5=TRUE,$AB31&lt;&gt;""),AND($AC$5=TRUE,$AC31&lt;&gt;"")),OR(AND($AD$5=TRUE,$AD31&lt;&gt;""),AND($AE$5=TRUE,$AE31&lt;&gt;""),AND($AF$5=TRUE,$AF31&lt;&gt;""),AND($AG$5=TRUE,$AG31&lt;&gt;"")))</f>
        <v>0</v>
      </c>
      <c r="AI31" s="123"/>
      <c r="AJ31" s="123"/>
      <c r="AK31" s="123"/>
      <c r="AL31" s="123"/>
      <c r="AM31" s="170" t="str">
        <f>IF(AI31&lt;&gt;"","セキュリティ管理/","")&amp;IF(AJ31&lt;&gt;"","マルウェア/","")&amp;IF(AK31&lt;&gt;"","クラウド/","")&amp;IF(AL31&lt;&gt;"","別表1,2,3","")</f>
        <v/>
      </c>
      <c r="AN31" s="123" t="s">
        <v>504</v>
      </c>
    </row>
    <row r="32" spans="1:40" ht="45">
      <c r="A32" s="52"/>
      <c r="B32" s="58"/>
      <c r="C32" s="71" t="s">
        <v>2093</v>
      </c>
      <c r="D32" s="71" t="s">
        <v>565</v>
      </c>
      <c r="E32" s="91" t="s">
        <v>754</v>
      </c>
      <c r="F32" s="92" t="s">
        <v>254</v>
      </c>
      <c r="G32" s="61"/>
      <c r="H32" s="107"/>
      <c r="I32" s="60"/>
      <c r="J32" s="60"/>
      <c r="K32" s="60"/>
      <c r="L32" s="123"/>
      <c r="M32" s="243"/>
      <c r="N32" s="111" cm="1">
        <f t="array" ref="N32">IF(AH32=TRUE,_xlfn.IFS(L32=1,2,L32="",IF(M32="",1,2)),0)</f>
        <v>0</v>
      </c>
      <c r="O32" s="69" t="s">
        <v>255</v>
      </c>
      <c r="P32" s="69" t="s">
        <v>183</v>
      </c>
      <c r="Q32" s="69" t="s">
        <v>183</v>
      </c>
      <c r="R32" s="69" t="s">
        <v>183</v>
      </c>
      <c r="S32" s="118" t="s">
        <v>183</v>
      </c>
      <c r="T32" s="118"/>
      <c r="U32" s="118"/>
      <c r="V32" s="118"/>
      <c r="W32" s="118" t="s">
        <v>448</v>
      </c>
      <c r="X32" s="69"/>
      <c r="Y32" s="69"/>
      <c r="Z32" s="69"/>
      <c r="AA32" s="118"/>
      <c r="AB32" s="118"/>
      <c r="AC32" s="118"/>
      <c r="AD32" s="69" t="s">
        <v>183</v>
      </c>
      <c r="AE32" s="69" t="s">
        <v>183</v>
      </c>
      <c r="AF32" s="69"/>
      <c r="AG32" s="69"/>
      <c r="AH32" s="123" t="b">
        <f>AND(OR(AND($O$5=TRUE,$O32&lt;&gt;""),AND($P$5=TRUE,$P32&lt;&gt;""),AND($Q$5=TRUE,$Q32&lt;&gt;"")),AND($R$5=TRUE,$R32&lt;&gt;""),OR(AND($S$5=TRUE,$S32&lt;&gt;""),AND($T$5=TRUE,$T32&lt;&gt;""),AND($U$5=TRUE,$U32&lt;&gt;""),AND($V$5=TRUE,$V32&lt;&gt;""),AND($W$5=TRUE,$W32&lt;&gt;""),AND($X$5=TRUE,$X32&lt;&gt;""),AND($Y$5=TRUE,$Y32&lt;&gt;""),AND($Z$5=TRUE,$Z32&lt;&gt;""),AND($AA$5=TRUE,$AA32&lt;&gt;""),AND($AB$5=TRUE,$AB32&lt;&gt;""),AND($AC$5=TRUE,$AC32&lt;&gt;"")),OR(AND($AD$5=TRUE,$AD32&lt;&gt;""),AND($AE$5=TRUE,$AE32&lt;&gt;""),AND($AF$5=TRUE,$AF32&lt;&gt;""),AND($AG$5=TRUE,$AG32&lt;&gt;"")))</f>
        <v>0</v>
      </c>
      <c r="AI32" s="123"/>
      <c r="AJ32" s="123"/>
      <c r="AK32" s="123"/>
      <c r="AL32" s="123"/>
      <c r="AM32" s="170" t="str">
        <f>IF(AI32&lt;&gt;"","セキュリティ管理/","")&amp;IF(AJ32&lt;&gt;"","マルウェア/","")&amp;IF(AK32&lt;&gt;"","クラウド/","")&amp;IF(AL32&lt;&gt;"","別表1,2,3","")</f>
        <v/>
      </c>
      <c r="AN32" s="123"/>
    </row>
    <row r="33" spans="1:40" ht="360">
      <c r="A33" s="52"/>
      <c r="B33" s="58"/>
      <c r="C33" s="71" t="s">
        <v>763</v>
      </c>
      <c r="D33" s="71" t="s">
        <v>756</v>
      </c>
      <c r="E33" s="107" t="s">
        <v>2277</v>
      </c>
      <c r="F33" s="92" t="s">
        <v>254</v>
      </c>
      <c r="G33" s="61"/>
      <c r="H33" s="107"/>
      <c r="I33" s="123"/>
      <c r="J33" s="124"/>
      <c r="K33" s="124"/>
      <c r="L33" s="124"/>
      <c r="M33" s="243"/>
      <c r="N33" s="111" cm="1">
        <f t="array" ref="N33">IF(AH33=TRUE,_xlfn.IFS(L33=1,2,L33="",IF(M33="",1,2)),0)</f>
        <v>0</v>
      </c>
      <c r="O33" s="121" t="s">
        <v>255</v>
      </c>
      <c r="P33" s="69" t="s">
        <v>183</v>
      </c>
      <c r="Q33" s="69" t="s">
        <v>183</v>
      </c>
      <c r="R33" s="69" t="s">
        <v>183</v>
      </c>
      <c r="S33" s="69" t="s">
        <v>183</v>
      </c>
      <c r="T33" s="69"/>
      <c r="U33" s="69"/>
      <c r="V33" s="69"/>
      <c r="W33" s="118" t="s">
        <v>448</v>
      </c>
      <c r="X33" s="69"/>
      <c r="Y33" s="69"/>
      <c r="Z33" s="69"/>
      <c r="AA33" s="69"/>
      <c r="AB33" s="69"/>
      <c r="AC33" s="69"/>
      <c r="AD33" s="95"/>
      <c r="AE33" s="69" t="s">
        <v>183</v>
      </c>
      <c r="AF33" s="69"/>
      <c r="AG33" s="69"/>
      <c r="AH33" s="123" t="b">
        <f>AND(OR(AND($O$5=TRUE,$O33&lt;&gt;""),AND($P$5=TRUE,$P33&lt;&gt;""),AND($Q$5=TRUE,$Q33&lt;&gt;"")),AND($R$5=TRUE,$R33&lt;&gt;""),OR(AND($S$5=TRUE,$S33&lt;&gt;""),AND($T$5=TRUE,$T33&lt;&gt;""),AND($U$5=TRUE,$U33&lt;&gt;""),AND($V$5=TRUE,$V33&lt;&gt;""),AND($W$5=TRUE,$W33&lt;&gt;""),AND($X$5=TRUE,$X33&lt;&gt;""),AND($Y$5=TRUE,$Y33&lt;&gt;""),AND($Z$5=TRUE,$Z33&lt;&gt;""),AND($AA$5=TRUE,$AA33&lt;&gt;""),AND($AB$5=TRUE,$AB33&lt;&gt;""),AND($AC$5=TRUE,$AC33&lt;&gt;"")),OR(AND($AD$5=TRUE,$AD33&lt;&gt;""),AND($AE$5=TRUE,$AE33&lt;&gt;""),AND($AF$5=TRUE,$AF33&lt;&gt;""),AND($AG$5=TRUE,$AG33&lt;&gt;"")))</f>
        <v>0</v>
      </c>
      <c r="AI33" s="123"/>
      <c r="AJ33" s="123"/>
      <c r="AK33" s="123"/>
      <c r="AL33" s="123"/>
      <c r="AM33" s="170" t="str">
        <f>IF(AI33&lt;&gt;"","セキュリティ管理/","")&amp;IF(AJ33&lt;&gt;"","マルウェア/","")&amp;IF(AK33&lt;&gt;"","クラウド/","")&amp;IF(AL33&lt;&gt;"","別表1,2,3","")</f>
        <v/>
      </c>
      <c r="AN33" s="124" t="s">
        <v>2278</v>
      </c>
    </row>
    <row r="34" spans="1:40" ht="67.5">
      <c r="A34" s="52"/>
      <c r="B34" s="58"/>
      <c r="C34" s="71" t="s">
        <v>2271</v>
      </c>
      <c r="D34" s="71" t="s">
        <v>758</v>
      </c>
      <c r="E34" s="91" t="s">
        <v>759</v>
      </c>
      <c r="F34" s="92" t="s">
        <v>254</v>
      </c>
      <c r="G34" s="61"/>
      <c r="H34" s="107"/>
      <c r="I34" s="60"/>
      <c r="J34" s="60"/>
      <c r="K34" s="60"/>
      <c r="L34" s="123"/>
      <c r="M34" s="243"/>
      <c r="N34" s="111" cm="1">
        <f t="array" ref="N34">IF(AH34=TRUE,_xlfn.IFS(L34=1,2,L34="",IF(M34="",1,2)),0)</f>
        <v>0</v>
      </c>
      <c r="O34" s="69" t="s">
        <v>255</v>
      </c>
      <c r="P34" s="69" t="s">
        <v>183</v>
      </c>
      <c r="Q34" s="69" t="s">
        <v>183</v>
      </c>
      <c r="R34" s="69" t="s">
        <v>183</v>
      </c>
      <c r="S34" s="118" t="s">
        <v>183</v>
      </c>
      <c r="T34" s="118"/>
      <c r="U34" s="118"/>
      <c r="V34" s="118"/>
      <c r="W34" s="118" t="s">
        <v>448</v>
      </c>
      <c r="X34" s="69"/>
      <c r="Y34" s="69"/>
      <c r="Z34" s="69"/>
      <c r="AA34" s="118"/>
      <c r="AB34" s="118" t="s">
        <v>183</v>
      </c>
      <c r="AC34" s="118"/>
      <c r="AD34" s="69" t="s">
        <v>183</v>
      </c>
      <c r="AE34" s="69" t="s">
        <v>183</v>
      </c>
      <c r="AF34" s="69"/>
      <c r="AG34" s="69"/>
      <c r="AH34" s="123" t="b">
        <f>AND(OR(AND($O$5=TRUE,$O34&lt;&gt;""),AND($P$5=TRUE,$P34&lt;&gt;""),AND($Q$5=TRUE,$Q34&lt;&gt;"")),AND($R$5=TRUE,$R34&lt;&gt;""),OR(AND($S$5=TRUE,$S34&lt;&gt;""),AND($T$5=TRUE,$T34&lt;&gt;""),AND($U$5=TRUE,$U34&lt;&gt;""),AND($V$5=TRUE,$V34&lt;&gt;""),AND($W$5=TRUE,$W34&lt;&gt;""),AND($X$5=TRUE,$X34&lt;&gt;""),AND($Y$5=TRUE,$Y34&lt;&gt;""),AND($Z$5=TRUE,$Z34&lt;&gt;""),AND($AA$5=TRUE,$AA34&lt;&gt;""),AND($AB$5=TRUE,$AB34&lt;&gt;""),AND($AC$5=TRUE,$AC34&lt;&gt;"")),OR(AND($AD$5=TRUE,$AD34&lt;&gt;""),AND($AE$5=TRUE,$AE34&lt;&gt;""),AND($AF$5=TRUE,$AF34&lt;&gt;""),AND($AG$5=TRUE,$AG34&lt;&gt;"")))</f>
        <v>0</v>
      </c>
      <c r="AI34" s="123"/>
      <c r="AJ34" s="123"/>
      <c r="AK34" s="123"/>
      <c r="AL34" s="123"/>
      <c r="AM34" s="170" t="str">
        <f>IF(AI34&lt;&gt;"","セキュリティ管理/","")&amp;IF(AJ34&lt;&gt;"","マルウェア/","")&amp;IF(AK34&lt;&gt;"","クラウド/","")&amp;IF(AL34&lt;&gt;"","別表1,2,3","")</f>
        <v/>
      </c>
      <c r="AN34" s="123" t="s">
        <v>563</v>
      </c>
    </row>
    <row r="35" spans="1:40" ht="18.75" customHeight="1">
      <c r="A35" s="52" t="s">
        <v>760</v>
      </c>
      <c r="B35" s="52"/>
      <c r="C35" s="113"/>
      <c r="D35" s="113"/>
      <c r="E35" s="77"/>
      <c r="F35" s="56"/>
      <c r="G35" s="56"/>
      <c r="H35" s="77"/>
      <c r="I35" s="56"/>
      <c r="J35" s="56"/>
      <c r="K35" s="56"/>
      <c r="L35" s="114"/>
      <c r="M35" s="249"/>
      <c r="N35" s="249"/>
      <c r="O35" s="114"/>
      <c r="P35" s="114"/>
      <c r="Q35" s="114"/>
      <c r="R35" s="114"/>
      <c r="S35" s="114"/>
      <c r="T35" s="114"/>
      <c r="U35" s="114"/>
      <c r="V35" s="114"/>
      <c r="W35" s="114"/>
      <c r="X35" s="114"/>
      <c r="Y35" s="114"/>
      <c r="Z35" s="114"/>
      <c r="AA35" s="114"/>
      <c r="AB35" s="114"/>
      <c r="AC35" s="114"/>
      <c r="AD35" s="114"/>
      <c r="AE35" s="114"/>
      <c r="AF35" s="114"/>
      <c r="AG35" s="114"/>
      <c r="AH35" s="114" t="s">
        <v>728</v>
      </c>
      <c r="AI35" s="114"/>
      <c r="AJ35" s="114"/>
      <c r="AK35" s="114"/>
      <c r="AL35" s="114"/>
      <c r="AM35" s="114"/>
      <c r="AN35" s="114"/>
    </row>
    <row r="36" spans="1:40" ht="18.75" customHeight="1">
      <c r="A36" s="52"/>
      <c r="B36" s="58" t="s">
        <v>761</v>
      </c>
      <c r="C36" s="58"/>
      <c r="D36" s="58"/>
      <c r="E36" s="115"/>
      <c r="F36" s="58"/>
      <c r="G36" s="59"/>
      <c r="H36" s="84"/>
      <c r="I36" s="58"/>
      <c r="J36" s="58"/>
      <c r="K36" s="58"/>
      <c r="L36" s="122"/>
      <c r="M36" s="244"/>
      <c r="N36" s="244"/>
      <c r="O36" s="122"/>
      <c r="P36" s="122"/>
      <c r="Q36" s="122"/>
      <c r="R36" s="122"/>
      <c r="S36" s="122"/>
      <c r="T36" s="122"/>
      <c r="U36" s="122"/>
      <c r="V36" s="122"/>
      <c r="W36" s="122"/>
      <c r="X36" s="122"/>
      <c r="Y36" s="122"/>
      <c r="Z36" s="122"/>
      <c r="AA36" s="122"/>
      <c r="AB36" s="122"/>
      <c r="AC36" s="122"/>
      <c r="AD36" s="122"/>
      <c r="AE36" s="122"/>
      <c r="AF36" s="122"/>
      <c r="AG36" s="122"/>
      <c r="AH36" s="122" t="s">
        <v>728</v>
      </c>
      <c r="AI36" s="122"/>
      <c r="AJ36" s="122"/>
      <c r="AK36" s="122"/>
      <c r="AL36" s="122"/>
      <c r="AM36" s="122"/>
      <c r="AN36" s="122"/>
    </row>
    <row r="37" spans="1:40" ht="135">
      <c r="A37" s="52"/>
      <c r="B37" s="58"/>
      <c r="C37" s="71" t="s">
        <v>766</v>
      </c>
      <c r="D37" s="71" t="s">
        <v>274</v>
      </c>
      <c r="E37" s="91" t="s">
        <v>762</v>
      </c>
      <c r="F37" s="92" t="s">
        <v>254</v>
      </c>
      <c r="G37" s="61"/>
      <c r="H37" s="91"/>
      <c r="I37" s="60"/>
      <c r="J37" s="60"/>
      <c r="K37" s="60"/>
      <c r="L37" s="123"/>
      <c r="M37" s="243"/>
      <c r="N37" s="111" cm="1">
        <f t="array" ref="N37">IF(AH37=TRUE,_xlfn.IFS(L37=1,2,L37="",IF(M37="",1,2)),0)</f>
        <v>0</v>
      </c>
      <c r="O37" s="69" t="s">
        <v>255</v>
      </c>
      <c r="P37" s="69" t="s">
        <v>183</v>
      </c>
      <c r="Q37" s="69" t="s">
        <v>183</v>
      </c>
      <c r="R37" s="69" t="s">
        <v>183</v>
      </c>
      <c r="S37" s="118" t="s">
        <v>183</v>
      </c>
      <c r="T37" s="118"/>
      <c r="U37" s="118"/>
      <c r="V37" s="118"/>
      <c r="W37" s="118" t="s">
        <v>448</v>
      </c>
      <c r="X37" s="69"/>
      <c r="Y37" s="69"/>
      <c r="Z37" s="69"/>
      <c r="AA37" s="118"/>
      <c r="AB37" s="118"/>
      <c r="AC37" s="118"/>
      <c r="AD37" s="69" t="s">
        <v>183</v>
      </c>
      <c r="AE37" s="69" t="s">
        <v>183</v>
      </c>
      <c r="AF37" s="69"/>
      <c r="AG37" s="69"/>
      <c r="AH37" s="123" t="b">
        <f>AND(OR(AND($O$5=TRUE,$O37&lt;&gt;""),AND($P$5=TRUE,$P37&lt;&gt;""),AND($Q$5=TRUE,$Q37&lt;&gt;"")),AND($R$5=TRUE,$R37&lt;&gt;""),OR(AND($S$5=TRUE,$S37&lt;&gt;""),AND($T$5=TRUE,$T37&lt;&gt;""),AND($U$5=TRUE,$U37&lt;&gt;""),AND($V$5=TRUE,$V37&lt;&gt;""),AND($W$5=TRUE,$W37&lt;&gt;""),AND($X$5=TRUE,$X37&lt;&gt;""),AND($Y$5=TRUE,$Y37&lt;&gt;""),AND($Z$5=TRUE,$Z37&lt;&gt;""),AND($AA$5=TRUE,$AA37&lt;&gt;""),AND($AB$5=TRUE,$AB37&lt;&gt;""),AND($AC$5=TRUE,$AC37&lt;&gt;"")),OR(AND($AD$5=TRUE,$AD37&lt;&gt;""),AND($AE$5=TRUE,$AE37&lt;&gt;""),AND($AF$5=TRUE,$AF37&lt;&gt;""),AND($AG$5=TRUE,$AG37&lt;&gt;"")))</f>
        <v>0</v>
      </c>
      <c r="AI37" s="123"/>
      <c r="AJ37" s="123"/>
      <c r="AK37" s="123"/>
      <c r="AL37" s="123"/>
      <c r="AM37" s="170" t="str">
        <f>IF(AI37&lt;&gt;"","セキュリティ管理/","")&amp;IF(AJ37&lt;&gt;"","マルウェア/","")&amp;IF(AK37&lt;&gt;"","クラウド/","")&amp;IF(AL37&lt;&gt;"","別表1,2,3","")</f>
        <v/>
      </c>
      <c r="AN37" s="123" t="s">
        <v>547</v>
      </c>
    </row>
    <row r="38" spans="1:40" ht="337.5">
      <c r="A38" s="109"/>
      <c r="B38" s="101"/>
      <c r="C38" s="71" t="s">
        <v>769</v>
      </c>
      <c r="D38" s="71" t="s">
        <v>277</v>
      </c>
      <c r="E38" s="91" t="s">
        <v>764</v>
      </c>
      <c r="F38" s="60" t="s">
        <v>254</v>
      </c>
      <c r="G38" s="61"/>
      <c r="H38" s="107"/>
      <c r="I38" s="60"/>
      <c r="J38" s="60"/>
      <c r="K38" s="60"/>
      <c r="L38" s="123"/>
      <c r="M38" s="243"/>
      <c r="N38" s="111" cm="1">
        <f t="array" ref="N38">IF(AH38=TRUE,_xlfn.IFS(L38=1,2,L38="",IF(M38="",1,2)),0)</f>
        <v>0</v>
      </c>
      <c r="O38" s="69" t="s">
        <v>255</v>
      </c>
      <c r="P38" s="69" t="s">
        <v>183</v>
      </c>
      <c r="Q38" s="69" t="s">
        <v>183</v>
      </c>
      <c r="R38" s="69" t="s">
        <v>183</v>
      </c>
      <c r="S38" s="118" t="s">
        <v>183</v>
      </c>
      <c r="T38" s="118"/>
      <c r="U38" s="118"/>
      <c r="V38" s="118"/>
      <c r="W38" s="118" t="s">
        <v>448</v>
      </c>
      <c r="X38" s="69"/>
      <c r="Y38" s="69"/>
      <c r="Z38" s="69"/>
      <c r="AA38" s="118"/>
      <c r="AB38" s="118"/>
      <c r="AC38" s="118"/>
      <c r="AD38" s="69" t="s">
        <v>183</v>
      </c>
      <c r="AE38" s="69" t="s">
        <v>183</v>
      </c>
      <c r="AF38" s="69" t="s">
        <v>255</v>
      </c>
      <c r="AG38" s="69"/>
      <c r="AH38" s="123" t="b">
        <f>AND(OR(AND($O$5=TRUE,$O38&lt;&gt;""),AND($P$5=TRUE,$P38&lt;&gt;""),AND($Q$5=TRUE,$Q38&lt;&gt;"")),AND($R$5=TRUE,$R38&lt;&gt;""),OR(AND($S$5=TRUE,$S38&lt;&gt;""),AND($T$5=TRUE,$T38&lt;&gt;""),AND($U$5=TRUE,$U38&lt;&gt;""),AND($V$5=TRUE,$V38&lt;&gt;""),AND($W$5=TRUE,$W38&lt;&gt;""),AND($X$5=TRUE,$X38&lt;&gt;""),AND($Y$5=TRUE,$Y38&lt;&gt;""),AND($Z$5=TRUE,$Z38&lt;&gt;""),AND($AA$5=TRUE,$AA38&lt;&gt;""),AND($AB$5=TRUE,$AB38&lt;&gt;""),AND($AC$5=TRUE,$AC38&lt;&gt;"")),OR(AND($AD$5=TRUE,$AD38&lt;&gt;""),AND($AE$5=TRUE,$AE38&lt;&gt;""),AND($AF$5=TRUE,$AF38&lt;&gt;""),AND($AG$5=TRUE,$AG38&lt;&gt;"")))</f>
        <v>0</v>
      </c>
      <c r="AI38" s="123" t="s">
        <v>183</v>
      </c>
      <c r="AJ38" s="123" t="s">
        <v>183</v>
      </c>
      <c r="AK38" s="123"/>
      <c r="AL38" s="123" t="s">
        <v>183</v>
      </c>
      <c r="AM38" s="170" t="str">
        <f>IF(AI38&lt;&gt;"","セキュリティ管理/","")&amp;IF(AJ38&lt;&gt;"","マルウェア/","")&amp;IF(AK38&lt;&gt;"","クラウド/","")&amp;IF(AL38&lt;&gt;"","別表1,2,3","")</f>
        <v>セキュリティ管理/マルウェア/別表1,2,3</v>
      </c>
      <c r="AN38" s="123"/>
    </row>
    <row r="39" spans="1:40" ht="22.5">
      <c r="A39" s="52"/>
      <c r="B39" s="58"/>
      <c r="C39" s="71" t="s">
        <v>2094</v>
      </c>
      <c r="D39" s="71" t="s">
        <v>280</v>
      </c>
      <c r="E39" s="91" t="s">
        <v>765</v>
      </c>
      <c r="F39" s="92" t="s">
        <v>361</v>
      </c>
      <c r="G39" s="61"/>
      <c r="H39" s="107"/>
      <c r="I39" s="60"/>
      <c r="J39" s="60"/>
      <c r="K39" s="60"/>
      <c r="L39" s="123"/>
      <c r="M39" s="243"/>
      <c r="N39" s="111" cm="1">
        <f t="array" ref="N39">IF(AH39=TRUE,_xlfn.IFS(L39=1,2,L39="",IF(M39="",1,2)),0)</f>
        <v>0</v>
      </c>
      <c r="O39" s="69" t="s">
        <v>255</v>
      </c>
      <c r="P39" s="69" t="s">
        <v>183</v>
      </c>
      <c r="Q39" s="69" t="s">
        <v>183</v>
      </c>
      <c r="R39" s="69" t="s">
        <v>183</v>
      </c>
      <c r="S39" s="118" t="s">
        <v>183</v>
      </c>
      <c r="T39" s="118"/>
      <c r="U39" s="118"/>
      <c r="V39" s="118"/>
      <c r="W39" s="118" t="s">
        <v>448</v>
      </c>
      <c r="X39" s="69"/>
      <c r="Y39" s="69"/>
      <c r="Z39" s="69"/>
      <c r="AA39" s="118"/>
      <c r="AB39" s="118"/>
      <c r="AC39" s="118"/>
      <c r="AD39" s="69" t="s">
        <v>183</v>
      </c>
      <c r="AE39" s="69" t="s">
        <v>183</v>
      </c>
      <c r="AF39" s="69"/>
      <c r="AG39" s="69"/>
      <c r="AH39" s="123" t="b">
        <f>AND(OR(AND($O$5=TRUE,$O39&lt;&gt;""),AND($P$5=TRUE,$P39&lt;&gt;""),AND($Q$5=TRUE,$Q39&lt;&gt;"")),AND($R$5=TRUE,$R39&lt;&gt;""),OR(AND($S$5=TRUE,$S39&lt;&gt;""),AND($T$5=TRUE,$T39&lt;&gt;""),AND($U$5=TRUE,$U39&lt;&gt;""),AND($V$5=TRUE,$V39&lt;&gt;""),AND($W$5=TRUE,$W39&lt;&gt;""),AND($X$5=TRUE,$X39&lt;&gt;""),AND($Y$5=TRUE,$Y39&lt;&gt;""),AND($Z$5=TRUE,$Z39&lt;&gt;""),AND($AA$5=TRUE,$AA39&lt;&gt;""),AND($AB$5=TRUE,$AB39&lt;&gt;""),AND($AC$5=TRUE,$AC39&lt;&gt;"")),OR(AND($AD$5=TRUE,$AD39&lt;&gt;""),AND($AE$5=TRUE,$AE39&lt;&gt;""),AND($AF$5=TRUE,$AF39&lt;&gt;""),AND($AG$5=TRUE,$AG39&lt;&gt;"")))</f>
        <v>0</v>
      </c>
      <c r="AI39" s="123"/>
      <c r="AJ39" s="123"/>
      <c r="AK39" s="123"/>
      <c r="AL39" s="123"/>
      <c r="AM39" s="170" t="str">
        <f>IF(AI39&lt;&gt;"","セキュリティ管理/","")&amp;IF(AJ39&lt;&gt;"","マルウェア/","")&amp;IF(AK39&lt;&gt;"","クラウド/","")&amp;IF(AL39&lt;&gt;"","別表1,2,3","")</f>
        <v/>
      </c>
      <c r="AN39" s="123"/>
    </row>
    <row r="40" spans="1:40" ht="180">
      <c r="A40" s="52"/>
      <c r="B40" s="58"/>
      <c r="C40" s="71" t="s">
        <v>2095</v>
      </c>
      <c r="D40" s="71" t="s">
        <v>577</v>
      </c>
      <c r="E40" s="91" t="s">
        <v>767</v>
      </c>
      <c r="F40" s="92" t="s">
        <v>361</v>
      </c>
      <c r="G40" s="61"/>
      <c r="H40" s="107"/>
      <c r="I40" s="60"/>
      <c r="J40" s="60"/>
      <c r="K40" s="60"/>
      <c r="L40" s="123"/>
      <c r="M40" s="243"/>
      <c r="N40" s="111" cm="1">
        <f t="array" ref="N40">IF(AH40=TRUE,_xlfn.IFS(L40=1,2,L40="",IF(M40="",1,2)),0)</f>
        <v>0</v>
      </c>
      <c r="O40" s="69" t="s">
        <v>255</v>
      </c>
      <c r="P40" s="69" t="s">
        <v>183</v>
      </c>
      <c r="Q40" s="69" t="s">
        <v>183</v>
      </c>
      <c r="R40" s="69" t="s">
        <v>183</v>
      </c>
      <c r="S40"/>
      <c r="T40" s="118"/>
      <c r="U40" s="118"/>
      <c r="V40" s="118"/>
      <c r="W40" s="118" t="s">
        <v>448</v>
      </c>
      <c r="X40" s="69"/>
      <c r="Y40" s="69"/>
      <c r="Z40" s="69"/>
      <c r="AA40" s="118"/>
      <c r="AB40" s="118" t="s">
        <v>183</v>
      </c>
      <c r="AC40" s="118"/>
      <c r="AD40" s="69" t="s">
        <v>183</v>
      </c>
      <c r="AE40" s="69" t="s">
        <v>183</v>
      </c>
      <c r="AF40" s="69"/>
      <c r="AG40" s="69"/>
      <c r="AH40" s="123" t="b">
        <f>AND(OR(AND($O$5=TRUE,$O40&lt;&gt;""),AND($P$5=TRUE,$P40&lt;&gt;""),AND($Q$5=TRUE,$Q40&lt;&gt;"")),AND($R$5=TRUE,$R40&lt;&gt;""),OR(AND($S$5=TRUE,$S40&lt;&gt;""),AND($T$5=TRUE,$T40&lt;&gt;""),AND($U$5=TRUE,$U40&lt;&gt;""),AND($V$5=TRUE,$V40&lt;&gt;""),AND($W$5=TRUE,$W40&lt;&gt;""),AND($X$5=TRUE,$X40&lt;&gt;""),AND($Y$5=TRUE,$Y40&lt;&gt;""),AND($Z$5=TRUE,$Z40&lt;&gt;""),AND($AA$5=TRUE,$AA40&lt;&gt;""),AND($AB$5=TRUE,$AB40&lt;&gt;""),AND($AC$5=TRUE,$AC40&lt;&gt;"")),OR(AND($AD$5=TRUE,$AD40&lt;&gt;""),AND($AE$5=TRUE,$AE40&lt;&gt;""),AND($AF$5=TRUE,$AF40&lt;&gt;""),AND($AG$5=TRUE,$AG40&lt;&gt;"")))</f>
        <v>0</v>
      </c>
      <c r="AI40" s="123"/>
      <c r="AJ40" s="123"/>
      <c r="AK40" s="123"/>
      <c r="AL40" s="123"/>
      <c r="AM40" s="170" t="str">
        <f>IF(AI40&lt;&gt;"","セキュリティ管理/","")&amp;IF(AJ40&lt;&gt;"","マルウェア/","")&amp;IF(AK40&lt;&gt;"","クラウド/","")&amp;IF(AL40&lt;&gt;"","別表1,2,3","")</f>
        <v/>
      </c>
      <c r="AN40" s="123" t="s">
        <v>768</v>
      </c>
    </row>
    <row r="41" spans="1:40" ht="202.5">
      <c r="A41" s="52"/>
      <c r="B41" s="58"/>
      <c r="C41" s="71" t="s">
        <v>2096</v>
      </c>
      <c r="D41" s="71" t="s">
        <v>581</v>
      </c>
      <c r="E41" s="107" t="s">
        <v>770</v>
      </c>
      <c r="F41" s="92" t="s">
        <v>361</v>
      </c>
      <c r="G41" s="61"/>
      <c r="H41" s="107"/>
      <c r="I41" s="60"/>
      <c r="J41" s="60"/>
      <c r="K41" s="60"/>
      <c r="L41" s="123"/>
      <c r="M41" s="243"/>
      <c r="N41" s="111" cm="1">
        <f t="array" ref="N41">IF(AH41=TRUE,_xlfn.IFS(L41=1,2,L41="",IF(M41="",1,2)),0)</f>
        <v>0</v>
      </c>
      <c r="O41" s="69" t="s">
        <v>255</v>
      </c>
      <c r="P41" s="69" t="s">
        <v>183</v>
      </c>
      <c r="Q41" s="69" t="s">
        <v>183</v>
      </c>
      <c r="R41" s="69" t="s">
        <v>183</v>
      </c>
      <c r="S41" s="118"/>
      <c r="T41" s="118"/>
      <c r="U41" s="118"/>
      <c r="V41" s="118"/>
      <c r="W41" s="118" t="s">
        <v>448</v>
      </c>
      <c r="X41" s="69"/>
      <c r="Y41" s="69"/>
      <c r="Z41" s="69"/>
      <c r="AA41" s="118"/>
      <c r="AB41" s="118"/>
      <c r="AC41" s="118" t="s">
        <v>183</v>
      </c>
      <c r="AD41" s="69" t="s">
        <v>183</v>
      </c>
      <c r="AE41" s="69" t="s">
        <v>183</v>
      </c>
      <c r="AF41" s="69"/>
      <c r="AG41" s="69"/>
      <c r="AH41" s="123" t="b">
        <f>AND(OR(AND($O$5=TRUE,$O41&lt;&gt;""),AND($P$5=TRUE,$P41&lt;&gt;""),AND($Q$5=TRUE,$Q41&lt;&gt;"")),AND($R$5=TRUE,$R41&lt;&gt;""),OR(AND($S$5=TRUE,$S41&lt;&gt;""),AND($T$5=TRUE,$T41&lt;&gt;""),AND($U$5=TRUE,$U41&lt;&gt;""),AND($V$5=TRUE,$V41&lt;&gt;""),AND($W$5=TRUE,$W41&lt;&gt;""),AND($X$5=TRUE,$X41&lt;&gt;""),AND($Y$5=TRUE,$Y41&lt;&gt;""),AND($Z$5=TRUE,$Z41&lt;&gt;""),AND($AA$5=TRUE,$AA41&lt;&gt;""),AND($AB$5=TRUE,$AB41&lt;&gt;""),AND($AC$5=TRUE,$AC41&lt;&gt;"")),OR(AND($AD$5=TRUE,$AD41&lt;&gt;""),AND($AE$5=TRUE,$AE41&lt;&gt;""),AND($AF$5=TRUE,$AF41&lt;&gt;""),AND($AG$5=TRUE,$AG41&lt;&gt;"")))</f>
        <v>0</v>
      </c>
      <c r="AI41" s="123"/>
      <c r="AJ41" s="123"/>
      <c r="AK41" s="123"/>
      <c r="AL41" s="123"/>
      <c r="AM41" s="170" t="str">
        <f>IF(AI41&lt;&gt;"","セキュリティ管理/","")&amp;IF(AJ41&lt;&gt;"","マルウェア/","")&amp;IF(AK41&lt;&gt;"","クラウド/","")&amp;IF(AL41&lt;&gt;"","別表1,2,3","")</f>
        <v/>
      </c>
      <c r="AN41" s="123" t="s">
        <v>575</v>
      </c>
    </row>
    <row r="42" spans="1:40" ht="18.75" customHeight="1">
      <c r="A42" s="52"/>
      <c r="B42" s="58" t="s">
        <v>771</v>
      </c>
      <c r="C42" s="58"/>
      <c r="D42" s="58"/>
      <c r="E42" s="115"/>
      <c r="F42" s="58"/>
      <c r="G42" s="59"/>
      <c r="H42" s="84"/>
      <c r="I42" s="58"/>
      <c r="J42" s="58"/>
      <c r="K42" s="58"/>
      <c r="L42" s="122"/>
      <c r="M42" s="244"/>
      <c r="N42" s="244"/>
      <c r="O42" s="122"/>
      <c r="P42" s="122"/>
      <c r="Q42" s="122"/>
      <c r="R42" s="122"/>
      <c r="S42" s="122"/>
      <c r="T42" s="122"/>
      <c r="U42" s="122"/>
      <c r="V42" s="122"/>
      <c r="W42" s="122"/>
      <c r="X42" s="122"/>
      <c r="Y42" s="122"/>
      <c r="Z42" s="122"/>
      <c r="AA42" s="122"/>
      <c r="AB42" s="122"/>
      <c r="AC42" s="122"/>
      <c r="AD42" s="122"/>
      <c r="AE42" s="122"/>
      <c r="AF42" s="122"/>
      <c r="AG42" s="122"/>
      <c r="AH42" s="122" t="s">
        <v>728</v>
      </c>
      <c r="AI42" s="122"/>
      <c r="AJ42" s="122"/>
      <c r="AK42" s="122"/>
      <c r="AL42" s="122"/>
      <c r="AM42" s="122"/>
      <c r="AN42" s="122"/>
    </row>
    <row r="43" spans="1:40" ht="45">
      <c r="A43" s="52"/>
      <c r="B43" s="58"/>
      <c r="C43" s="71" t="s">
        <v>2097</v>
      </c>
      <c r="D43" s="71" t="s">
        <v>772</v>
      </c>
      <c r="E43" s="91" t="s">
        <v>2053</v>
      </c>
      <c r="F43" s="92" t="s">
        <v>254</v>
      </c>
      <c r="G43" s="61"/>
      <c r="H43" s="107"/>
      <c r="I43" s="60"/>
      <c r="J43" s="60"/>
      <c r="K43" s="60"/>
      <c r="L43" s="123"/>
      <c r="M43" s="243"/>
      <c r="N43" s="111" cm="1">
        <f t="array" ref="N43">IF(AH43=TRUE,_xlfn.IFS(L43=1,2,L43="",IF(M43="",1,2)),0)</f>
        <v>0</v>
      </c>
      <c r="O43" s="69" t="s">
        <v>255</v>
      </c>
      <c r="P43" s="69" t="s">
        <v>183</v>
      </c>
      <c r="Q43" s="69" t="s">
        <v>183</v>
      </c>
      <c r="R43" s="69" t="s">
        <v>183</v>
      </c>
      <c r="S43" s="118" t="s">
        <v>183</v>
      </c>
      <c r="T43" s="118"/>
      <c r="U43" s="118"/>
      <c r="V43" s="118"/>
      <c r="W43" s="118" t="s">
        <v>448</v>
      </c>
      <c r="X43" s="69"/>
      <c r="Y43" s="69"/>
      <c r="Z43" s="69"/>
      <c r="AA43" s="118"/>
      <c r="AB43" s="118"/>
      <c r="AC43" s="118"/>
      <c r="AD43" s="69" t="s">
        <v>183</v>
      </c>
      <c r="AE43" s="69" t="s">
        <v>183</v>
      </c>
      <c r="AF43" s="69"/>
      <c r="AG43" s="69"/>
      <c r="AH43" s="123" t="b">
        <f>AND(OR(AND($O$5=TRUE,$O43&lt;&gt;""),AND($P$5=TRUE,$P43&lt;&gt;""),AND($Q$5=TRUE,$Q43&lt;&gt;"")),AND($R$5=TRUE,$R43&lt;&gt;""),OR(AND($S$5=TRUE,$S43&lt;&gt;""),AND($T$5=TRUE,$T43&lt;&gt;""),AND($U$5=TRUE,$U43&lt;&gt;""),AND($V$5=TRUE,$V43&lt;&gt;""),AND($W$5=TRUE,$W43&lt;&gt;""),AND($X$5=TRUE,$X43&lt;&gt;""),AND($Y$5=TRUE,$Y43&lt;&gt;""),AND($Z$5=TRUE,$Z43&lt;&gt;""),AND($AA$5=TRUE,$AA43&lt;&gt;""),AND($AB$5=TRUE,$AB43&lt;&gt;""),AND($AC$5=TRUE,$AC43&lt;&gt;"")),OR(AND($AD$5=TRUE,$AD43&lt;&gt;""),AND($AE$5=TRUE,$AE43&lt;&gt;""),AND($AF$5=TRUE,$AF43&lt;&gt;""),AND($AG$5=TRUE,$AG43&lt;&gt;"")))</f>
        <v>0</v>
      </c>
      <c r="AI43" s="123"/>
      <c r="AJ43" s="123"/>
      <c r="AK43" s="123"/>
      <c r="AL43" s="123"/>
      <c r="AM43" s="170" t="str">
        <f>IF(AI43&lt;&gt;"","セキュリティ管理/","")&amp;IF(AJ43&lt;&gt;"","マルウェア/","")&amp;IF(AK43&lt;&gt;"","クラウド/","")&amp;IF(AL43&lt;&gt;"","別表1,2,3","")</f>
        <v/>
      </c>
      <c r="AN43" s="123" t="s">
        <v>2198</v>
      </c>
    </row>
    <row r="44" spans="1:40" ht="409.5">
      <c r="A44" s="52"/>
      <c r="B44" s="58"/>
      <c r="C44" s="71" t="s">
        <v>2098</v>
      </c>
      <c r="D44" s="71" t="s">
        <v>773</v>
      </c>
      <c r="E44" s="91" t="s">
        <v>774</v>
      </c>
      <c r="F44" s="92" t="s">
        <v>254</v>
      </c>
      <c r="G44" s="61"/>
      <c r="H44" s="107"/>
      <c r="I44" s="60"/>
      <c r="J44" s="60"/>
      <c r="K44" s="60"/>
      <c r="L44" s="123"/>
      <c r="M44" s="243"/>
      <c r="N44" s="111" cm="1">
        <f t="array" ref="N44">IF(AH44=TRUE,_xlfn.IFS(L44=1,2,L44="",IF(M44="",1,2)),0)</f>
        <v>0</v>
      </c>
      <c r="O44" s="69" t="s">
        <v>255</v>
      </c>
      <c r="P44" s="69" t="s">
        <v>183</v>
      </c>
      <c r="Q44" s="69" t="s">
        <v>183</v>
      </c>
      <c r="R44" s="69" t="s">
        <v>183</v>
      </c>
      <c r="S44" s="118" t="s">
        <v>183</v>
      </c>
      <c r="T44" s="118"/>
      <c r="U44" s="118"/>
      <c r="V44" s="118"/>
      <c r="W44" s="118" t="s">
        <v>448</v>
      </c>
      <c r="X44" s="69"/>
      <c r="Y44" s="69"/>
      <c r="Z44" s="69"/>
      <c r="AA44" s="118"/>
      <c r="AB44" s="118"/>
      <c r="AC44" s="118"/>
      <c r="AD44" s="69" t="s">
        <v>183</v>
      </c>
      <c r="AE44" s="69" t="s">
        <v>183</v>
      </c>
      <c r="AF44" s="69"/>
      <c r="AG44" s="69"/>
      <c r="AH44" s="123" t="b">
        <f>AND(OR(AND($O$5=TRUE,$O44&lt;&gt;""),AND($P$5=TRUE,$P44&lt;&gt;""),AND($Q$5=TRUE,$Q44&lt;&gt;"")),AND($R$5=TRUE,$R44&lt;&gt;""),OR(AND($S$5=TRUE,$S44&lt;&gt;""),AND($T$5=TRUE,$T44&lt;&gt;""),AND($U$5=TRUE,$U44&lt;&gt;""),AND($V$5=TRUE,$V44&lt;&gt;""),AND($W$5=TRUE,$W44&lt;&gt;""),AND($X$5=TRUE,$X44&lt;&gt;""),AND($Y$5=TRUE,$Y44&lt;&gt;""),AND($Z$5=TRUE,$Z44&lt;&gt;""),AND($AA$5=TRUE,$AA44&lt;&gt;""),AND($AB$5=TRUE,$AB44&lt;&gt;""),AND($AC$5=TRUE,$AC44&lt;&gt;"")),OR(AND($AD$5=TRUE,$AD44&lt;&gt;""),AND($AE$5=TRUE,$AE44&lt;&gt;""),AND($AF$5=TRUE,$AF44&lt;&gt;""),AND($AG$5=TRUE,$AG44&lt;&gt;"")))</f>
        <v>0</v>
      </c>
      <c r="AI44" s="123"/>
      <c r="AJ44" s="123"/>
      <c r="AK44" s="123"/>
      <c r="AL44" s="123"/>
      <c r="AM44" s="170" t="str">
        <f>IF(AI44&lt;&gt;"","セキュリティ管理/","")&amp;IF(AJ44&lt;&gt;"","マルウェア/","")&amp;IF(AK44&lt;&gt;"","クラウド/","")&amp;IF(AL44&lt;&gt;"","別表1,2,3","")</f>
        <v/>
      </c>
      <c r="AN44" s="123" t="s">
        <v>575</v>
      </c>
    </row>
    <row r="45" spans="1:40" ht="18.75" customHeight="1">
      <c r="A45" s="52"/>
      <c r="B45" s="58" t="s">
        <v>775</v>
      </c>
      <c r="C45" s="58"/>
      <c r="D45" s="58"/>
      <c r="E45" s="115"/>
      <c r="F45" s="58"/>
      <c r="G45" s="59"/>
      <c r="H45" s="84"/>
      <c r="I45" s="58"/>
      <c r="J45" s="58"/>
      <c r="K45" s="58"/>
      <c r="L45" s="122"/>
      <c r="M45" s="244"/>
      <c r="N45" s="244"/>
      <c r="O45" s="122"/>
      <c r="P45" s="122"/>
      <c r="Q45" s="122"/>
      <c r="R45" s="122"/>
      <c r="S45" s="122"/>
      <c r="T45" s="122"/>
      <c r="U45" s="122"/>
      <c r="V45" s="122"/>
      <c r="W45" s="122"/>
      <c r="X45" s="122"/>
      <c r="Y45" s="122"/>
      <c r="Z45" s="122"/>
      <c r="AA45" s="122"/>
      <c r="AB45" s="122"/>
      <c r="AC45" s="122"/>
      <c r="AD45" s="122"/>
      <c r="AE45" s="122"/>
      <c r="AF45" s="122"/>
      <c r="AG45" s="122"/>
      <c r="AH45" s="122" t="s">
        <v>728</v>
      </c>
      <c r="AI45" s="122"/>
      <c r="AJ45" s="122"/>
      <c r="AK45" s="122"/>
      <c r="AL45" s="122"/>
      <c r="AM45" s="122"/>
      <c r="AN45" s="122"/>
    </row>
    <row r="46" spans="1:40" ht="135">
      <c r="A46" s="52"/>
      <c r="B46" s="58"/>
      <c r="C46" s="71" t="s">
        <v>2099</v>
      </c>
      <c r="D46" s="71" t="s">
        <v>776</v>
      </c>
      <c r="E46" s="91" t="s">
        <v>777</v>
      </c>
      <c r="F46" s="92" t="s">
        <v>254</v>
      </c>
      <c r="G46" s="61"/>
      <c r="H46" s="107"/>
      <c r="I46" s="60"/>
      <c r="J46" s="60"/>
      <c r="K46" s="60"/>
      <c r="L46" s="123"/>
      <c r="M46" s="243"/>
      <c r="N46" s="111" cm="1">
        <f t="array" ref="N46">IF(AH46=TRUE,_xlfn.IFS(L46=1,2,L46="",IF(M46="",1,2)),0)</f>
        <v>0</v>
      </c>
      <c r="O46" s="69" t="s">
        <v>255</v>
      </c>
      <c r="P46" s="69" t="s">
        <v>183</v>
      </c>
      <c r="Q46" s="69" t="s">
        <v>183</v>
      </c>
      <c r="R46" s="69" t="s">
        <v>183</v>
      </c>
      <c r="S46" s="118" t="s">
        <v>183</v>
      </c>
      <c r="T46" s="118"/>
      <c r="U46" s="118"/>
      <c r="V46" s="118"/>
      <c r="W46" s="118" t="s">
        <v>448</v>
      </c>
      <c r="X46" s="69"/>
      <c r="Y46" s="69"/>
      <c r="Z46" s="69"/>
      <c r="AA46" s="118"/>
      <c r="AB46" s="118"/>
      <c r="AC46" s="118"/>
      <c r="AD46" s="69" t="s">
        <v>183</v>
      </c>
      <c r="AE46" s="69" t="s">
        <v>183</v>
      </c>
      <c r="AF46" s="69"/>
      <c r="AG46" s="69"/>
      <c r="AH46" s="123" t="b">
        <f>AND(OR(AND($O$5=TRUE,$O46&lt;&gt;""),AND($P$5=TRUE,$P46&lt;&gt;""),AND($Q$5=TRUE,$Q46&lt;&gt;"")),AND($R$5=TRUE,$R46&lt;&gt;""),OR(AND($S$5=TRUE,$S46&lt;&gt;""),AND($T$5=TRUE,$T46&lt;&gt;""),AND($U$5=TRUE,$U46&lt;&gt;""),AND($V$5=TRUE,$V46&lt;&gt;""),AND($W$5=TRUE,$W46&lt;&gt;""),AND($X$5=TRUE,$X46&lt;&gt;""),AND($Y$5=TRUE,$Y46&lt;&gt;""),AND($Z$5=TRUE,$Z46&lt;&gt;""),AND($AA$5=TRUE,$AA46&lt;&gt;""),AND($AB$5=TRUE,$AB46&lt;&gt;""),AND($AC$5=TRUE,$AC46&lt;&gt;"")),OR(AND($AD$5=TRUE,$AD46&lt;&gt;""),AND($AE$5=TRUE,$AE46&lt;&gt;""),AND($AF$5=TRUE,$AF46&lt;&gt;""),AND($AG$5=TRUE,$AG46&lt;&gt;"")))</f>
        <v>0</v>
      </c>
      <c r="AI46" s="123"/>
      <c r="AJ46" s="123"/>
      <c r="AK46" s="123"/>
      <c r="AL46" s="123"/>
      <c r="AM46" s="170" t="str">
        <f>IF(AI46&lt;&gt;"","セキュリティ管理/","")&amp;IF(AJ46&lt;&gt;"","マルウェア/","")&amp;IF(AK46&lt;&gt;"","クラウド/","")&amp;IF(AL46&lt;&gt;"","別表1,2,3","")</f>
        <v/>
      </c>
      <c r="AN46" s="261" t="s">
        <v>359</v>
      </c>
    </row>
    <row r="47" spans="1:40" ht="18.75" customHeight="1">
      <c r="A47" s="52" t="s">
        <v>778</v>
      </c>
      <c r="B47" s="52"/>
      <c r="C47" s="113"/>
      <c r="D47" s="113"/>
      <c r="E47" s="77"/>
      <c r="F47" s="56"/>
      <c r="G47" s="56"/>
      <c r="H47" s="77"/>
      <c r="I47" s="56"/>
      <c r="J47" s="56"/>
      <c r="K47" s="56"/>
      <c r="L47" s="114"/>
      <c r="M47" s="249"/>
      <c r="N47" s="249"/>
      <c r="O47" s="114"/>
      <c r="P47" s="114"/>
      <c r="Q47" s="114"/>
      <c r="R47" s="114"/>
      <c r="S47" s="114"/>
      <c r="T47" s="114"/>
      <c r="U47" s="114"/>
      <c r="V47" s="114"/>
      <c r="W47" s="114"/>
      <c r="X47" s="114"/>
      <c r="Y47" s="114"/>
      <c r="Z47" s="114"/>
      <c r="AA47" s="114"/>
      <c r="AB47" s="114"/>
      <c r="AC47" s="114"/>
      <c r="AD47" s="114"/>
      <c r="AE47" s="114"/>
      <c r="AF47" s="114"/>
      <c r="AG47" s="114"/>
      <c r="AH47" s="114" t="s">
        <v>728</v>
      </c>
      <c r="AI47" s="114"/>
      <c r="AJ47" s="114"/>
      <c r="AK47" s="114"/>
      <c r="AL47" s="114"/>
      <c r="AM47" s="114"/>
      <c r="AN47" s="114"/>
    </row>
    <row r="48" spans="1:40" ht="18.75" customHeight="1">
      <c r="A48" s="52"/>
      <c r="B48" s="58" t="s">
        <v>779</v>
      </c>
      <c r="C48" s="115"/>
      <c r="D48" s="115"/>
      <c r="E48" s="84"/>
      <c r="F48" s="59"/>
      <c r="G48" s="59"/>
      <c r="H48" s="84"/>
      <c r="I48" s="59"/>
      <c r="J48" s="59"/>
      <c r="K48" s="59"/>
      <c r="L48" s="125"/>
      <c r="M48" s="244"/>
      <c r="N48" s="244"/>
      <c r="O48" s="125"/>
      <c r="P48" s="125"/>
      <c r="Q48" s="125"/>
      <c r="R48" s="125"/>
      <c r="S48" s="125"/>
      <c r="T48" s="125"/>
      <c r="U48" s="125"/>
      <c r="V48" s="125"/>
      <c r="W48" s="125"/>
      <c r="X48" s="125"/>
      <c r="Y48" s="125"/>
      <c r="Z48" s="125"/>
      <c r="AA48" s="125"/>
      <c r="AB48" s="125"/>
      <c r="AC48" s="125"/>
      <c r="AD48" s="125"/>
      <c r="AE48" s="125"/>
      <c r="AF48" s="125"/>
      <c r="AG48" s="125"/>
      <c r="AH48" s="125" t="s">
        <v>728</v>
      </c>
      <c r="AI48" s="125"/>
      <c r="AJ48" s="125"/>
      <c r="AK48" s="125"/>
      <c r="AL48" s="125"/>
      <c r="AM48" s="125"/>
      <c r="AN48" s="125"/>
    </row>
    <row r="49" spans="1:40" ht="409.5">
      <c r="A49" s="52"/>
      <c r="B49" s="58"/>
      <c r="C49" s="71" t="s">
        <v>2196</v>
      </c>
      <c r="D49" s="71" t="s">
        <v>284</v>
      </c>
      <c r="E49" s="91" t="s">
        <v>780</v>
      </c>
      <c r="F49" s="92" t="s">
        <v>254</v>
      </c>
      <c r="G49" s="61"/>
      <c r="H49" s="107" t="s">
        <v>781</v>
      </c>
      <c r="I49" s="60" t="s">
        <v>730</v>
      </c>
      <c r="J49" s="60"/>
      <c r="K49" s="60"/>
      <c r="L49" s="123"/>
      <c r="M49" s="243"/>
      <c r="N49" s="111" cm="1">
        <f t="array" ref="N49">IF(AH49=TRUE,_xlfn.IFS(L49=1,2,L49="",IF(M49="",1,2)),0)</f>
        <v>0</v>
      </c>
      <c r="O49" s="69" t="s">
        <v>255</v>
      </c>
      <c r="P49" s="69" t="s">
        <v>183</v>
      </c>
      <c r="Q49" s="69" t="s">
        <v>183</v>
      </c>
      <c r="R49" s="69" t="s">
        <v>183</v>
      </c>
      <c r="S49" s="118" t="s">
        <v>183</v>
      </c>
      <c r="T49" s="118"/>
      <c r="U49" s="118"/>
      <c r="V49" s="118"/>
      <c r="W49" s="118" t="s">
        <v>448</v>
      </c>
      <c r="X49" s="69"/>
      <c r="Y49" s="69"/>
      <c r="Z49" s="69"/>
      <c r="AA49" s="118"/>
      <c r="AB49" s="118"/>
      <c r="AC49" s="118"/>
      <c r="AD49" s="69" t="s">
        <v>183</v>
      </c>
      <c r="AE49" s="69" t="s">
        <v>183</v>
      </c>
      <c r="AF49" s="69" t="s">
        <v>255</v>
      </c>
      <c r="AG49" s="69"/>
      <c r="AH49" s="123" t="b">
        <f>AND(OR(AND($O$5=TRUE,$O49&lt;&gt;""),AND($P$5=TRUE,$P49&lt;&gt;""),AND($Q$5=TRUE,$Q49&lt;&gt;"")),AND($R$5=TRUE,$R49&lt;&gt;""),OR(AND($S$5=TRUE,$S49&lt;&gt;""),AND($T$5=TRUE,$T49&lt;&gt;""),AND($U$5=TRUE,$U49&lt;&gt;""),AND($V$5=TRUE,$V49&lt;&gt;""),AND($W$5=TRUE,$W49&lt;&gt;""),AND($X$5=TRUE,$X49&lt;&gt;""),AND($Y$5=TRUE,$Y49&lt;&gt;""),AND($Z$5=TRUE,$Z49&lt;&gt;""),AND($AA$5=TRUE,$AA49&lt;&gt;""),AND($AB$5=TRUE,$AB49&lt;&gt;""),AND($AC$5=TRUE,$AC49&lt;&gt;"")),OR(AND($AD$5=TRUE,$AD49&lt;&gt;""),AND($AE$5=TRUE,$AE49&lt;&gt;""),AND($AF$5=TRUE,$AF49&lt;&gt;""),AND($AG$5=TRUE,$AG49&lt;&gt;"")))</f>
        <v>0</v>
      </c>
      <c r="AI49" s="123" t="s">
        <v>183</v>
      </c>
      <c r="AJ49" s="123" t="s">
        <v>183</v>
      </c>
      <c r="AK49" s="123"/>
      <c r="AL49" s="123"/>
      <c r="AM49" s="170" t="str">
        <f>IF(AI49&lt;&gt;"","セキュリティ管理/","")&amp;IF(AJ49&lt;&gt;"","マルウェア/","")&amp;IF(AK49&lt;&gt;"","クラウド/","")&amp;IF(AL49&lt;&gt;"","別表1,2,3","")</f>
        <v>セキュリティ管理/マルウェア/</v>
      </c>
      <c r="AN49" s="123" t="s">
        <v>337</v>
      </c>
    </row>
    <row r="50" spans="1:40" ht="135">
      <c r="A50" s="52"/>
      <c r="B50" s="58"/>
      <c r="C50" s="71" t="s">
        <v>2100</v>
      </c>
      <c r="D50" s="71" t="s">
        <v>287</v>
      </c>
      <c r="E50" s="107" t="s">
        <v>782</v>
      </c>
      <c r="F50" s="60" t="s">
        <v>254</v>
      </c>
      <c r="G50" s="61"/>
      <c r="H50" s="107"/>
      <c r="I50" s="60"/>
      <c r="J50" s="60"/>
      <c r="K50" s="60"/>
      <c r="L50" s="123"/>
      <c r="M50" s="243"/>
      <c r="N50" s="111" cm="1">
        <f t="array" ref="N50">IF(AH50=TRUE,_xlfn.IFS(L50=1,2,L50="",IF(M50="",1,2)),0)</f>
        <v>0</v>
      </c>
      <c r="O50" s="69" t="s">
        <v>255</v>
      </c>
      <c r="P50" s="69" t="s">
        <v>183</v>
      </c>
      <c r="Q50" s="69" t="s">
        <v>183</v>
      </c>
      <c r="R50" s="69" t="s">
        <v>183</v>
      </c>
      <c r="S50" s="69" t="s">
        <v>183</v>
      </c>
      <c r="T50" s="69"/>
      <c r="U50" s="69"/>
      <c r="V50" s="69"/>
      <c r="W50" s="118" t="s">
        <v>448</v>
      </c>
      <c r="X50" s="69"/>
      <c r="Y50" s="69"/>
      <c r="Z50" s="69"/>
      <c r="AA50" s="118"/>
      <c r="AB50" s="118"/>
      <c r="AC50" s="118"/>
      <c r="AD50" s="69" t="s">
        <v>183</v>
      </c>
      <c r="AE50" s="69" t="s">
        <v>183</v>
      </c>
      <c r="AF50" s="69"/>
      <c r="AG50" s="69"/>
      <c r="AH50" s="123" t="b">
        <f>AND(OR(AND($O$5=TRUE,$O50&lt;&gt;""),AND($P$5=TRUE,$P50&lt;&gt;""),AND($Q$5=TRUE,$Q50&lt;&gt;"")),AND($R$5=TRUE,$R50&lt;&gt;""),OR(AND($S$5=TRUE,$S50&lt;&gt;""),AND($T$5=TRUE,$T50&lt;&gt;""),AND($U$5=TRUE,$U50&lt;&gt;""),AND($V$5=TRUE,$V50&lt;&gt;""),AND($W$5=TRUE,$W50&lt;&gt;""),AND($X$5=TRUE,$X50&lt;&gt;""),AND($Y$5=TRUE,$Y50&lt;&gt;""),AND($Z$5=TRUE,$Z50&lt;&gt;""),AND($AA$5=TRUE,$AA50&lt;&gt;""),AND($AB$5=TRUE,$AB50&lt;&gt;""),AND($AC$5=TRUE,$AC50&lt;&gt;"")),OR(AND($AD$5=TRUE,$AD50&lt;&gt;""),AND($AE$5=TRUE,$AE50&lt;&gt;""),AND($AF$5=TRUE,$AF50&lt;&gt;""),AND($AG$5=TRUE,$AG50&lt;&gt;"")))</f>
        <v>0</v>
      </c>
      <c r="AI50" s="123"/>
      <c r="AJ50" s="123"/>
      <c r="AK50" s="123"/>
      <c r="AL50" s="123"/>
      <c r="AM50" s="170" t="str">
        <f>IF(AI50&lt;&gt;"","セキュリティ管理/","")&amp;IF(AJ50&lt;&gt;"","マルウェア/","")&amp;IF(AK50&lt;&gt;"","クラウド/","")&amp;IF(AL50&lt;&gt;"","別表1,2,3","")</f>
        <v/>
      </c>
      <c r="AN50" s="123"/>
    </row>
    <row r="51" spans="1:40" ht="180">
      <c r="A51" s="52"/>
      <c r="B51" s="58"/>
      <c r="C51" s="71" t="s">
        <v>789</v>
      </c>
      <c r="D51" s="71" t="s">
        <v>783</v>
      </c>
      <c r="E51" s="91" t="s">
        <v>2283</v>
      </c>
      <c r="F51" s="60" t="s">
        <v>254</v>
      </c>
      <c r="G51" s="61"/>
      <c r="H51" s="91"/>
      <c r="I51" s="60"/>
      <c r="J51" s="60"/>
      <c r="K51" s="60"/>
      <c r="L51" s="123"/>
      <c r="M51" s="243"/>
      <c r="N51" s="111" cm="1">
        <f t="array" ref="N51">IF(AH51=TRUE,_xlfn.IFS(L51=1,2,L51="",IF(M51="",1,2)),0)</f>
        <v>0</v>
      </c>
      <c r="O51" s="69" t="s">
        <v>255</v>
      </c>
      <c r="P51" s="69" t="s">
        <v>183</v>
      </c>
      <c r="Q51" s="69" t="s">
        <v>183</v>
      </c>
      <c r="R51" s="69" t="s">
        <v>183</v>
      </c>
      <c r="S51" s="69" t="s">
        <v>183</v>
      </c>
      <c r="T51" s="69"/>
      <c r="U51" s="69"/>
      <c r="V51" s="69"/>
      <c r="W51" s="118" t="s">
        <v>448</v>
      </c>
      <c r="X51" s="69"/>
      <c r="Y51" s="69"/>
      <c r="Z51" s="69"/>
      <c r="AA51" s="118"/>
      <c r="AB51" s="118"/>
      <c r="AC51" s="118"/>
      <c r="AD51" s="69" t="s">
        <v>183</v>
      </c>
      <c r="AE51" s="69" t="s">
        <v>183</v>
      </c>
      <c r="AF51" s="69"/>
      <c r="AG51" s="69"/>
      <c r="AH51" s="123" t="b">
        <f>AND(OR(AND($O$5=TRUE,$O51&lt;&gt;""),AND($P$5=TRUE,$P51&lt;&gt;""),AND($Q$5=TRUE,$Q51&lt;&gt;"")),AND($R$5=TRUE,$R51&lt;&gt;""),OR(AND($S$5=TRUE,$S51&lt;&gt;""),AND($T$5=TRUE,$T51&lt;&gt;""),AND($U$5=TRUE,$U51&lt;&gt;""),AND($V$5=TRUE,$V51&lt;&gt;""),AND($W$5=TRUE,$W51&lt;&gt;""),AND($X$5=TRUE,$X51&lt;&gt;""),AND($Y$5=TRUE,$Y51&lt;&gt;""),AND($Z$5=TRUE,$Z51&lt;&gt;""),AND($AA$5=TRUE,$AA51&lt;&gt;""),AND($AB$5=TRUE,$AB51&lt;&gt;""),AND($AC$5=TRUE,$AC51&lt;&gt;"")),OR(AND($AD$5=TRUE,$AD51&lt;&gt;""),AND($AE$5=TRUE,$AE51&lt;&gt;""),AND($AF$5=TRUE,$AF51&lt;&gt;""),AND($AG$5=TRUE,$AG51&lt;&gt;"")))</f>
        <v>0</v>
      </c>
      <c r="AI51" s="123"/>
      <c r="AJ51" s="123"/>
      <c r="AK51" s="123"/>
      <c r="AL51" s="123"/>
      <c r="AM51" s="170" t="str">
        <f>IF(AI51&lt;&gt;"","セキュリティ管理/","")&amp;IF(AJ51&lt;&gt;"","マルウェア/","")&amp;IF(AK51&lt;&gt;"","クラウド/","")&amp;IF(AL51&lt;&gt;"","別表1,2,3","")</f>
        <v/>
      </c>
      <c r="AN51" s="124" t="s">
        <v>2279</v>
      </c>
    </row>
    <row r="52" spans="1:40" ht="18.75" customHeight="1">
      <c r="A52" s="52"/>
      <c r="B52" s="58" t="s">
        <v>784</v>
      </c>
      <c r="C52" s="115"/>
      <c r="D52" s="115"/>
      <c r="E52" s="84"/>
      <c r="F52" s="59"/>
      <c r="G52" s="59"/>
      <c r="H52" s="84"/>
      <c r="I52" s="59"/>
      <c r="J52" s="59"/>
      <c r="K52" s="59"/>
      <c r="L52" s="125"/>
      <c r="M52" s="244"/>
      <c r="N52" s="244"/>
      <c r="O52" s="125"/>
      <c r="P52" s="125"/>
      <c r="Q52" s="125"/>
      <c r="R52" s="125"/>
      <c r="S52" s="125"/>
      <c r="T52" s="125"/>
      <c r="U52" s="125"/>
      <c r="V52" s="125"/>
      <c r="W52" s="125"/>
      <c r="X52" s="125"/>
      <c r="Y52" s="125"/>
      <c r="Z52" s="125"/>
      <c r="AA52" s="125"/>
      <c r="AB52" s="125"/>
      <c r="AC52" s="125"/>
      <c r="AD52" s="125"/>
      <c r="AE52" s="125"/>
      <c r="AF52" s="125"/>
      <c r="AG52" s="125"/>
      <c r="AH52" s="125" t="s">
        <v>728</v>
      </c>
      <c r="AI52" s="125"/>
      <c r="AJ52" s="125"/>
      <c r="AK52" s="125"/>
      <c r="AL52" s="125"/>
      <c r="AM52" s="125"/>
      <c r="AN52" s="125"/>
    </row>
    <row r="53" spans="1:40" ht="112.5">
      <c r="A53" s="52"/>
      <c r="B53" s="58"/>
      <c r="C53" s="71" t="s">
        <v>793</v>
      </c>
      <c r="D53" s="71" t="s">
        <v>785</v>
      </c>
      <c r="E53" s="107" t="s">
        <v>786</v>
      </c>
      <c r="F53" s="60" t="s">
        <v>254</v>
      </c>
      <c r="G53" s="61"/>
      <c r="H53" s="107"/>
      <c r="I53" s="60"/>
      <c r="J53" s="60"/>
      <c r="K53" s="60"/>
      <c r="L53" s="123"/>
      <c r="M53" s="243"/>
      <c r="N53" s="111" cm="1">
        <f t="array" ref="N53">IF(AH53=TRUE,_xlfn.IFS(L53=1,2,L53="",IF(M53="",1,2)),0)</f>
        <v>0</v>
      </c>
      <c r="O53" s="69" t="s">
        <v>255</v>
      </c>
      <c r="P53" s="69" t="s">
        <v>183</v>
      </c>
      <c r="Q53" s="69" t="s">
        <v>183</v>
      </c>
      <c r="R53" s="69" t="s">
        <v>183</v>
      </c>
      <c r="S53" s="118" t="s">
        <v>183</v>
      </c>
      <c r="T53" s="118"/>
      <c r="U53" s="118"/>
      <c r="V53" s="118"/>
      <c r="W53" s="118" t="s">
        <v>448</v>
      </c>
      <c r="X53" s="69"/>
      <c r="Y53" s="69"/>
      <c r="Z53" s="69"/>
      <c r="AA53" s="118"/>
      <c r="AB53" s="118"/>
      <c r="AC53" s="118"/>
      <c r="AD53" s="69" t="s">
        <v>183</v>
      </c>
      <c r="AE53" s="69" t="s">
        <v>183</v>
      </c>
      <c r="AF53" s="69"/>
      <c r="AG53" s="69"/>
      <c r="AH53" s="123" t="b">
        <f t="shared" ref="AH53:AH58" si="2">AND(OR(AND($O$5=TRUE,$O53&lt;&gt;""),AND($P$5=TRUE,$P53&lt;&gt;""),AND($Q$5=TRUE,$Q53&lt;&gt;"")),AND($R$5=TRUE,$R53&lt;&gt;""),OR(AND($S$5=TRUE,$S53&lt;&gt;""),AND($T$5=TRUE,$T53&lt;&gt;""),AND($U$5=TRUE,$U53&lt;&gt;""),AND($V$5=TRUE,$V53&lt;&gt;""),AND($W$5=TRUE,$W53&lt;&gt;""),AND($X$5=TRUE,$X53&lt;&gt;""),AND($Y$5=TRUE,$Y53&lt;&gt;""),AND($Z$5=TRUE,$Z53&lt;&gt;""),AND($AA$5=TRUE,$AA53&lt;&gt;""),AND($AB$5=TRUE,$AB53&lt;&gt;""),AND($AC$5=TRUE,$AC53&lt;&gt;"")),OR(AND($AD$5=TRUE,$AD53&lt;&gt;""),AND($AE$5=TRUE,$AE53&lt;&gt;""),AND($AF$5=TRUE,$AF53&lt;&gt;""),AND($AG$5=TRUE,$AG53&lt;&gt;"")))</f>
        <v>0</v>
      </c>
      <c r="AI53" s="123"/>
      <c r="AJ53" s="123"/>
      <c r="AK53" s="123"/>
      <c r="AL53" s="123"/>
      <c r="AM53" s="170" t="str">
        <f t="shared" ref="AM53:AM58" si="3">IF(AI53&lt;&gt;"","セキュリティ管理/","")&amp;IF(AJ53&lt;&gt;"","マルウェア/","")&amp;IF(AK53&lt;&gt;"","クラウド/","")&amp;IF(AL53&lt;&gt;"","別表1,2,3","")</f>
        <v/>
      </c>
      <c r="AN53" s="123" t="s">
        <v>575</v>
      </c>
    </row>
    <row r="54" spans="1:40" ht="67.5">
      <c r="A54" s="52"/>
      <c r="B54" s="58"/>
      <c r="C54" s="71" t="s">
        <v>797</v>
      </c>
      <c r="D54" s="71" t="s">
        <v>787</v>
      </c>
      <c r="E54" s="91" t="s">
        <v>788</v>
      </c>
      <c r="F54" s="60" t="s">
        <v>254</v>
      </c>
      <c r="G54" s="61"/>
      <c r="H54" s="107"/>
      <c r="I54" s="60"/>
      <c r="J54" s="60"/>
      <c r="K54" s="60"/>
      <c r="L54" s="123"/>
      <c r="M54" s="243"/>
      <c r="N54" s="111" cm="1">
        <f t="array" ref="N54">IF(AH54=TRUE,_xlfn.IFS(L54=1,2,L54="",IF(M54="",1,2)),0)</f>
        <v>0</v>
      </c>
      <c r="O54" s="69" t="s">
        <v>255</v>
      </c>
      <c r="P54" s="69" t="s">
        <v>183</v>
      </c>
      <c r="Q54" s="69" t="s">
        <v>183</v>
      </c>
      <c r="R54" s="69" t="s">
        <v>183</v>
      </c>
      <c r="S54" s="118" t="s">
        <v>183</v>
      </c>
      <c r="T54" s="118"/>
      <c r="U54" s="118"/>
      <c r="V54" s="118"/>
      <c r="W54" s="118" t="s">
        <v>448</v>
      </c>
      <c r="X54" s="69"/>
      <c r="Y54" s="69"/>
      <c r="Z54" s="69"/>
      <c r="AA54" s="118"/>
      <c r="AB54" s="118"/>
      <c r="AC54" s="118"/>
      <c r="AD54" s="69" t="s">
        <v>183</v>
      </c>
      <c r="AE54" s="69" t="s">
        <v>183</v>
      </c>
      <c r="AF54" s="69"/>
      <c r="AG54" s="69"/>
      <c r="AH54" s="123" t="b">
        <f t="shared" si="2"/>
        <v>0</v>
      </c>
      <c r="AI54" s="123"/>
      <c r="AJ54" s="123"/>
      <c r="AK54" s="123"/>
      <c r="AL54" s="123"/>
      <c r="AM54" s="170" t="str">
        <f t="shared" si="3"/>
        <v/>
      </c>
      <c r="AN54" s="123"/>
    </row>
    <row r="55" spans="1:40" ht="337.5">
      <c r="A55" s="52"/>
      <c r="B55" s="58"/>
      <c r="C55" s="71" t="s">
        <v>800</v>
      </c>
      <c r="D55" s="71" t="s">
        <v>790</v>
      </c>
      <c r="E55" s="91" t="s">
        <v>791</v>
      </c>
      <c r="F55" s="60" t="s">
        <v>254</v>
      </c>
      <c r="G55" s="61"/>
      <c r="H55" s="107"/>
      <c r="I55" s="60"/>
      <c r="J55" s="60"/>
      <c r="K55" s="60"/>
      <c r="L55" s="123"/>
      <c r="M55" s="243"/>
      <c r="N55" s="111" cm="1">
        <f t="array" ref="N55">IF(AH55=TRUE,_xlfn.IFS(L55=1,2,L55="",IF(M55="",1,2)),0)</f>
        <v>0</v>
      </c>
      <c r="O55" s="69" t="s">
        <v>255</v>
      </c>
      <c r="P55" s="69" t="s">
        <v>183</v>
      </c>
      <c r="Q55" s="69" t="s">
        <v>183</v>
      </c>
      <c r="R55" s="69" t="s">
        <v>183</v>
      </c>
      <c r="S55" s="195"/>
      <c r="T55" s="195" t="s">
        <v>183</v>
      </c>
      <c r="U55" s="195" t="s">
        <v>183</v>
      </c>
      <c r="V55" s="118"/>
      <c r="W55" s="118" t="s">
        <v>448</v>
      </c>
      <c r="X55" s="69"/>
      <c r="Y55" s="69"/>
      <c r="Z55" s="69"/>
      <c r="AA55" s="118"/>
      <c r="AB55" s="118"/>
      <c r="AC55" s="118"/>
      <c r="AD55" s="69" t="s">
        <v>183</v>
      </c>
      <c r="AE55" s="69" t="s">
        <v>183</v>
      </c>
      <c r="AF55" s="69"/>
      <c r="AG55" s="69"/>
      <c r="AH55" s="123" t="b">
        <f t="shared" si="2"/>
        <v>0</v>
      </c>
      <c r="AI55" s="123"/>
      <c r="AJ55" s="123"/>
      <c r="AK55" s="123"/>
      <c r="AL55" s="123"/>
      <c r="AM55" s="170" t="str">
        <f t="shared" si="3"/>
        <v/>
      </c>
      <c r="AN55" s="124" t="s">
        <v>792</v>
      </c>
    </row>
    <row r="56" spans="1:40" ht="112.5">
      <c r="A56" s="52"/>
      <c r="B56" s="58"/>
      <c r="C56" s="71" t="s">
        <v>2101</v>
      </c>
      <c r="D56" s="71" t="s">
        <v>794</v>
      </c>
      <c r="E56" s="91" t="s">
        <v>795</v>
      </c>
      <c r="F56" s="60" t="s">
        <v>254</v>
      </c>
      <c r="G56" s="61"/>
      <c r="H56" s="107"/>
      <c r="I56" s="60"/>
      <c r="J56" s="60"/>
      <c r="K56" s="60"/>
      <c r="L56" s="123"/>
      <c r="M56" s="243"/>
      <c r="N56" s="111" cm="1">
        <f t="array" ref="N56">IF(AH56=TRUE,_xlfn.IFS(L56=1,2,L56="",IF(M56="",1,2)),0)</f>
        <v>0</v>
      </c>
      <c r="O56" s="69" t="s">
        <v>255</v>
      </c>
      <c r="P56" s="69" t="s">
        <v>183</v>
      </c>
      <c r="Q56" s="69" t="s">
        <v>183</v>
      </c>
      <c r="R56" s="69" t="s">
        <v>183</v>
      </c>
      <c r="S56" s="195"/>
      <c r="T56" s="195" t="s">
        <v>183</v>
      </c>
      <c r="U56" s="195" t="s">
        <v>183</v>
      </c>
      <c r="V56" s="118"/>
      <c r="W56" s="118" t="s">
        <v>448</v>
      </c>
      <c r="X56" s="69"/>
      <c r="Y56" s="69"/>
      <c r="Z56" s="69"/>
      <c r="AA56" s="118"/>
      <c r="AB56" s="118"/>
      <c r="AC56" s="118"/>
      <c r="AD56" s="69" t="s">
        <v>183</v>
      </c>
      <c r="AE56" s="69" t="s">
        <v>183</v>
      </c>
      <c r="AF56" s="69"/>
      <c r="AG56" s="69"/>
      <c r="AH56" s="123" t="b">
        <f t="shared" si="2"/>
        <v>0</v>
      </c>
      <c r="AI56" s="123"/>
      <c r="AJ56" s="123"/>
      <c r="AK56" s="123"/>
      <c r="AL56" s="123"/>
      <c r="AM56" s="170" t="str">
        <f t="shared" si="3"/>
        <v/>
      </c>
      <c r="AN56" s="124" t="s">
        <v>796</v>
      </c>
    </row>
    <row r="57" spans="1:40" ht="408.65" customHeight="1">
      <c r="A57" s="52"/>
      <c r="B57" s="58"/>
      <c r="C57" s="71" t="s">
        <v>2102</v>
      </c>
      <c r="D57" s="71" t="s">
        <v>798</v>
      </c>
      <c r="E57" s="91" t="s">
        <v>799</v>
      </c>
      <c r="F57" s="60" t="s">
        <v>254</v>
      </c>
      <c r="G57" s="61"/>
      <c r="H57" s="107"/>
      <c r="I57" s="60"/>
      <c r="J57" s="60"/>
      <c r="K57" s="60"/>
      <c r="L57" s="123"/>
      <c r="M57" s="243"/>
      <c r="N57" s="111" cm="1">
        <f t="array" ref="N57">IF(AH57=TRUE,_xlfn.IFS(L57=1,2,L57="",IF(M57="",1,2)),0)</f>
        <v>0</v>
      </c>
      <c r="O57" s="69" t="s">
        <v>255</v>
      </c>
      <c r="P57" s="69" t="s">
        <v>183</v>
      </c>
      <c r="Q57" s="69" t="s">
        <v>183</v>
      </c>
      <c r="R57" s="69" t="s">
        <v>183</v>
      </c>
      <c r="S57" s="195"/>
      <c r="T57" s="195" t="s">
        <v>183</v>
      </c>
      <c r="U57" s="195" t="s">
        <v>183</v>
      </c>
      <c r="V57" s="118"/>
      <c r="W57" s="118" t="s">
        <v>448</v>
      </c>
      <c r="X57" s="69"/>
      <c r="Y57" s="69"/>
      <c r="Z57" s="69"/>
      <c r="AA57" s="118"/>
      <c r="AB57" s="118"/>
      <c r="AC57" s="118"/>
      <c r="AD57" s="69" t="s">
        <v>183</v>
      </c>
      <c r="AE57" s="69" t="s">
        <v>183</v>
      </c>
      <c r="AF57" s="69"/>
      <c r="AG57" s="69"/>
      <c r="AH57" s="123" t="b">
        <f t="shared" si="2"/>
        <v>0</v>
      </c>
      <c r="AI57" s="123"/>
      <c r="AJ57" s="123"/>
      <c r="AK57" s="123"/>
      <c r="AL57" s="123"/>
      <c r="AM57" s="170" t="str">
        <f t="shared" si="3"/>
        <v/>
      </c>
      <c r="AN57" s="124" t="s">
        <v>796</v>
      </c>
    </row>
    <row r="58" spans="1:40" ht="135">
      <c r="A58" s="52"/>
      <c r="B58" s="58"/>
      <c r="C58" s="71" t="s">
        <v>2103</v>
      </c>
      <c r="D58" s="71" t="s">
        <v>801</v>
      </c>
      <c r="E58" s="91" t="s">
        <v>802</v>
      </c>
      <c r="F58" s="60" t="s">
        <v>254</v>
      </c>
      <c r="G58" s="61"/>
      <c r="H58" s="107"/>
      <c r="I58" s="60"/>
      <c r="J58" s="60"/>
      <c r="K58" s="60"/>
      <c r="L58" s="123"/>
      <c r="M58" s="243"/>
      <c r="N58" s="111" cm="1">
        <f t="array" ref="N58">IF(AH58=TRUE,_xlfn.IFS(L58=1,2,L58="",IF(M58="",1,2)),0)</f>
        <v>0</v>
      </c>
      <c r="O58" s="69" t="s">
        <v>255</v>
      </c>
      <c r="P58" s="69" t="s">
        <v>183</v>
      </c>
      <c r="Q58" s="69" t="s">
        <v>183</v>
      </c>
      <c r="R58" s="69" t="s">
        <v>183</v>
      </c>
      <c r="S58" s="195"/>
      <c r="T58" s="195" t="s">
        <v>183</v>
      </c>
      <c r="U58" s="195" t="s">
        <v>183</v>
      </c>
      <c r="V58" s="118"/>
      <c r="W58" s="118" t="s">
        <v>448</v>
      </c>
      <c r="X58" s="69"/>
      <c r="Y58" s="69"/>
      <c r="Z58" s="69"/>
      <c r="AA58" s="118"/>
      <c r="AB58" s="118"/>
      <c r="AC58" s="118"/>
      <c r="AD58" s="69" t="s">
        <v>183</v>
      </c>
      <c r="AE58" s="69" t="s">
        <v>183</v>
      </c>
      <c r="AF58" s="69"/>
      <c r="AG58" s="69"/>
      <c r="AH58" s="123" t="b">
        <f t="shared" si="2"/>
        <v>0</v>
      </c>
      <c r="AI58" s="123"/>
      <c r="AJ58" s="123"/>
      <c r="AK58" s="123"/>
      <c r="AL58" s="123"/>
      <c r="AM58" s="170" t="str">
        <f t="shared" si="3"/>
        <v/>
      </c>
      <c r="AN58" s="124" t="s">
        <v>796</v>
      </c>
    </row>
    <row r="59" spans="1:40" ht="18.75" customHeight="1">
      <c r="A59" s="52"/>
      <c r="B59" s="58" t="s">
        <v>803</v>
      </c>
      <c r="C59" s="115"/>
      <c r="D59" s="115"/>
      <c r="E59" s="84"/>
      <c r="F59" s="59"/>
      <c r="G59" s="59"/>
      <c r="H59" s="84"/>
      <c r="I59" s="59"/>
      <c r="J59" s="59"/>
      <c r="K59" s="59"/>
      <c r="L59" s="125"/>
      <c r="M59" s="244"/>
      <c r="N59" s="244"/>
      <c r="O59" s="125"/>
      <c r="P59" s="125"/>
      <c r="Q59" s="125"/>
      <c r="R59" s="125"/>
      <c r="S59" s="125"/>
      <c r="T59" s="125"/>
      <c r="U59" s="125"/>
      <c r="V59" s="125"/>
      <c r="W59" s="125"/>
      <c r="X59" s="125"/>
      <c r="Y59" s="125"/>
      <c r="Z59" s="125"/>
      <c r="AA59" s="125"/>
      <c r="AB59" s="125"/>
      <c r="AC59" s="125"/>
      <c r="AD59" s="125"/>
      <c r="AE59" s="125"/>
      <c r="AF59" s="125"/>
      <c r="AG59" s="125"/>
      <c r="AH59" s="125" t="s">
        <v>728</v>
      </c>
      <c r="AI59" s="125"/>
      <c r="AJ59" s="125"/>
      <c r="AK59" s="125"/>
      <c r="AL59" s="125"/>
      <c r="AM59" s="125"/>
      <c r="AN59" s="125"/>
    </row>
    <row r="60" spans="1:40" ht="135">
      <c r="A60" s="52"/>
      <c r="B60" s="58"/>
      <c r="C60" s="71" t="s">
        <v>814</v>
      </c>
      <c r="D60" s="71" t="s">
        <v>804</v>
      </c>
      <c r="E60" s="91" t="s">
        <v>805</v>
      </c>
      <c r="F60" s="92" t="s">
        <v>254</v>
      </c>
      <c r="G60" s="61"/>
      <c r="H60" s="107"/>
      <c r="I60" s="60" t="s">
        <v>730</v>
      </c>
      <c r="J60" s="60"/>
      <c r="K60" s="60"/>
      <c r="L60" s="123"/>
      <c r="M60" s="243"/>
      <c r="N60" s="111" cm="1">
        <f t="array" ref="N60">IF(AH60=TRUE,_xlfn.IFS(L60=1,2,L60="",IF(M60="",1,2)),0)</f>
        <v>0</v>
      </c>
      <c r="O60" s="69" t="s">
        <v>255</v>
      </c>
      <c r="P60" s="69" t="s">
        <v>183</v>
      </c>
      <c r="Q60" s="69" t="s">
        <v>183</v>
      </c>
      <c r="R60" s="69" t="s">
        <v>183</v>
      </c>
      <c r="S60" s="118" t="s">
        <v>183</v>
      </c>
      <c r="T60" s="118"/>
      <c r="U60" s="118"/>
      <c r="V60" s="118"/>
      <c r="W60" s="118" t="s">
        <v>448</v>
      </c>
      <c r="X60" s="69"/>
      <c r="Y60" s="69"/>
      <c r="Z60" s="69"/>
      <c r="AA60" s="118"/>
      <c r="AB60" s="118"/>
      <c r="AC60" s="118"/>
      <c r="AD60" s="69" t="s">
        <v>183</v>
      </c>
      <c r="AE60" s="69" t="s">
        <v>183</v>
      </c>
      <c r="AF60" s="69" t="s">
        <v>255</v>
      </c>
      <c r="AG60" s="69"/>
      <c r="AH60" s="123" t="b">
        <f>AND(OR(AND($O$5=TRUE,$O60&lt;&gt;""),AND($P$5=TRUE,$P60&lt;&gt;""),AND($Q$5=TRUE,$Q60&lt;&gt;"")),AND($R$5=TRUE,$R60&lt;&gt;""),OR(AND($S$5=TRUE,$S60&lt;&gt;""),AND($T$5=TRUE,$T60&lt;&gt;""),AND($U$5=TRUE,$U60&lt;&gt;""),AND($V$5=TRUE,$V60&lt;&gt;""),AND($W$5=TRUE,$W60&lt;&gt;""),AND($X$5=TRUE,$X60&lt;&gt;""),AND($Y$5=TRUE,$Y60&lt;&gt;""),AND($Z$5=TRUE,$Z60&lt;&gt;""),AND($AA$5=TRUE,$AA60&lt;&gt;""),AND($AB$5=TRUE,$AB60&lt;&gt;""),AND($AC$5=TRUE,$AC60&lt;&gt;"")),OR(AND($AD$5=TRUE,$AD60&lt;&gt;""),AND($AE$5=TRUE,$AE60&lt;&gt;""),AND($AF$5=TRUE,$AF60&lt;&gt;""),AND($AG$5=TRUE,$AG60&lt;&gt;"")))</f>
        <v>0</v>
      </c>
      <c r="AI60" s="123" t="s">
        <v>183</v>
      </c>
      <c r="AJ60" s="123"/>
      <c r="AK60" s="123"/>
      <c r="AL60" s="123"/>
      <c r="AM60" s="170" t="str">
        <f>IF(AI60&lt;&gt;"","セキュリティ管理/","")&amp;IF(AJ60&lt;&gt;"","マルウェア/","")&amp;IF(AK60&lt;&gt;"","クラウド/","")&amp;IF(AL60&lt;&gt;"","別表1,2,3","")</f>
        <v>セキュリティ管理/</v>
      </c>
      <c r="AN60" s="123"/>
    </row>
    <row r="61" spans="1:40" ht="45">
      <c r="A61" s="52"/>
      <c r="B61" s="58"/>
      <c r="C61" s="71" t="s">
        <v>816</v>
      </c>
      <c r="D61" s="71" t="s">
        <v>806</v>
      </c>
      <c r="E61" s="91" t="s">
        <v>807</v>
      </c>
      <c r="F61" s="92" t="s">
        <v>254</v>
      </c>
      <c r="G61" s="61"/>
      <c r="H61" s="107"/>
      <c r="I61" s="60"/>
      <c r="J61" s="60"/>
      <c r="K61" s="60"/>
      <c r="L61" s="123"/>
      <c r="M61" s="243"/>
      <c r="N61" s="111" cm="1">
        <f t="array" ref="N61">IF(AH61=TRUE,_xlfn.IFS(L61=1,2,L61="",IF(M61="",1,2)),0)</f>
        <v>0</v>
      </c>
      <c r="O61" s="69" t="s">
        <v>255</v>
      </c>
      <c r="P61" s="69" t="s">
        <v>183</v>
      </c>
      <c r="Q61" s="69" t="s">
        <v>183</v>
      </c>
      <c r="R61" s="69" t="s">
        <v>183</v>
      </c>
      <c r="S61" s="118" t="s">
        <v>183</v>
      </c>
      <c r="T61" s="118"/>
      <c r="U61" s="118"/>
      <c r="V61" s="118"/>
      <c r="W61" s="118" t="s">
        <v>448</v>
      </c>
      <c r="X61" s="69"/>
      <c r="Y61" s="69"/>
      <c r="Z61" s="69"/>
      <c r="AA61" s="118"/>
      <c r="AB61" s="118"/>
      <c r="AC61" s="118"/>
      <c r="AD61" s="69" t="s">
        <v>183</v>
      </c>
      <c r="AE61" s="69" t="s">
        <v>183</v>
      </c>
      <c r="AF61" s="69"/>
      <c r="AG61" s="69"/>
      <c r="AH61" s="123" t="b">
        <f>AND(OR(AND($O$5=TRUE,$O61&lt;&gt;""),AND($P$5=TRUE,$P61&lt;&gt;""),AND($Q$5=TRUE,$Q61&lt;&gt;"")),AND($R$5=TRUE,$R61&lt;&gt;""),OR(AND($S$5=TRUE,$S61&lt;&gt;""),AND($T$5=TRUE,$T61&lt;&gt;""),AND($U$5=TRUE,$U61&lt;&gt;""),AND($V$5=TRUE,$V61&lt;&gt;""),AND($W$5=TRUE,$W61&lt;&gt;""),AND($X$5=TRUE,$X61&lt;&gt;""),AND($Y$5=TRUE,$Y61&lt;&gt;""),AND($Z$5=TRUE,$Z61&lt;&gt;""),AND($AA$5=TRUE,$AA61&lt;&gt;""),AND($AB$5=TRUE,$AB61&lt;&gt;""),AND($AC$5=TRUE,$AC61&lt;&gt;"")),OR(AND($AD$5=TRUE,$AD61&lt;&gt;""),AND($AE$5=TRUE,$AE61&lt;&gt;""),AND($AF$5=TRUE,$AF61&lt;&gt;""),AND($AG$5=TRUE,$AG61&lt;&gt;"")))</f>
        <v>0</v>
      </c>
      <c r="AI61" s="123"/>
      <c r="AJ61" s="123"/>
      <c r="AK61" s="123"/>
      <c r="AL61" s="123"/>
      <c r="AM61" s="170" t="str">
        <f>IF(AI61&lt;&gt;"","セキュリティ管理/","")&amp;IF(AJ61&lt;&gt;"","マルウェア/","")&amp;IF(AK61&lt;&gt;"","クラウド/","")&amp;IF(AL61&lt;&gt;"","別表1,2,3","")</f>
        <v/>
      </c>
      <c r="AN61" s="123"/>
    </row>
    <row r="62" spans="1:40" ht="67.5">
      <c r="A62" s="52"/>
      <c r="B62" s="58"/>
      <c r="C62" s="71" t="s">
        <v>819</v>
      </c>
      <c r="D62" s="71" t="s">
        <v>808</v>
      </c>
      <c r="E62" s="91" t="s">
        <v>809</v>
      </c>
      <c r="F62" s="92" t="s">
        <v>503</v>
      </c>
      <c r="G62" s="61"/>
      <c r="H62" s="107"/>
      <c r="I62" s="60"/>
      <c r="J62" s="60"/>
      <c r="K62" s="60"/>
      <c r="L62" s="123"/>
      <c r="M62" s="243"/>
      <c r="N62" s="111" cm="1">
        <f t="array" ref="N62">IF(AH62=TRUE,_xlfn.IFS(L62=1,2,L62="",IF(M62="",1,2)),0)</f>
        <v>0</v>
      </c>
      <c r="O62" s="69" t="s">
        <v>255</v>
      </c>
      <c r="P62" s="69" t="s">
        <v>183</v>
      </c>
      <c r="Q62" s="69" t="s">
        <v>183</v>
      </c>
      <c r="R62" s="69" t="s">
        <v>183</v>
      </c>
      <c r="S62" s="118"/>
      <c r="T62" s="118"/>
      <c r="U62" s="118"/>
      <c r="V62" s="118"/>
      <c r="W62" s="118"/>
      <c r="X62" s="69"/>
      <c r="Y62" s="69"/>
      <c r="Z62" s="69"/>
      <c r="AA62" s="118"/>
      <c r="AB62" s="118"/>
      <c r="AC62" s="69" t="s">
        <v>183</v>
      </c>
      <c r="AD62" s="69" t="s">
        <v>183</v>
      </c>
      <c r="AE62" s="69" t="s">
        <v>183</v>
      </c>
      <c r="AF62" s="69"/>
      <c r="AG62" s="69"/>
      <c r="AH62" s="123" t="b">
        <f>AND(OR(AND($O$5=TRUE,$O62&lt;&gt;""),AND($P$5=TRUE,$P62&lt;&gt;""),AND($Q$5=TRUE,$Q62&lt;&gt;"")),AND($R$5=TRUE,$R62&lt;&gt;""),OR(AND($S$5=TRUE,$S62&lt;&gt;""),AND($T$5=TRUE,$T62&lt;&gt;""),AND($U$5=TRUE,$U62&lt;&gt;""),AND($V$5=TRUE,$V62&lt;&gt;""),AND($W$5=TRUE,$W62&lt;&gt;""),AND($X$5=TRUE,$X62&lt;&gt;""),AND($Y$5=TRUE,$Y62&lt;&gt;""),AND($Z$5=TRUE,$Z62&lt;&gt;""),AND($AA$5=TRUE,$AA62&lt;&gt;""),AND($AB$5=TRUE,$AB62&lt;&gt;""),AND($AC$5=TRUE,$AC62&lt;&gt;"")),OR(AND($AD$5=TRUE,$AD62&lt;&gt;""),AND($AE$5=TRUE,$AE62&lt;&gt;""),AND($AF$5=TRUE,$AF62&lt;&gt;""),AND($AG$5=TRUE,$AG62&lt;&gt;"")))</f>
        <v>0</v>
      </c>
      <c r="AI62" s="123"/>
      <c r="AJ62" s="123"/>
      <c r="AK62" s="123"/>
      <c r="AL62" s="123"/>
      <c r="AM62" s="170" t="str">
        <f>IF(AI62&lt;&gt;"","セキュリティ管理/","")&amp;IF(AJ62&lt;&gt;"","マルウェア/","")&amp;IF(AK62&lt;&gt;"","クラウド/","")&amp;IF(AL62&lt;&gt;"","別表1,2,3","")</f>
        <v/>
      </c>
      <c r="AN62" s="123"/>
    </row>
    <row r="63" spans="1:40" ht="18.75" customHeight="1">
      <c r="A63" s="52" t="s">
        <v>810</v>
      </c>
      <c r="B63" s="52"/>
      <c r="C63" s="113"/>
      <c r="D63" s="113"/>
      <c r="E63" s="77"/>
      <c r="F63" s="56"/>
      <c r="G63" s="56"/>
      <c r="H63" s="77"/>
      <c r="I63" s="56"/>
      <c r="J63" s="56"/>
      <c r="K63" s="56"/>
      <c r="L63" s="114"/>
      <c r="M63" s="249"/>
      <c r="N63" s="249"/>
      <c r="O63" s="114"/>
      <c r="P63" s="114"/>
      <c r="Q63" s="114"/>
      <c r="R63" s="114"/>
      <c r="S63" s="114"/>
      <c r="T63" s="114"/>
      <c r="U63" s="114"/>
      <c r="V63" s="114"/>
      <c r="W63" s="114"/>
      <c r="X63" s="114"/>
      <c r="Y63" s="114"/>
      <c r="Z63" s="114"/>
      <c r="AA63" s="114"/>
      <c r="AB63" s="114"/>
      <c r="AC63" s="114"/>
      <c r="AD63" s="114"/>
      <c r="AE63" s="114"/>
      <c r="AF63" s="114"/>
      <c r="AG63" s="114"/>
      <c r="AH63" s="114" t="s">
        <v>728</v>
      </c>
      <c r="AI63" s="114"/>
      <c r="AJ63" s="114"/>
      <c r="AK63" s="114"/>
      <c r="AL63" s="114"/>
      <c r="AM63" s="114"/>
      <c r="AN63" s="114"/>
    </row>
    <row r="64" spans="1:40" ht="18.75" customHeight="1">
      <c r="A64" s="52"/>
      <c r="B64" s="58"/>
      <c r="C64" s="58"/>
      <c r="D64" s="58"/>
      <c r="E64" s="115"/>
      <c r="F64" s="58"/>
      <c r="G64" s="59"/>
      <c r="H64" s="84"/>
      <c r="I64" s="58"/>
      <c r="J64" s="58"/>
      <c r="K64" s="58"/>
      <c r="L64" s="122"/>
      <c r="M64" s="244"/>
      <c r="N64" s="244"/>
      <c r="O64" s="122"/>
      <c r="P64" s="122"/>
      <c r="Q64" s="122"/>
      <c r="R64" s="122"/>
      <c r="S64" s="122"/>
      <c r="T64" s="122"/>
      <c r="U64" s="122"/>
      <c r="V64" s="122"/>
      <c r="W64" s="122"/>
      <c r="X64" s="122"/>
      <c r="Y64" s="122"/>
      <c r="Z64" s="122"/>
      <c r="AA64" s="122"/>
      <c r="AB64" s="122"/>
      <c r="AC64" s="122"/>
      <c r="AD64" s="122"/>
      <c r="AE64" s="122"/>
      <c r="AF64" s="122"/>
      <c r="AG64" s="122"/>
      <c r="AH64" s="122" t="s">
        <v>728</v>
      </c>
      <c r="AI64" s="122"/>
      <c r="AJ64" s="122"/>
      <c r="AK64" s="122"/>
      <c r="AL64" s="122"/>
      <c r="AM64" s="122"/>
      <c r="AN64" s="122"/>
    </row>
    <row r="65" spans="1:40" ht="112.5">
      <c r="A65" s="52"/>
      <c r="B65" s="58"/>
      <c r="C65" s="71" t="s">
        <v>828</v>
      </c>
      <c r="D65" s="71" t="s">
        <v>436</v>
      </c>
      <c r="E65" s="91" t="s">
        <v>811</v>
      </c>
      <c r="F65" s="92" t="s">
        <v>254</v>
      </c>
      <c r="G65" s="61"/>
      <c r="H65" s="107"/>
      <c r="I65" s="60"/>
      <c r="J65" s="60"/>
      <c r="K65" s="60"/>
      <c r="L65" s="123"/>
      <c r="M65" s="243"/>
      <c r="N65" s="111" cm="1">
        <f t="array" ref="N65">IF(AH65=TRUE,_xlfn.IFS(L65=1,2,L65="",IF(M65="",1,2)),0)</f>
        <v>0</v>
      </c>
      <c r="O65" s="69" t="s">
        <v>255</v>
      </c>
      <c r="P65" s="69" t="s">
        <v>183</v>
      </c>
      <c r="Q65" s="69" t="s">
        <v>183</v>
      </c>
      <c r="R65" s="69" t="s">
        <v>183</v>
      </c>
      <c r="S65" s="118" t="s">
        <v>183</v>
      </c>
      <c r="T65" s="118"/>
      <c r="U65" s="118"/>
      <c r="V65" s="118"/>
      <c r="W65" s="118" t="s">
        <v>448</v>
      </c>
      <c r="X65" s="69"/>
      <c r="Y65" s="69"/>
      <c r="Z65" s="69"/>
      <c r="AA65" s="118"/>
      <c r="AB65" s="118"/>
      <c r="AC65" s="118"/>
      <c r="AD65" s="69" t="s">
        <v>183</v>
      </c>
      <c r="AE65" s="69" t="s">
        <v>183</v>
      </c>
      <c r="AF65" s="69" t="s">
        <v>255</v>
      </c>
      <c r="AG65" s="69"/>
      <c r="AH65" s="123" t="b">
        <f t="shared" ref="AH65:AH81" si="4">AND(OR(AND($O$5=TRUE,$O65&lt;&gt;""),AND($P$5=TRUE,$P65&lt;&gt;""),AND($Q$5=TRUE,$Q65&lt;&gt;"")),AND($R$5=TRUE,$R65&lt;&gt;""),OR(AND($S$5=TRUE,$S65&lt;&gt;""),AND($T$5=TRUE,$T65&lt;&gt;""),AND($U$5=TRUE,$U65&lt;&gt;""),AND($V$5=TRUE,$V65&lt;&gt;""),AND($W$5=TRUE,$W65&lt;&gt;""),AND($X$5=TRUE,$X65&lt;&gt;""),AND($Y$5=TRUE,$Y65&lt;&gt;""),AND($Z$5=TRUE,$Z65&lt;&gt;""),AND($AA$5=TRUE,$AA65&lt;&gt;""),AND($AB$5=TRUE,$AB65&lt;&gt;""),AND($AC$5=TRUE,$AC65&lt;&gt;"")),OR(AND($AD$5=TRUE,$AD65&lt;&gt;""),AND($AE$5=TRUE,$AE65&lt;&gt;""),AND($AF$5=TRUE,$AF65&lt;&gt;""),AND($AG$5=TRUE,$AG65&lt;&gt;"")))</f>
        <v>0</v>
      </c>
      <c r="AI65" s="123"/>
      <c r="AJ65" s="123" t="s">
        <v>183</v>
      </c>
      <c r="AK65" s="123"/>
      <c r="AL65" s="123"/>
      <c r="AM65" s="170" t="str">
        <f t="shared" ref="AM65:AM79" si="5">IF(AI65&lt;&gt;"","セキュリティ管理/","")&amp;IF(AJ65&lt;&gt;"","マルウェア/","")&amp;IF(AK65&lt;&gt;"","クラウド/","")&amp;IF(AL65&lt;&gt;"","別表1,2,3","")</f>
        <v>マルウェア/</v>
      </c>
      <c r="AN65" s="123"/>
    </row>
    <row r="66" spans="1:40" ht="315">
      <c r="A66" s="52"/>
      <c r="B66" s="58"/>
      <c r="C66" s="71" t="s">
        <v>831</v>
      </c>
      <c r="D66" s="71" t="s">
        <v>439</v>
      </c>
      <c r="E66" s="91" t="s">
        <v>812</v>
      </c>
      <c r="F66" s="92" t="s">
        <v>254</v>
      </c>
      <c r="G66" s="61"/>
      <c r="H66" s="107"/>
      <c r="I66" s="60"/>
      <c r="J66" s="60"/>
      <c r="K66" s="60"/>
      <c r="L66" s="123"/>
      <c r="M66" s="243"/>
      <c r="N66" s="111" cm="1">
        <f t="array" ref="N66">IF(AH66=TRUE,_xlfn.IFS(L66=1,2,L66="",IF(M66="",1,2)),0)</f>
        <v>0</v>
      </c>
      <c r="O66" s="69" t="s">
        <v>255</v>
      </c>
      <c r="P66" s="69" t="s">
        <v>183</v>
      </c>
      <c r="Q66" s="69" t="s">
        <v>183</v>
      </c>
      <c r="R66" s="69" t="s">
        <v>183</v>
      </c>
      <c r="S66" s="118" t="s">
        <v>183</v>
      </c>
      <c r="T66" s="118"/>
      <c r="U66" s="118"/>
      <c r="V66" s="118"/>
      <c r="W66" s="118" t="s">
        <v>448</v>
      </c>
      <c r="X66" s="69"/>
      <c r="Y66" s="69"/>
      <c r="Z66" s="69"/>
      <c r="AA66" s="118"/>
      <c r="AB66" s="118"/>
      <c r="AC66" s="118"/>
      <c r="AD66" s="69"/>
      <c r="AE66" s="69" t="s">
        <v>183</v>
      </c>
      <c r="AF66" s="69"/>
      <c r="AG66" s="69"/>
      <c r="AH66" s="123" t="b">
        <f t="shared" si="4"/>
        <v>0</v>
      </c>
      <c r="AI66" s="123"/>
      <c r="AJ66" s="123"/>
      <c r="AK66" s="123"/>
      <c r="AL66" s="123"/>
      <c r="AM66" s="170" t="str">
        <f t="shared" si="5"/>
        <v/>
      </c>
      <c r="AN66" s="123"/>
    </row>
    <row r="67" spans="1:40" ht="405">
      <c r="A67" s="52"/>
      <c r="B67" s="58"/>
      <c r="C67" s="71" t="s">
        <v>834</v>
      </c>
      <c r="D67" s="71" t="s">
        <v>441</v>
      </c>
      <c r="E67" s="91" t="s">
        <v>2065</v>
      </c>
      <c r="F67" s="92" t="s">
        <v>361</v>
      </c>
      <c r="G67" s="61"/>
      <c r="H67" s="107"/>
      <c r="I67" s="60"/>
      <c r="J67" s="60"/>
      <c r="K67" s="60"/>
      <c r="L67" s="123"/>
      <c r="M67" s="243"/>
      <c r="N67" s="111" cm="1">
        <f t="array" ref="N67">IF(AH67=TRUE,_xlfn.IFS(L67=1,2,L67="",IF(M67="",1,2)),0)</f>
        <v>0</v>
      </c>
      <c r="O67" s="69" t="s">
        <v>255</v>
      </c>
      <c r="P67" s="69" t="s">
        <v>183</v>
      </c>
      <c r="Q67" s="69" t="s">
        <v>183</v>
      </c>
      <c r="R67" s="69" t="s">
        <v>183</v>
      </c>
      <c r="S67" s="69" t="s">
        <v>183</v>
      </c>
      <c r="T67" s="118"/>
      <c r="U67" s="118"/>
      <c r="V67" s="118"/>
      <c r="W67" s="118" t="s">
        <v>448</v>
      </c>
      <c r="X67" s="69"/>
      <c r="Y67" s="69"/>
      <c r="Z67" s="69"/>
      <c r="AA67" s="118"/>
      <c r="AB67" s="118"/>
      <c r="AC67" s="118"/>
      <c r="AD67" s="69"/>
      <c r="AE67" s="69" t="s">
        <v>183</v>
      </c>
      <c r="AF67" s="69"/>
      <c r="AG67" s="69"/>
      <c r="AH67" s="123" t="b">
        <f t="shared" si="4"/>
        <v>0</v>
      </c>
      <c r="AI67" s="123"/>
      <c r="AJ67" s="123"/>
      <c r="AK67" s="123"/>
      <c r="AL67" s="123"/>
      <c r="AM67" s="170" t="str">
        <f t="shared" si="5"/>
        <v/>
      </c>
      <c r="AN67" s="124" t="s">
        <v>2204</v>
      </c>
    </row>
    <row r="68" spans="1:40" ht="22.5">
      <c r="A68" s="52"/>
      <c r="B68" s="58"/>
      <c r="C68" s="71" t="s">
        <v>837</v>
      </c>
      <c r="D68" s="71" t="s">
        <v>443</v>
      </c>
      <c r="E68" s="91" t="s">
        <v>813</v>
      </c>
      <c r="F68" s="92" t="s">
        <v>254</v>
      </c>
      <c r="G68" s="61"/>
      <c r="H68" s="107"/>
      <c r="I68" s="60"/>
      <c r="J68" s="60"/>
      <c r="K68" s="60"/>
      <c r="L68" s="123"/>
      <c r="M68" s="243"/>
      <c r="N68" s="111" cm="1">
        <f t="array" ref="N68">IF(AH68=TRUE,_xlfn.IFS(L68=1,2,L68="",IF(M68="",1,2)),0)</f>
        <v>0</v>
      </c>
      <c r="O68" s="69" t="s">
        <v>255</v>
      </c>
      <c r="P68" s="69" t="s">
        <v>183</v>
      </c>
      <c r="Q68" s="69" t="s">
        <v>183</v>
      </c>
      <c r="R68" s="69" t="s">
        <v>183</v>
      </c>
      <c r="S68" s="118" t="s">
        <v>183</v>
      </c>
      <c r="T68" s="118"/>
      <c r="U68" s="118"/>
      <c r="V68" s="118"/>
      <c r="W68" s="118" t="s">
        <v>448</v>
      </c>
      <c r="X68" s="69"/>
      <c r="Y68" s="69"/>
      <c r="Z68" s="69"/>
      <c r="AA68" s="118"/>
      <c r="AB68" s="118"/>
      <c r="AC68" s="118"/>
      <c r="AD68" s="69"/>
      <c r="AE68" s="69" t="s">
        <v>183</v>
      </c>
      <c r="AF68" s="69"/>
      <c r="AG68" s="69"/>
      <c r="AH68" s="123" t="b">
        <f t="shared" si="4"/>
        <v>0</v>
      </c>
      <c r="AI68" s="123"/>
      <c r="AJ68" s="123"/>
      <c r="AK68" s="123"/>
      <c r="AL68" s="123"/>
      <c r="AM68" s="170" t="str">
        <f t="shared" si="5"/>
        <v/>
      </c>
      <c r="AN68" s="123"/>
    </row>
    <row r="69" spans="1:40" ht="112.5">
      <c r="A69" s="52"/>
      <c r="B69" s="58"/>
      <c r="C69" s="71" t="s">
        <v>840</v>
      </c>
      <c r="D69" s="71" t="s">
        <v>446</v>
      </c>
      <c r="E69" s="91" t="s">
        <v>815</v>
      </c>
      <c r="F69" s="92" t="s">
        <v>254</v>
      </c>
      <c r="G69" s="61"/>
      <c r="H69" s="107"/>
      <c r="I69" s="60"/>
      <c r="J69" s="60"/>
      <c r="K69" s="60"/>
      <c r="L69" s="123"/>
      <c r="M69" s="243"/>
      <c r="N69" s="111" cm="1">
        <f t="array" ref="N69">IF(AH69=TRUE,_xlfn.IFS(L69=1,2,L69="",IF(M69="",1,2)),0)</f>
        <v>0</v>
      </c>
      <c r="O69" s="69" t="s">
        <v>255</v>
      </c>
      <c r="P69" s="69" t="s">
        <v>183</v>
      </c>
      <c r="Q69" s="69" t="s">
        <v>183</v>
      </c>
      <c r="R69" s="69" t="s">
        <v>183</v>
      </c>
      <c r="S69" s="118" t="s">
        <v>183</v>
      </c>
      <c r="T69" s="118"/>
      <c r="U69" s="118"/>
      <c r="V69" s="118"/>
      <c r="W69" s="118" t="s">
        <v>448</v>
      </c>
      <c r="X69" s="69"/>
      <c r="Y69" s="69"/>
      <c r="Z69" s="69"/>
      <c r="AA69" s="69"/>
      <c r="AB69" s="69"/>
      <c r="AC69" s="69"/>
      <c r="AD69" s="69"/>
      <c r="AE69" s="69" t="s">
        <v>183</v>
      </c>
      <c r="AF69" s="69"/>
      <c r="AG69" s="69"/>
      <c r="AH69" s="123" t="b">
        <f t="shared" si="4"/>
        <v>0</v>
      </c>
      <c r="AI69" s="123"/>
      <c r="AJ69" s="123"/>
      <c r="AK69" s="123"/>
      <c r="AL69" s="123"/>
      <c r="AM69" s="170" t="str">
        <f t="shared" si="5"/>
        <v/>
      </c>
      <c r="AN69" s="123"/>
    </row>
    <row r="70" spans="1:40" ht="67.5">
      <c r="A70" s="52"/>
      <c r="B70" s="58"/>
      <c r="C70" s="71" t="s">
        <v>843</v>
      </c>
      <c r="D70" s="71" t="s">
        <v>817</v>
      </c>
      <c r="E70" s="91" t="s">
        <v>818</v>
      </c>
      <c r="F70" s="92" t="s">
        <v>254</v>
      </c>
      <c r="G70" s="61"/>
      <c r="H70" s="107"/>
      <c r="I70" s="60"/>
      <c r="J70" s="60"/>
      <c r="K70" s="60"/>
      <c r="L70" s="123"/>
      <c r="M70" s="243"/>
      <c r="N70" s="111" cm="1">
        <f t="array" ref="N70">IF(AH70=TRUE,_xlfn.IFS(L70=1,2,L70="",IF(M70="",1,2)),0)</f>
        <v>0</v>
      </c>
      <c r="O70" s="69" t="s">
        <v>255</v>
      </c>
      <c r="P70" s="69" t="s">
        <v>183</v>
      </c>
      <c r="Q70" s="69" t="s">
        <v>183</v>
      </c>
      <c r="R70" s="69" t="s">
        <v>183</v>
      </c>
      <c r="S70" s="118" t="s">
        <v>183</v>
      </c>
      <c r="T70" s="118"/>
      <c r="U70" s="118"/>
      <c r="V70" s="118"/>
      <c r="W70" s="118" t="s">
        <v>448</v>
      </c>
      <c r="X70" s="69"/>
      <c r="Y70" s="69"/>
      <c r="Z70" s="69"/>
      <c r="AA70" s="118"/>
      <c r="AB70" s="118" t="s">
        <v>183</v>
      </c>
      <c r="AC70" s="118"/>
      <c r="AD70" s="69" t="s">
        <v>183</v>
      </c>
      <c r="AE70" s="69" t="s">
        <v>183</v>
      </c>
      <c r="AF70" s="69"/>
      <c r="AG70" s="69"/>
      <c r="AH70" s="123" t="b">
        <f t="shared" si="4"/>
        <v>0</v>
      </c>
      <c r="AI70" s="123"/>
      <c r="AJ70" s="123"/>
      <c r="AK70" s="123"/>
      <c r="AL70" s="123"/>
      <c r="AM70" s="170" t="str">
        <f t="shared" si="5"/>
        <v/>
      </c>
      <c r="AN70" s="123" t="s">
        <v>563</v>
      </c>
    </row>
    <row r="71" spans="1:40" ht="22.5">
      <c r="A71" s="52"/>
      <c r="B71" s="58"/>
      <c r="C71" s="71" t="s">
        <v>2104</v>
      </c>
      <c r="D71" s="71" t="s">
        <v>820</v>
      </c>
      <c r="E71" s="91" t="s">
        <v>821</v>
      </c>
      <c r="F71" s="92" t="s">
        <v>254</v>
      </c>
      <c r="G71" s="61"/>
      <c r="H71" s="107"/>
      <c r="I71" s="60"/>
      <c r="J71" s="60"/>
      <c r="K71" s="60"/>
      <c r="L71" s="123"/>
      <c r="M71" s="243"/>
      <c r="N71" s="111" cm="1">
        <f t="array" ref="N71">IF(AH71=TRUE,_xlfn.IFS(L71=1,2,L71="",IF(M71="",1,2)),0)</f>
        <v>0</v>
      </c>
      <c r="O71" s="69" t="s">
        <v>255</v>
      </c>
      <c r="P71" s="69" t="s">
        <v>183</v>
      </c>
      <c r="Q71" s="69" t="s">
        <v>183</v>
      </c>
      <c r="R71" s="69" t="s">
        <v>183</v>
      </c>
      <c r="S71" s="118" t="s">
        <v>183</v>
      </c>
      <c r="T71" s="118"/>
      <c r="U71" s="118"/>
      <c r="V71" s="118"/>
      <c r="W71" s="118" t="s">
        <v>448</v>
      </c>
      <c r="X71" s="69"/>
      <c r="Y71" s="69"/>
      <c r="Z71" s="69"/>
      <c r="AA71" s="118"/>
      <c r="AB71" s="118"/>
      <c r="AC71" s="118"/>
      <c r="AD71" s="69" t="s">
        <v>183</v>
      </c>
      <c r="AE71" s="69" t="s">
        <v>183</v>
      </c>
      <c r="AF71" s="69"/>
      <c r="AG71" s="69"/>
      <c r="AH71" s="123" t="b">
        <f t="shared" si="4"/>
        <v>0</v>
      </c>
      <c r="AI71" s="123"/>
      <c r="AJ71" s="123"/>
      <c r="AK71" s="123"/>
      <c r="AL71" s="123"/>
      <c r="AM71" s="170" t="str">
        <f t="shared" si="5"/>
        <v/>
      </c>
      <c r="AN71" s="123"/>
    </row>
    <row r="72" spans="1:40" ht="45">
      <c r="A72" s="52"/>
      <c r="B72" s="58"/>
      <c r="C72" s="71" t="s">
        <v>2105</v>
      </c>
      <c r="D72" s="71" t="s">
        <v>822</v>
      </c>
      <c r="E72" s="91" t="s">
        <v>823</v>
      </c>
      <c r="F72" s="92" t="s">
        <v>254</v>
      </c>
      <c r="G72" s="61"/>
      <c r="H72" s="107"/>
      <c r="I72" s="60"/>
      <c r="J72" s="60"/>
      <c r="K72" s="60"/>
      <c r="L72" s="123"/>
      <c r="M72" s="243"/>
      <c r="N72" s="111" cm="1">
        <f t="array" ref="N72">IF(AH72=TRUE,_xlfn.IFS(L72=1,2,L72="",IF(M72="",1,2)),0)</f>
        <v>0</v>
      </c>
      <c r="O72" s="69" t="s">
        <v>255</v>
      </c>
      <c r="P72" s="69" t="s">
        <v>183</v>
      </c>
      <c r="Q72" s="69" t="s">
        <v>183</v>
      </c>
      <c r="R72" s="69" t="s">
        <v>183</v>
      </c>
      <c r="S72" s="118" t="s">
        <v>183</v>
      </c>
      <c r="T72" s="118"/>
      <c r="U72" s="118"/>
      <c r="V72" s="118"/>
      <c r="W72" s="118" t="s">
        <v>448</v>
      </c>
      <c r="X72" s="69"/>
      <c r="Y72" s="69"/>
      <c r="Z72" s="69"/>
      <c r="AA72" s="118"/>
      <c r="AB72" s="118"/>
      <c r="AC72" s="118"/>
      <c r="AD72" s="69" t="s">
        <v>183</v>
      </c>
      <c r="AE72" s="69" t="s">
        <v>183</v>
      </c>
      <c r="AF72" s="69"/>
      <c r="AG72" s="69"/>
      <c r="AH72" s="123" t="b">
        <f t="shared" si="4"/>
        <v>0</v>
      </c>
      <c r="AI72" s="123"/>
      <c r="AJ72" s="123"/>
      <c r="AK72" s="123"/>
      <c r="AL72" s="123"/>
      <c r="AM72" s="170" t="str">
        <f t="shared" si="5"/>
        <v/>
      </c>
      <c r="AN72" s="123"/>
    </row>
    <row r="73" spans="1:40" ht="45">
      <c r="A73" s="52"/>
      <c r="B73" s="58"/>
      <c r="C73" s="71" t="s">
        <v>848</v>
      </c>
      <c r="D73" s="71" t="s">
        <v>824</v>
      </c>
      <c r="E73" s="91" t="s">
        <v>825</v>
      </c>
      <c r="F73" s="92" t="s">
        <v>254</v>
      </c>
      <c r="G73" s="61"/>
      <c r="H73" s="107"/>
      <c r="I73" s="60"/>
      <c r="J73" s="60"/>
      <c r="K73" s="60"/>
      <c r="L73" s="123"/>
      <c r="M73" s="243"/>
      <c r="N73" s="111" cm="1">
        <f t="array" ref="N73">IF(AH73=TRUE,_xlfn.IFS(L73=1,2,L73="",IF(M73="",1,2)),0)</f>
        <v>0</v>
      </c>
      <c r="O73" s="69" t="s">
        <v>255</v>
      </c>
      <c r="P73" s="69" t="s">
        <v>183</v>
      </c>
      <c r="Q73" s="69" t="s">
        <v>183</v>
      </c>
      <c r="R73" s="69" t="s">
        <v>183</v>
      </c>
      <c r="S73" s="118" t="s">
        <v>183</v>
      </c>
      <c r="T73" s="118"/>
      <c r="U73" s="118"/>
      <c r="V73" s="118"/>
      <c r="W73" s="118" t="s">
        <v>448</v>
      </c>
      <c r="X73" s="69"/>
      <c r="Y73" s="69"/>
      <c r="Z73" s="69"/>
      <c r="AA73" s="118"/>
      <c r="AB73" s="118"/>
      <c r="AC73" s="118"/>
      <c r="AD73" s="69" t="s">
        <v>183</v>
      </c>
      <c r="AE73" s="69" t="s">
        <v>183</v>
      </c>
      <c r="AF73" s="69"/>
      <c r="AG73" s="69"/>
      <c r="AH73" s="123" t="b">
        <f t="shared" si="4"/>
        <v>0</v>
      </c>
      <c r="AI73" s="123"/>
      <c r="AJ73" s="123"/>
      <c r="AK73" s="123"/>
      <c r="AL73" s="123"/>
      <c r="AM73" s="170" t="str">
        <f t="shared" si="5"/>
        <v/>
      </c>
      <c r="AN73" s="123"/>
    </row>
    <row r="74" spans="1:40" ht="22.5">
      <c r="A74" s="52"/>
      <c r="B74" s="58"/>
      <c r="C74" s="71" t="s">
        <v>850</v>
      </c>
      <c r="D74" s="71" t="s">
        <v>826</v>
      </c>
      <c r="E74" s="91" t="s">
        <v>827</v>
      </c>
      <c r="F74" s="92" t="s">
        <v>254</v>
      </c>
      <c r="G74" s="61"/>
      <c r="H74" s="107"/>
      <c r="I74" s="60"/>
      <c r="J74" s="60"/>
      <c r="K74" s="60"/>
      <c r="L74" s="123"/>
      <c r="M74" s="243"/>
      <c r="N74" s="111" cm="1">
        <f t="array" ref="N74">IF(AH74=TRUE,_xlfn.IFS(L74=1,2,L74="",IF(M74="",1,2)),0)</f>
        <v>0</v>
      </c>
      <c r="O74" s="69" t="s">
        <v>255</v>
      </c>
      <c r="P74" s="69" t="s">
        <v>183</v>
      </c>
      <c r="Q74" s="69" t="s">
        <v>183</v>
      </c>
      <c r="R74" s="69" t="s">
        <v>183</v>
      </c>
      <c r="S74" s="118" t="s">
        <v>183</v>
      </c>
      <c r="T74" s="118"/>
      <c r="U74" s="118"/>
      <c r="V74" s="118"/>
      <c r="W74" s="118" t="s">
        <v>448</v>
      </c>
      <c r="X74" s="69"/>
      <c r="Y74" s="69"/>
      <c r="Z74" s="69"/>
      <c r="AA74" s="118"/>
      <c r="AB74" s="118"/>
      <c r="AC74" s="118"/>
      <c r="AD74" s="69" t="s">
        <v>183</v>
      </c>
      <c r="AE74" s="69" t="s">
        <v>183</v>
      </c>
      <c r="AF74" s="69"/>
      <c r="AG74" s="69"/>
      <c r="AH74" s="123" t="b">
        <f t="shared" si="4"/>
        <v>0</v>
      </c>
      <c r="AI74" s="123"/>
      <c r="AJ74" s="123"/>
      <c r="AK74" s="123"/>
      <c r="AL74" s="123"/>
      <c r="AM74" s="170" t="str">
        <f t="shared" si="5"/>
        <v/>
      </c>
      <c r="AN74" s="123"/>
    </row>
    <row r="75" spans="1:40" ht="157.5">
      <c r="A75" s="52"/>
      <c r="B75" s="58"/>
      <c r="C75" s="71" t="s">
        <v>852</v>
      </c>
      <c r="D75" s="71" t="s">
        <v>829</v>
      </c>
      <c r="E75" s="91" t="s">
        <v>830</v>
      </c>
      <c r="F75" s="92" t="s">
        <v>254</v>
      </c>
      <c r="G75" s="61"/>
      <c r="H75" s="107"/>
      <c r="I75" s="60"/>
      <c r="J75" s="60"/>
      <c r="K75" s="60"/>
      <c r="L75" s="123"/>
      <c r="M75" s="243"/>
      <c r="N75" s="111" cm="1">
        <f t="array" ref="N75">IF(AH75=TRUE,_xlfn.IFS(L75=1,2,L75="",IF(M75="",1,2)),0)</f>
        <v>0</v>
      </c>
      <c r="O75" s="69" t="s">
        <v>255</v>
      </c>
      <c r="P75" s="69" t="s">
        <v>183</v>
      </c>
      <c r="Q75" s="69" t="s">
        <v>183</v>
      </c>
      <c r="R75" s="69" t="s">
        <v>183</v>
      </c>
      <c r="S75" s="118" t="s">
        <v>183</v>
      </c>
      <c r="T75" s="118"/>
      <c r="U75" s="118"/>
      <c r="V75" s="118"/>
      <c r="W75" s="118" t="s">
        <v>448</v>
      </c>
      <c r="X75" s="69"/>
      <c r="Y75" s="69"/>
      <c r="Z75" s="69"/>
      <c r="AA75" s="118"/>
      <c r="AB75" s="118"/>
      <c r="AC75" s="118"/>
      <c r="AD75" s="69" t="s">
        <v>183</v>
      </c>
      <c r="AE75" s="69" t="s">
        <v>183</v>
      </c>
      <c r="AF75" s="69"/>
      <c r="AG75" s="69"/>
      <c r="AH75" s="123" t="b">
        <f t="shared" si="4"/>
        <v>0</v>
      </c>
      <c r="AI75" s="123"/>
      <c r="AJ75" s="123"/>
      <c r="AK75" s="123"/>
      <c r="AL75" s="123"/>
      <c r="AM75" s="170" t="str">
        <f t="shared" si="5"/>
        <v/>
      </c>
      <c r="AN75" s="123" t="s">
        <v>547</v>
      </c>
    </row>
    <row r="76" spans="1:40" ht="135">
      <c r="A76" s="52"/>
      <c r="B76" s="58"/>
      <c r="C76" s="71" t="s">
        <v>854</v>
      </c>
      <c r="D76" s="71" t="s">
        <v>832</v>
      </c>
      <c r="E76" s="91" t="s">
        <v>833</v>
      </c>
      <c r="F76" s="92" t="s">
        <v>254</v>
      </c>
      <c r="G76" s="61"/>
      <c r="H76" s="107"/>
      <c r="I76" s="60"/>
      <c r="J76" s="60"/>
      <c r="K76" s="60"/>
      <c r="L76" s="123"/>
      <c r="M76" s="243"/>
      <c r="N76" s="111" cm="1">
        <f t="array" ref="N76">IF(AH76=TRUE,_xlfn.IFS(L76=1,2,L76="",IF(M76="",1,2)),0)</f>
        <v>0</v>
      </c>
      <c r="O76" s="69" t="s">
        <v>255</v>
      </c>
      <c r="P76" s="69" t="s">
        <v>183</v>
      </c>
      <c r="Q76" s="69" t="s">
        <v>183</v>
      </c>
      <c r="R76" s="69" t="s">
        <v>183</v>
      </c>
      <c r="S76" s="118" t="s">
        <v>183</v>
      </c>
      <c r="T76" s="118"/>
      <c r="U76" s="118"/>
      <c r="V76" s="118"/>
      <c r="W76" s="118" t="s">
        <v>448</v>
      </c>
      <c r="X76" s="69"/>
      <c r="Y76" s="69"/>
      <c r="Z76" s="69"/>
      <c r="AA76" s="118"/>
      <c r="AB76" s="118"/>
      <c r="AC76" s="118"/>
      <c r="AD76" s="69" t="s">
        <v>183</v>
      </c>
      <c r="AE76" s="69" t="s">
        <v>183</v>
      </c>
      <c r="AF76" s="69"/>
      <c r="AG76" s="69"/>
      <c r="AH76" s="123" t="b">
        <f t="shared" si="4"/>
        <v>0</v>
      </c>
      <c r="AI76" s="123"/>
      <c r="AJ76" s="123"/>
      <c r="AK76" s="123"/>
      <c r="AL76" s="123"/>
      <c r="AM76" s="170" t="str">
        <f t="shared" si="5"/>
        <v/>
      </c>
      <c r="AN76" s="123"/>
    </row>
    <row r="77" spans="1:40" ht="22.5">
      <c r="A77" s="52"/>
      <c r="B77" s="58"/>
      <c r="C77" s="71" t="s">
        <v>858</v>
      </c>
      <c r="D77" s="71" t="s">
        <v>835</v>
      </c>
      <c r="E77" s="91" t="s">
        <v>836</v>
      </c>
      <c r="F77" s="92" t="s">
        <v>254</v>
      </c>
      <c r="G77" s="61"/>
      <c r="H77" s="107"/>
      <c r="I77" s="60"/>
      <c r="J77" s="60"/>
      <c r="K77" s="60"/>
      <c r="L77" s="123"/>
      <c r="M77" s="243"/>
      <c r="N77" s="111" cm="1">
        <f t="array" ref="N77">IF(AH77=TRUE,_xlfn.IFS(L77=1,2,L77="",IF(M77="",1,2)),0)</f>
        <v>0</v>
      </c>
      <c r="O77" s="69" t="s">
        <v>255</v>
      </c>
      <c r="P77" s="69" t="s">
        <v>183</v>
      </c>
      <c r="Q77" s="69" t="s">
        <v>183</v>
      </c>
      <c r="R77" s="69" t="s">
        <v>183</v>
      </c>
      <c r="S77" s="118" t="s">
        <v>183</v>
      </c>
      <c r="T77" s="118"/>
      <c r="U77" s="118"/>
      <c r="V77" s="118"/>
      <c r="W77" s="118" t="s">
        <v>448</v>
      </c>
      <c r="X77" s="69"/>
      <c r="Y77" s="69"/>
      <c r="Z77" s="69"/>
      <c r="AA77" s="118"/>
      <c r="AB77" s="118"/>
      <c r="AC77" s="118"/>
      <c r="AD77" s="69" t="s">
        <v>183</v>
      </c>
      <c r="AE77" s="69" t="s">
        <v>183</v>
      </c>
      <c r="AF77" s="69"/>
      <c r="AG77" s="69"/>
      <c r="AH77" s="123" t="b">
        <f t="shared" si="4"/>
        <v>0</v>
      </c>
      <c r="AI77" s="123"/>
      <c r="AJ77" s="123"/>
      <c r="AK77" s="123"/>
      <c r="AL77" s="123"/>
      <c r="AM77" s="170" t="str">
        <f t="shared" si="5"/>
        <v/>
      </c>
      <c r="AN77" s="123"/>
    </row>
    <row r="78" spans="1:40" ht="22.5">
      <c r="A78" s="52"/>
      <c r="B78" s="58"/>
      <c r="C78" s="71" t="s">
        <v>2106</v>
      </c>
      <c r="D78" s="71" t="s">
        <v>838</v>
      </c>
      <c r="E78" s="91" t="s">
        <v>839</v>
      </c>
      <c r="F78" s="92" t="s">
        <v>254</v>
      </c>
      <c r="G78" s="61"/>
      <c r="H78" s="107"/>
      <c r="I78" s="60"/>
      <c r="J78" s="60"/>
      <c r="K78" s="60"/>
      <c r="L78" s="123"/>
      <c r="M78" s="243"/>
      <c r="N78" s="111" cm="1">
        <f t="array" ref="N78">IF(AH78=TRUE,_xlfn.IFS(L78=1,2,L78="",IF(M78="",1,2)),0)</f>
        <v>0</v>
      </c>
      <c r="O78" s="69" t="s">
        <v>255</v>
      </c>
      <c r="P78" s="69" t="s">
        <v>183</v>
      </c>
      <c r="Q78" s="69" t="s">
        <v>183</v>
      </c>
      <c r="R78" s="69" t="s">
        <v>183</v>
      </c>
      <c r="S78" s="69" t="s">
        <v>183</v>
      </c>
      <c r="T78" s="69"/>
      <c r="U78" s="69"/>
      <c r="V78" s="69"/>
      <c r="W78" s="118" t="s">
        <v>448</v>
      </c>
      <c r="X78" s="69"/>
      <c r="Y78" s="69"/>
      <c r="Z78" s="69"/>
      <c r="AA78" s="69"/>
      <c r="AB78" s="69"/>
      <c r="AC78" s="69"/>
      <c r="AD78" s="69" t="s">
        <v>183</v>
      </c>
      <c r="AE78" s="69" t="s">
        <v>183</v>
      </c>
      <c r="AF78" s="69"/>
      <c r="AG78" s="69"/>
      <c r="AH78" s="123" t="b">
        <f t="shared" si="4"/>
        <v>0</v>
      </c>
      <c r="AI78" s="123"/>
      <c r="AJ78" s="123"/>
      <c r="AK78" s="123"/>
      <c r="AL78" s="123"/>
      <c r="AM78" s="170" t="str">
        <f t="shared" si="5"/>
        <v/>
      </c>
      <c r="AN78" s="123"/>
    </row>
    <row r="79" spans="1:40" ht="67.5">
      <c r="A79" s="52"/>
      <c r="B79" s="58"/>
      <c r="C79" s="71" t="s">
        <v>862</v>
      </c>
      <c r="D79" s="71" t="s">
        <v>841</v>
      </c>
      <c r="E79" s="91" t="s">
        <v>842</v>
      </c>
      <c r="F79" s="92" t="s">
        <v>254</v>
      </c>
      <c r="G79" s="61"/>
      <c r="H79" s="107"/>
      <c r="I79" s="60"/>
      <c r="J79" s="60"/>
      <c r="K79" s="60"/>
      <c r="L79" s="123"/>
      <c r="M79" s="243"/>
      <c r="N79" s="111" cm="1">
        <f t="array" ref="N79">IF(AH79=TRUE,_xlfn.IFS(L79=1,2,L79="",IF(M79="",1,2)),0)</f>
        <v>0</v>
      </c>
      <c r="O79" s="69" t="s">
        <v>255</v>
      </c>
      <c r="P79" s="69" t="s">
        <v>183</v>
      </c>
      <c r="Q79" s="69" t="s">
        <v>183</v>
      </c>
      <c r="R79" s="69" t="s">
        <v>183</v>
      </c>
      <c r="S79" s="118" t="s">
        <v>183</v>
      </c>
      <c r="T79" s="118"/>
      <c r="U79" s="118"/>
      <c r="V79" s="118"/>
      <c r="W79" s="118" t="s">
        <v>448</v>
      </c>
      <c r="X79" s="69"/>
      <c r="Y79" s="69"/>
      <c r="Z79" s="69"/>
      <c r="AA79" s="69"/>
      <c r="AB79" s="69"/>
      <c r="AC79" s="69"/>
      <c r="AD79" s="69" t="s">
        <v>183</v>
      </c>
      <c r="AE79" s="69" t="s">
        <v>183</v>
      </c>
      <c r="AF79" s="69"/>
      <c r="AG79" s="69"/>
      <c r="AH79" s="123" t="b">
        <f t="shared" si="4"/>
        <v>0</v>
      </c>
      <c r="AI79" s="123"/>
      <c r="AJ79" s="123"/>
      <c r="AK79" s="123"/>
      <c r="AL79" s="123"/>
      <c r="AM79" s="170" t="str">
        <f t="shared" si="5"/>
        <v/>
      </c>
      <c r="AN79" s="123" t="s">
        <v>504</v>
      </c>
    </row>
    <row r="80" spans="1:40" ht="157.5">
      <c r="A80" s="52"/>
      <c r="B80" s="58"/>
      <c r="C80" s="71" t="s">
        <v>866</v>
      </c>
      <c r="D80" s="71" t="s">
        <v>844</v>
      </c>
      <c r="E80" s="91" t="s">
        <v>2192</v>
      </c>
      <c r="F80" s="92" t="s">
        <v>254</v>
      </c>
      <c r="G80" s="61"/>
      <c r="H80" s="107"/>
      <c r="I80" s="60"/>
      <c r="J80" s="60"/>
      <c r="K80" s="60"/>
      <c r="L80" s="123"/>
      <c r="M80" s="243"/>
      <c r="N80" s="111" cm="1">
        <f t="array" ref="N80">IF(AH80=TRUE,_xlfn.IFS(L80=1,2,L80="",IF(M80="",1,2)),0)</f>
        <v>0</v>
      </c>
      <c r="O80" s="69" t="s">
        <v>255</v>
      </c>
      <c r="P80" s="69" t="s">
        <v>183</v>
      </c>
      <c r="Q80" s="69" t="s">
        <v>183</v>
      </c>
      <c r="R80" s="69" t="s">
        <v>183</v>
      </c>
      <c r="S80" s="118" t="s">
        <v>183</v>
      </c>
      <c r="T80" s="118"/>
      <c r="U80" s="118"/>
      <c r="V80" s="118"/>
      <c r="W80" s="118" t="s">
        <v>448</v>
      </c>
      <c r="X80" s="69"/>
      <c r="Y80" s="69"/>
      <c r="Z80" s="69"/>
      <c r="AA80" s="69"/>
      <c r="AB80" s="69"/>
      <c r="AC80" s="69"/>
      <c r="AD80" s="69" t="s">
        <v>183</v>
      </c>
      <c r="AE80" s="69" t="s">
        <v>183</v>
      </c>
      <c r="AF80" s="69"/>
      <c r="AG80" s="69"/>
      <c r="AH80" s="123" t="b">
        <f t="shared" si="4"/>
        <v>0</v>
      </c>
      <c r="AI80" s="123"/>
      <c r="AJ80" s="123"/>
      <c r="AK80" s="123"/>
      <c r="AL80" s="123"/>
      <c r="AM80" s="170" t="str">
        <f t="shared" ref="AM80" si="6">IF(AI80&lt;&gt;"","セキュリティ管理/","")&amp;IF(AJ80&lt;&gt;"","マルウェア/","")&amp;IF(AK80&lt;&gt;"","クラウド/","")&amp;IF(AL80&lt;&gt;"","別表1,2,3","")</f>
        <v/>
      </c>
      <c r="AN80" s="124" t="s">
        <v>2232</v>
      </c>
    </row>
    <row r="81" spans="1:40" ht="270">
      <c r="A81" s="52"/>
      <c r="B81" s="58"/>
      <c r="C81" s="71" t="s">
        <v>869</v>
      </c>
      <c r="D81" s="196" t="s">
        <v>2082</v>
      </c>
      <c r="E81" s="91" t="s">
        <v>2083</v>
      </c>
      <c r="F81" s="92" t="s">
        <v>254</v>
      </c>
      <c r="G81" s="61"/>
      <c r="H81" s="107"/>
      <c r="I81" s="60"/>
      <c r="J81" s="60"/>
      <c r="K81" s="60"/>
      <c r="L81" s="123"/>
      <c r="M81" s="243"/>
      <c r="N81" s="111" cm="1">
        <f t="array" ref="N81">IF(AH81=TRUE,_xlfn.IFS(L81=1,2,L81="",IF(M81="",1,2)),0)</f>
        <v>0</v>
      </c>
      <c r="O81" s="69" t="s">
        <v>255</v>
      </c>
      <c r="P81" s="69" t="s">
        <v>183</v>
      </c>
      <c r="Q81" s="69" t="s">
        <v>183</v>
      </c>
      <c r="R81" s="69" t="s">
        <v>183</v>
      </c>
      <c r="S81" s="118" t="s">
        <v>183</v>
      </c>
      <c r="T81" s="118"/>
      <c r="U81" s="118"/>
      <c r="V81" s="118"/>
      <c r="W81" s="118" t="s">
        <v>448</v>
      </c>
      <c r="X81" s="69"/>
      <c r="Y81" s="69"/>
      <c r="Z81" s="69"/>
      <c r="AA81" s="69"/>
      <c r="AB81" s="69"/>
      <c r="AC81" s="69"/>
      <c r="AD81" s="69" t="s">
        <v>183</v>
      </c>
      <c r="AE81" s="69" t="s">
        <v>183</v>
      </c>
      <c r="AF81" s="69"/>
      <c r="AG81" s="69"/>
      <c r="AH81" s="123" t="b">
        <f t="shared" si="4"/>
        <v>0</v>
      </c>
      <c r="AI81" s="123"/>
      <c r="AJ81" s="123"/>
      <c r="AK81" s="123"/>
      <c r="AL81" s="123"/>
      <c r="AM81" s="170" t="str">
        <f t="shared" ref="AM81" si="7">IF(AI81&lt;&gt;"","セキュリティ管理/","")&amp;IF(AJ81&lt;&gt;"","マルウェア/","")&amp;IF(AK81&lt;&gt;"","クラウド/","")&amp;IF(AL81&lt;&gt;"","別表1,2,3","")</f>
        <v/>
      </c>
      <c r="AN81" s="124" t="s">
        <v>2225</v>
      </c>
    </row>
    <row r="82" spans="1:40" ht="18.75" customHeight="1">
      <c r="A82" s="52" t="s">
        <v>845</v>
      </c>
      <c r="B82" s="52"/>
      <c r="C82" s="113"/>
      <c r="D82" s="113"/>
      <c r="E82" s="77"/>
      <c r="F82" s="56"/>
      <c r="G82" s="56"/>
      <c r="H82" s="77"/>
      <c r="I82" s="56"/>
      <c r="J82" s="56"/>
      <c r="K82" s="56"/>
      <c r="L82" s="114"/>
      <c r="M82" s="249"/>
      <c r="N82" s="249"/>
      <c r="O82" s="114"/>
      <c r="P82" s="114"/>
      <c r="Q82" s="114"/>
      <c r="R82" s="114"/>
      <c r="S82" s="114"/>
      <c r="T82" s="114"/>
      <c r="U82" s="114"/>
      <c r="V82" s="114"/>
      <c r="W82" s="114"/>
      <c r="X82" s="114"/>
      <c r="Y82" s="114"/>
      <c r="Z82" s="114"/>
      <c r="AA82" s="114"/>
      <c r="AB82" s="114"/>
      <c r="AC82" s="114"/>
      <c r="AD82" s="114"/>
      <c r="AE82" s="114"/>
      <c r="AF82" s="114"/>
      <c r="AG82" s="114"/>
      <c r="AH82" s="114" t="s">
        <v>728</v>
      </c>
      <c r="AI82" s="114"/>
      <c r="AJ82" s="114"/>
      <c r="AK82" s="114"/>
      <c r="AL82" s="114"/>
      <c r="AM82" s="114"/>
      <c r="AN82" s="114"/>
    </row>
    <row r="83" spans="1:40" ht="18.75" customHeight="1">
      <c r="A83" s="52"/>
      <c r="B83" s="58"/>
      <c r="C83" s="58"/>
      <c r="D83" s="58"/>
      <c r="E83" s="115"/>
      <c r="F83" s="58"/>
      <c r="G83" s="59"/>
      <c r="H83" s="84"/>
      <c r="I83" s="58"/>
      <c r="J83" s="58"/>
      <c r="K83" s="58"/>
      <c r="L83" s="122"/>
      <c r="M83" s="244"/>
      <c r="N83" s="244"/>
      <c r="O83" s="122"/>
      <c r="P83" s="122"/>
      <c r="Q83" s="122"/>
      <c r="R83" s="122"/>
      <c r="S83" s="122"/>
      <c r="T83" s="122"/>
      <c r="U83" s="122"/>
      <c r="V83" s="122"/>
      <c r="W83" s="122"/>
      <c r="X83" s="122"/>
      <c r="Y83" s="122"/>
      <c r="Z83" s="122"/>
      <c r="AA83" s="122"/>
      <c r="AB83" s="122"/>
      <c r="AC83" s="122"/>
      <c r="AD83" s="122"/>
      <c r="AE83" s="122"/>
      <c r="AF83" s="122"/>
      <c r="AG83" s="122"/>
      <c r="AH83" s="122" t="s">
        <v>728</v>
      </c>
      <c r="AI83" s="122"/>
      <c r="AJ83" s="122"/>
      <c r="AK83" s="122"/>
      <c r="AL83" s="122"/>
      <c r="AM83" s="122"/>
      <c r="AN83" s="122"/>
    </row>
    <row r="84" spans="1:40" ht="49.15" customHeight="1">
      <c r="A84" s="52"/>
      <c r="B84" s="58"/>
      <c r="C84" s="71" t="s">
        <v>878</v>
      </c>
      <c r="D84" s="71" t="s">
        <v>451</v>
      </c>
      <c r="E84" s="91" t="s">
        <v>846</v>
      </c>
      <c r="F84" s="92" t="s">
        <v>361</v>
      </c>
      <c r="G84" s="61"/>
      <c r="H84" s="107"/>
      <c r="I84" s="60"/>
      <c r="J84" s="60"/>
      <c r="K84" s="60"/>
      <c r="L84" s="123"/>
      <c r="M84" s="243"/>
      <c r="N84" s="111" cm="1">
        <f t="array" ref="N84">IF(AH84=TRUE,_xlfn.IFS(L84=1,2,L84="",IF(M84="",1,2)),0)</f>
        <v>0</v>
      </c>
      <c r="O84" s="69" t="s">
        <v>255</v>
      </c>
      <c r="P84" s="69" t="s">
        <v>183</v>
      </c>
      <c r="Q84" s="69" t="s">
        <v>183</v>
      </c>
      <c r="R84" s="69" t="s">
        <v>183</v>
      </c>
      <c r="S84" s="118"/>
      <c r="T84" s="118"/>
      <c r="U84" s="118"/>
      <c r="V84" s="118"/>
      <c r="W84" s="118" t="s">
        <v>448</v>
      </c>
      <c r="X84" s="118" t="s">
        <v>255</v>
      </c>
      <c r="Y84" s="69"/>
      <c r="Z84" s="69"/>
      <c r="AA84" s="118"/>
      <c r="AB84" s="118"/>
      <c r="AC84" s="118"/>
      <c r="AD84" s="69" t="s">
        <v>183</v>
      </c>
      <c r="AE84" s="69" t="s">
        <v>183</v>
      </c>
      <c r="AF84" s="69" t="s">
        <v>255</v>
      </c>
      <c r="AG84" s="69" t="s">
        <v>255</v>
      </c>
      <c r="AH84" s="123" t="b">
        <f t="shared" ref="AH84:AH113" si="8">AND(OR(AND($O$5=TRUE,$O84&lt;&gt;""),AND($P$5=TRUE,$P84&lt;&gt;""),AND($Q$5=TRUE,$Q84&lt;&gt;"")),AND($R$5=TRUE,$R84&lt;&gt;""),OR(AND($S$5=TRUE,$S84&lt;&gt;""),AND($T$5=TRUE,$T84&lt;&gt;""),AND($U$5=TRUE,$U84&lt;&gt;""),AND($V$5=TRUE,$V84&lt;&gt;""),AND($W$5=TRUE,$W84&lt;&gt;""),AND($X$5=TRUE,$X84&lt;&gt;""),AND($Y$5=TRUE,$Y84&lt;&gt;""),AND($Z$5=TRUE,$Z84&lt;&gt;""),AND($AA$5=TRUE,$AA84&lt;&gt;""),AND($AB$5=TRUE,$AB84&lt;&gt;""),AND($AC$5=TRUE,$AC84&lt;&gt;"")),OR(AND($AD$5=TRUE,$AD84&lt;&gt;""),AND($AE$5=TRUE,$AE84&lt;&gt;""),AND($AF$5=TRUE,$AF84&lt;&gt;""),AND($AG$5=TRUE,$AG84&lt;&gt;"")))</f>
        <v>0</v>
      </c>
      <c r="AI84" s="123"/>
      <c r="AJ84" s="123"/>
      <c r="AK84" s="123"/>
      <c r="AL84" s="123"/>
      <c r="AM84" s="170" t="str">
        <f t="shared" ref="AM84:AM112" si="9">IF(AI84&lt;&gt;"","セキュリティ管理/","")&amp;IF(AJ84&lt;&gt;"","マルウェア/","")&amp;IF(AK84&lt;&gt;"","クラウド/","")&amp;IF(AL84&lt;&gt;"","別表1,2,3","")</f>
        <v/>
      </c>
      <c r="AN84" s="123"/>
    </row>
    <row r="85" spans="1:40" ht="163.9" customHeight="1">
      <c r="A85" s="52"/>
      <c r="B85" s="58"/>
      <c r="C85" s="71" t="s">
        <v>881</v>
      </c>
      <c r="D85" s="71" t="s">
        <v>454</v>
      </c>
      <c r="E85" s="91" t="s">
        <v>847</v>
      </c>
      <c r="F85" s="92" t="s">
        <v>254</v>
      </c>
      <c r="G85" s="61"/>
      <c r="H85" s="107"/>
      <c r="I85" s="60"/>
      <c r="J85" s="60"/>
      <c r="K85" s="131"/>
      <c r="L85" s="167"/>
      <c r="M85" s="253"/>
      <c r="N85" s="111" cm="1">
        <f t="array" ref="N85">IF(AH85=TRUE,_xlfn.IFS(L85=1,2,L85="",IF(M85="",1,2)),0)</f>
        <v>0</v>
      </c>
      <c r="O85" s="69" t="s">
        <v>255</v>
      </c>
      <c r="P85" s="69" t="s">
        <v>183</v>
      </c>
      <c r="Q85" s="69" t="s">
        <v>183</v>
      </c>
      <c r="R85" s="69" t="s">
        <v>183</v>
      </c>
      <c r="S85" s="69"/>
      <c r="T85" s="69"/>
      <c r="U85" s="69"/>
      <c r="V85" s="69"/>
      <c r="W85" s="118"/>
      <c r="X85" s="118" t="s">
        <v>255</v>
      </c>
      <c r="Y85" s="118"/>
      <c r="Z85" s="118"/>
      <c r="AA85" s="118"/>
      <c r="AB85" s="118"/>
      <c r="AC85" s="118"/>
      <c r="AD85" s="69" t="s">
        <v>183</v>
      </c>
      <c r="AE85" s="69" t="s">
        <v>183</v>
      </c>
      <c r="AF85" s="69" t="s">
        <v>255</v>
      </c>
      <c r="AG85" s="69" t="s">
        <v>255</v>
      </c>
      <c r="AH85" s="123" t="b">
        <f t="shared" si="8"/>
        <v>0</v>
      </c>
      <c r="AI85" s="123"/>
      <c r="AJ85" s="123"/>
      <c r="AK85" s="123"/>
      <c r="AL85" s="123" t="s">
        <v>183</v>
      </c>
      <c r="AM85" s="170" t="str">
        <f t="shared" si="9"/>
        <v>別表1,2,3</v>
      </c>
      <c r="AN85" s="123"/>
    </row>
    <row r="86" spans="1:40" ht="74.5" customHeight="1">
      <c r="A86" s="52"/>
      <c r="B86" s="58"/>
      <c r="C86" s="71" t="s">
        <v>884</v>
      </c>
      <c r="D86" s="71" t="s">
        <v>457</v>
      </c>
      <c r="E86" s="91" t="s">
        <v>849</v>
      </c>
      <c r="F86" s="92" t="s">
        <v>254</v>
      </c>
      <c r="G86" s="61"/>
      <c r="H86" s="107"/>
      <c r="I86" s="60"/>
      <c r="J86" s="60"/>
      <c r="K86" s="60"/>
      <c r="L86" s="123"/>
      <c r="M86" s="243"/>
      <c r="N86" s="111" cm="1">
        <f t="array" ref="N86">IF(AH86=TRUE,_xlfn.IFS(L86=1,2,L86="",IF(M86="",1,2)),0)</f>
        <v>0</v>
      </c>
      <c r="O86" s="69" t="s">
        <v>255</v>
      </c>
      <c r="P86" s="69" t="s">
        <v>183</v>
      </c>
      <c r="Q86" s="69" t="s">
        <v>183</v>
      </c>
      <c r="R86" s="69" t="s">
        <v>183</v>
      </c>
      <c r="S86" s="69"/>
      <c r="T86" s="69"/>
      <c r="U86" s="69"/>
      <c r="V86" s="69"/>
      <c r="W86" s="118" t="s">
        <v>448</v>
      </c>
      <c r="X86" s="118" t="s">
        <v>255</v>
      </c>
      <c r="Y86" s="69"/>
      <c r="Z86" s="69"/>
      <c r="AA86" s="118"/>
      <c r="AB86" s="118"/>
      <c r="AC86" s="118"/>
      <c r="AD86" s="69" t="s">
        <v>183</v>
      </c>
      <c r="AE86" s="69" t="s">
        <v>183</v>
      </c>
      <c r="AF86" s="69" t="s">
        <v>255</v>
      </c>
      <c r="AG86" s="69" t="s">
        <v>255</v>
      </c>
      <c r="AH86" s="123" t="b">
        <f t="shared" si="8"/>
        <v>0</v>
      </c>
      <c r="AI86" s="123"/>
      <c r="AJ86" s="123"/>
      <c r="AK86" s="123"/>
      <c r="AL86" s="123"/>
      <c r="AM86" s="170" t="str">
        <f t="shared" si="9"/>
        <v/>
      </c>
      <c r="AN86" s="123"/>
    </row>
    <row r="87" spans="1:40" ht="366.65" customHeight="1">
      <c r="A87" s="52"/>
      <c r="B87" s="58"/>
      <c r="C87" s="71" t="s">
        <v>886</v>
      </c>
      <c r="D87" s="71" t="s">
        <v>460</v>
      </c>
      <c r="E87" s="91" t="s">
        <v>851</v>
      </c>
      <c r="F87" s="92" t="s">
        <v>254</v>
      </c>
      <c r="G87" s="61"/>
      <c r="H87" s="107"/>
      <c r="I87" s="60"/>
      <c r="J87" s="60"/>
      <c r="K87" s="60"/>
      <c r="L87" s="123"/>
      <c r="M87" s="243"/>
      <c r="N87" s="111" cm="1">
        <f t="array" ref="N87">IF(AH87=TRUE,_xlfn.IFS(L87=1,2,L87="",IF(M87="",1,2)),0)</f>
        <v>0</v>
      </c>
      <c r="O87" s="69" t="s">
        <v>255</v>
      </c>
      <c r="P87" s="69" t="s">
        <v>183</v>
      </c>
      <c r="Q87" s="69" t="s">
        <v>183</v>
      </c>
      <c r="R87" s="69" t="s">
        <v>183</v>
      </c>
      <c r="S87" s="118"/>
      <c r="T87" s="118"/>
      <c r="U87" s="118"/>
      <c r="V87" s="118"/>
      <c r="W87" s="118"/>
      <c r="X87" s="118" t="s">
        <v>255</v>
      </c>
      <c r="Y87" s="69"/>
      <c r="Z87" s="69"/>
      <c r="AA87" s="118"/>
      <c r="AB87" s="118"/>
      <c r="AC87" s="118"/>
      <c r="AD87" s="69" t="s">
        <v>183</v>
      </c>
      <c r="AE87" s="69" t="s">
        <v>183</v>
      </c>
      <c r="AF87" s="69" t="s">
        <v>255</v>
      </c>
      <c r="AG87" s="69" t="s">
        <v>255</v>
      </c>
      <c r="AH87" s="123" t="b">
        <f t="shared" si="8"/>
        <v>0</v>
      </c>
      <c r="AI87" s="123"/>
      <c r="AJ87" s="123" t="s">
        <v>183</v>
      </c>
      <c r="AK87" s="123"/>
      <c r="AL87" s="123"/>
      <c r="AM87" s="170" t="str">
        <f t="shared" si="9"/>
        <v>マルウェア/</v>
      </c>
      <c r="AN87" s="123"/>
    </row>
    <row r="88" spans="1:40" ht="90">
      <c r="A88" s="52"/>
      <c r="B88" s="58"/>
      <c r="C88" s="71" t="s">
        <v>889</v>
      </c>
      <c r="D88" s="71" t="s">
        <v>462</v>
      </c>
      <c r="E88" s="91" t="s">
        <v>853</v>
      </c>
      <c r="F88" s="92" t="s">
        <v>254</v>
      </c>
      <c r="G88" s="61"/>
      <c r="H88" s="107"/>
      <c r="I88" s="60"/>
      <c r="J88" s="60"/>
      <c r="K88" s="60"/>
      <c r="L88" s="123"/>
      <c r="M88" s="243"/>
      <c r="N88" s="111" cm="1">
        <f t="array" ref="N88">IF(AH88=TRUE,_xlfn.IFS(L88=1,2,L88="",IF(M88="",1,2)),0)</f>
        <v>0</v>
      </c>
      <c r="O88" s="69" t="s">
        <v>255</v>
      </c>
      <c r="P88" s="69" t="s">
        <v>183</v>
      </c>
      <c r="Q88" s="69" t="s">
        <v>183</v>
      </c>
      <c r="R88" s="69" t="s">
        <v>183</v>
      </c>
      <c r="S88" s="118"/>
      <c r="T88" s="118"/>
      <c r="U88" s="118"/>
      <c r="V88" s="118"/>
      <c r="W88" s="118"/>
      <c r="X88" s="118" t="s">
        <v>255</v>
      </c>
      <c r="Y88" s="69"/>
      <c r="Z88" s="69"/>
      <c r="AA88" s="118"/>
      <c r="AB88" s="118"/>
      <c r="AC88" s="118"/>
      <c r="AD88" s="69" t="s">
        <v>183</v>
      </c>
      <c r="AE88" s="69" t="s">
        <v>183</v>
      </c>
      <c r="AF88" s="69" t="s">
        <v>255</v>
      </c>
      <c r="AG88" s="69" t="s">
        <v>255</v>
      </c>
      <c r="AH88" s="123" t="b">
        <f t="shared" si="8"/>
        <v>0</v>
      </c>
      <c r="AI88" s="123" t="s">
        <v>183</v>
      </c>
      <c r="AJ88" s="123"/>
      <c r="AK88" s="123"/>
      <c r="AL88" s="123" t="s">
        <v>183</v>
      </c>
      <c r="AM88" s="170" t="str">
        <f t="shared" si="9"/>
        <v>セキュリティ管理/別表1,2,3</v>
      </c>
      <c r="AN88" s="123" t="s">
        <v>337</v>
      </c>
    </row>
    <row r="89" spans="1:40" ht="337.5">
      <c r="A89" s="52"/>
      <c r="B89" s="58"/>
      <c r="C89" s="71" t="s">
        <v>892</v>
      </c>
      <c r="D89" s="71" t="s">
        <v>855</v>
      </c>
      <c r="E89" s="91" t="s">
        <v>856</v>
      </c>
      <c r="F89" s="92" t="s">
        <v>254</v>
      </c>
      <c r="G89" s="61"/>
      <c r="H89" s="107"/>
      <c r="I89" s="60"/>
      <c r="J89" s="60"/>
      <c r="K89" s="60"/>
      <c r="L89" s="123"/>
      <c r="M89" s="243"/>
      <c r="N89" s="111" cm="1">
        <f t="array" ref="N89">IF(AH89=TRUE,_xlfn.IFS(L89=1,2,L89="",IF(M89="",1,2)),0)</f>
        <v>0</v>
      </c>
      <c r="O89" s="69" t="s">
        <v>255</v>
      </c>
      <c r="P89" s="69" t="s">
        <v>183</v>
      </c>
      <c r="Q89" s="69" t="s">
        <v>183</v>
      </c>
      <c r="R89" s="69" t="s">
        <v>183</v>
      </c>
      <c r="S89" s="118"/>
      <c r="T89" s="118"/>
      <c r="U89" s="118"/>
      <c r="V89" s="118"/>
      <c r="W89" s="118"/>
      <c r="X89" s="118" t="s">
        <v>255</v>
      </c>
      <c r="Y89" s="69"/>
      <c r="Z89" s="69"/>
      <c r="AA89" s="118"/>
      <c r="AB89" s="118"/>
      <c r="AC89" s="118"/>
      <c r="AD89" s="69" t="s">
        <v>183</v>
      </c>
      <c r="AE89" s="69" t="s">
        <v>183</v>
      </c>
      <c r="AF89" s="69" t="s">
        <v>255</v>
      </c>
      <c r="AG89" s="69" t="s">
        <v>255</v>
      </c>
      <c r="AH89" s="123" t="b">
        <f t="shared" si="8"/>
        <v>0</v>
      </c>
      <c r="AI89" s="123" t="s">
        <v>183</v>
      </c>
      <c r="AJ89" s="123"/>
      <c r="AK89" s="123"/>
      <c r="AL89" s="123" t="s">
        <v>183</v>
      </c>
      <c r="AM89" s="170" t="str">
        <f t="shared" ref="AM89" si="10">IF(AI89&lt;&gt;"","セキュリティ管理/","")&amp;IF(AJ89&lt;&gt;"","マルウェア/","")&amp;IF(AK89&lt;&gt;"","クラウド/","")&amp;IF(AL89&lt;&gt;"","別表1,2,3","")</f>
        <v>セキュリティ管理/別表1,2,3</v>
      </c>
      <c r="AN89" s="124" t="s">
        <v>857</v>
      </c>
    </row>
    <row r="90" spans="1:40" ht="202.5">
      <c r="A90" s="52"/>
      <c r="B90" s="58"/>
      <c r="C90" s="71" t="s">
        <v>895</v>
      </c>
      <c r="D90" s="71" t="s">
        <v>859</v>
      </c>
      <c r="E90" s="91" t="s">
        <v>860</v>
      </c>
      <c r="F90" s="92" t="s">
        <v>254</v>
      </c>
      <c r="G90" s="61"/>
      <c r="H90" s="107"/>
      <c r="I90" s="60"/>
      <c r="J90" s="60"/>
      <c r="K90" s="60"/>
      <c r="L90" s="123"/>
      <c r="M90" s="243"/>
      <c r="N90" s="111" cm="1">
        <f t="array" ref="N90">IF(AH90=TRUE,_xlfn.IFS(L90=1,2,L90="",IF(M90="",1,2)),0)</f>
        <v>0</v>
      </c>
      <c r="O90" s="69" t="s">
        <v>255</v>
      </c>
      <c r="P90" s="69" t="s">
        <v>183</v>
      </c>
      <c r="Q90" s="69" t="s">
        <v>183</v>
      </c>
      <c r="R90" s="69" t="s">
        <v>183</v>
      </c>
      <c r="S90" s="118"/>
      <c r="T90" s="118"/>
      <c r="U90" s="118"/>
      <c r="V90" s="118"/>
      <c r="W90" s="118" t="s">
        <v>448</v>
      </c>
      <c r="X90" s="118" t="s">
        <v>255</v>
      </c>
      <c r="Y90" s="69"/>
      <c r="Z90" s="69"/>
      <c r="AA90" s="118"/>
      <c r="AB90" s="118"/>
      <c r="AC90" s="118"/>
      <c r="AD90" s="69" t="s">
        <v>183</v>
      </c>
      <c r="AE90" s="69" t="s">
        <v>183</v>
      </c>
      <c r="AF90" s="69" t="s">
        <v>255</v>
      </c>
      <c r="AG90" s="69" t="s">
        <v>255</v>
      </c>
      <c r="AH90" s="123" t="b">
        <f t="shared" si="8"/>
        <v>0</v>
      </c>
      <c r="AI90" s="123"/>
      <c r="AJ90" s="123" t="s">
        <v>183</v>
      </c>
      <c r="AK90" s="123"/>
      <c r="AL90" s="123" t="s">
        <v>183</v>
      </c>
      <c r="AM90" s="170" t="str">
        <f t="shared" si="9"/>
        <v>マルウェア/別表1,2,3</v>
      </c>
      <c r="AN90" s="123" t="s">
        <v>337</v>
      </c>
    </row>
    <row r="91" spans="1:40" ht="135">
      <c r="A91" s="52"/>
      <c r="B91" s="58"/>
      <c r="C91" s="71" t="s">
        <v>898</v>
      </c>
      <c r="D91" s="71" t="s">
        <v>861</v>
      </c>
      <c r="E91" s="91" t="s">
        <v>2211</v>
      </c>
      <c r="F91" s="92" t="s">
        <v>254</v>
      </c>
      <c r="G91" s="61"/>
      <c r="H91" s="107"/>
      <c r="I91" s="60"/>
      <c r="J91" s="60"/>
      <c r="K91" s="60"/>
      <c r="L91" s="123"/>
      <c r="M91" s="243"/>
      <c r="N91" s="111" cm="1">
        <f t="array" ref="N91">IF(AH91=TRUE,_xlfn.IFS(L91=1,2,L91="",IF(M91="",1,2)),0)</f>
        <v>0</v>
      </c>
      <c r="O91" s="69" t="s">
        <v>255</v>
      </c>
      <c r="P91" s="69" t="s">
        <v>183</v>
      </c>
      <c r="Q91" s="69" t="s">
        <v>183</v>
      </c>
      <c r="R91" s="69" t="s">
        <v>183</v>
      </c>
      <c r="S91" s="118"/>
      <c r="T91" s="118"/>
      <c r="U91" s="118"/>
      <c r="V91" s="118"/>
      <c r="W91" s="118"/>
      <c r="X91" s="118" t="s">
        <v>255</v>
      </c>
      <c r="Y91" s="69"/>
      <c r="Z91" s="69"/>
      <c r="AA91" s="118"/>
      <c r="AB91" s="118"/>
      <c r="AC91" s="118"/>
      <c r="AD91" s="69" t="s">
        <v>183</v>
      </c>
      <c r="AE91" s="69" t="s">
        <v>183</v>
      </c>
      <c r="AF91" s="69" t="s">
        <v>255</v>
      </c>
      <c r="AG91" s="69" t="s">
        <v>255</v>
      </c>
      <c r="AH91" s="123" t="b">
        <f t="shared" si="8"/>
        <v>0</v>
      </c>
      <c r="AI91" s="123" t="s">
        <v>183</v>
      </c>
      <c r="AJ91" s="123"/>
      <c r="AK91" s="123"/>
      <c r="AL91" s="123" t="s">
        <v>183</v>
      </c>
      <c r="AM91" s="170" t="str">
        <f t="shared" si="9"/>
        <v>セキュリティ管理/別表1,2,3</v>
      </c>
      <c r="AN91" s="124" t="s">
        <v>2205</v>
      </c>
    </row>
    <row r="92" spans="1:40" ht="157.5">
      <c r="A92" s="52"/>
      <c r="B92" s="58"/>
      <c r="C92" s="71" t="s">
        <v>901</v>
      </c>
      <c r="D92" s="71" t="s">
        <v>863</v>
      </c>
      <c r="E92" s="91" t="s">
        <v>864</v>
      </c>
      <c r="F92" s="92" t="s">
        <v>254</v>
      </c>
      <c r="G92" s="61"/>
      <c r="H92" s="107"/>
      <c r="I92" s="60"/>
      <c r="J92" s="60"/>
      <c r="K92" s="60"/>
      <c r="L92" s="123"/>
      <c r="M92" s="243"/>
      <c r="N92" s="111" cm="1">
        <f t="array" ref="N92">IF(AH92=TRUE,_xlfn.IFS(L92=1,2,L92="",IF(M92="",1,2)),0)</f>
        <v>0</v>
      </c>
      <c r="O92" s="69" t="s">
        <v>255</v>
      </c>
      <c r="P92" s="69" t="s">
        <v>183</v>
      </c>
      <c r="Q92" s="69" t="s">
        <v>183</v>
      </c>
      <c r="R92" s="69" t="s">
        <v>183</v>
      </c>
      <c r="S92" s="69"/>
      <c r="T92" s="69"/>
      <c r="U92" s="69"/>
      <c r="V92" s="69"/>
      <c r="W92" s="118" t="s">
        <v>448</v>
      </c>
      <c r="X92" s="118" t="s">
        <v>255</v>
      </c>
      <c r="Y92" s="69"/>
      <c r="Z92" s="69"/>
      <c r="AA92" s="118"/>
      <c r="AB92" s="118"/>
      <c r="AC92" s="118"/>
      <c r="AD92" s="69" t="s">
        <v>183</v>
      </c>
      <c r="AE92" s="69" t="s">
        <v>183</v>
      </c>
      <c r="AF92" s="69" t="s">
        <v>255</v>
      </c>
      <c r="AG92" s="69" t="s">
        <v>255</v>
      </c>
      <c r="AH92" s="123" t="b">
        <f t="shared" si="8"/>
        <v>0</v>
      </c>
      <c r="AI92" s="123"/>
      <c r="AJ92" s="123"/>
      <c r="AK92" s="123"/>
      <c r="AL92" s="123" t="s">
        <v>183</v>
      </c>
      <c r="AM92" s="170" t="str">
        <f t="shared" si="9"/>
        <v>別表1,2,3</v>
      </c>
      <c r="AN92" s="124" t="s">
        <v>865</v>
      </c>
    </row>
    <row r="93" spans="1:40" ht="150" customHeight="1">
      <c r="A93" s="52"/>
      <c r="B93" s="58"/>
      <c r="C93" s="71" t="s">
        <v>904</v>
      </c>
      <c r="D93" s="71" t="s">
        <v>867</v>
      </c>
      <c r="E93" s="107" t="s">
        <v>868</v>
      </c>
      <c r="F93" s="60" t="s">
        <v>254</v>
      </c>
      <c r="G93" s="61"/>
      <c r="H93" s="107"/>
      <c r="I93" s="60"/>
      <c r="J93" s="60"/>
      <c r="K93" s="60"/>
      <c r="L93" s="123"/>
      <c r="M93" s="243"/>
      <c r="N93" s="111" cm="1">
        <f t="array" ref="N93">IF(AH93=TRUE,_xlfn.IFS(L93=1,2,L93="",IF(M93="",1,2)),0)</f>
        <v>0</v>
      </c>
      <c r="O93" s="69" t="s">
        <v>255</v>
      </c>
      <c r="P93" s="69" t="s">
        <v>183</v>
      </c>
      <c r="Q93" s="69" t="s">
        <v>183</v>
      </c>
      <c r="R93" s="69" t="s">
        <v>183</v>
      </c>
      <c r="S93" s="118"/>
      <c r="T93" s="118"/>
      <c r="U93" s="118"/>
      <c r="V93" s="118"/>
      <c r="W93" s="118"/>
      <c r="X93" s="118" t="s">
        <v>255</v>
      </c>
      <c r="Y93" s="69"/>
      <c r="Z93" s="69"/>
      <c r="AA93" s="118"/>
      <c r="AB93" s="118"/>
      <c r="AC93" s="118"/>
      <c r="AD93" s="69" t="s">
        <v>183</v>
      </c>
      <c r="AE93" s="69" t="s">
        <v>183</v>
      </c>
      <c r="AF93" s="69" t="s">
        <v>255</v>
      </c>
      <c r="AG93" s="69" t="s">
        <v>255</v>
      </c>
      <c r="AH93" s="123" t="b">
        <f t="shared" si="8"/>
        <v>0</v>
      </c>
      <c r="AI93" s="123"/>
      <c r="AJ93" s="123" t="s">
        <v>183</v>
      </c>
      <c r="AK93" s="123"/>
      <c r="AL93" s="123"/>
      <c r="AM93" s="170" t="str">
        <f t="shared" si="9"/>
        <v>マルウェア/</v>
      </c>
      <c r="AN93" s="123"/>
    </row>
    <row r="94" spans="1:40" ht="180">
      <c r="A94" s="52"/>
      <c r="B94" s="58"/>
      <c r="C94" s="71" t="s">
        <v>907</v>
      </c>
      <c r="D94" s="71" t="s">
        <v>870</v>
      </c>
      <c r="E94" s="107" t="s">
        <v>871</v>
      </c>
      <c r="F94" s="60" t="s">
        <v>254</v>
      </c>
      <c r="G94" s="61"/>
      <c r="H94" s="107"/>
      <c r="I94" s="60"/>
      <c r="J94" s="60"/>
      <c r="K94" s="60"/>
      <c r="L94" s="123"/>
      <c r="M94" s="243"/>
      <c r="N94" s="111" cm="1">
        <f t="array" ref="N94">IF(AH94=TRUE,_xlfn.IFS(L94=1,2,L94="",IF(M94="",1,2)),0)</f>
        <v>0</v>
      </c>
      <c r="O94" s="69" t="s">
        <v>255</v>
      </c>
      <c r="P94" s="69" t="s">
        <v>183</v>
      </c>
      <c r="Q94" s="69" t="s">
        <v>183</v>
      </c>
      <c r="R94" s="69" t="s">
        <v>183</v>
      </c>
      <c r="S94" s="118"/>
      <c r="T94" s="118"/>
      <c r="U94" s="118"/>
      <c r="V94" s="118"/>
      <c r="W94" s="118"/>
      <c r="X94" s="118" t="s">
        <v>255</v>
      </c>
      <c r="Y94" s="69"/>
      <c r="Z94" s="69"/>
      <c r="AA94" s="118"/>
      <c r="AB94" s="118"/>
      <c r="AC94" s="118"/>
      <c r="AD94" s="69" t="s">
        <v>183</v>
      </c>
      <c r="AE94" s="69" t="s">
        <v>183</v>
      </c>
      <c r="AF94" s="69" t="s">
        <v>255</v>
      </c>
      <c r="AG94" s="69" t="s">
        <v>255</v>
      </c>
      <c r="AH94" s="123" t="b">
        <f t="shared" si="8"/>
        <v>0</v>
      </c>
      <c r="AI94" s="123"/>
      <c r="AJ94" s="123" t="s">
        <v>183</v>
      </c>
      <c r="AK94" s="123"/>
      <c r="AL94" s="123"/>
      <c r="AM94" s="170" t="str">
        <f t="shared" si="9"/>
        <v>マルウェア/</v>
      </c>
      <c r="AN94" s="123"/>
    </row>
    <row r="95" spans="1:40" ht="213" customHeight="1">
      <c r="A95" s="52"/>
      <c r="B95" s="58"/>
      <c r="C95" s="71" t="s">
        <v>910</v>
      </c>
      <c r="D95" s="71" t="s">
        <v>872</v>
      </c>
      <c r="E95" s="91" t="s">
        <v>873</v>
      </c>
      <c r="F95" s="92" t="s">
        <v>254</v>
      </c>
      <c r="G95" s="61"/>
      <c r="H95" s="107"/>
      <c r="I95" s="60"/>
      <c r="J95" s="60"/>
      <c r="K95" s="60"/>
      <c r="L95" s="123"/>
      <c r="M95" s="243"/>
      <c r="N95" s="111" cm="1">
        <f t="array" ref="N95">IF(AH95=TRUE,_xlfn.IFS(L95=1,2,L95="",IF(M95="",1,2)),0)</f>
        <v>0</v>
      </c>
      <c r="O95" s="69" t="s">
        <v>255</v>
      </c>
      <c r="P95" s="69" t="s">
        <v>183</v>
      </c>
      <c r="Q95" s="69" t="s">
        <v>183</v>
      </c>
      <c r="R95" s="69" t="s">
        <v>183</v>
      </c>
      <c r="S95" s="118"/>
      <c r="T95" s="118"/>
      <c r="U95" s="118"/>
      <c r="V95" s="118"/>
      <c r="W95" s="118"/>
      <c r="X95" s="118" t="s">
        <v>255</v>
      </c>
      <c r="Y95" s="69"/>
      <c r="Z95" s="69"/>
      <c r="AA95" s="118"/>
      <c r="AB95" s="118"/>
      <c r="AC95" s="118"/>
      <c r="AD95" s="69" t="s">
        <v>183</v>
      </c>
      <c r="AE95" s="69" t="s">
        <v>183</v>
      </c>
      <c r="AF95" s="69" t="s">
        <v>255</v>
      </c>
      <c r="AG95" s="69" t="s">
        <v>255</v>
      </c>
      <c r="AH95" s="123" t="b">
        <f t="shared" si="8"/>
        <v>0</v>
      </c>
      <c r="AI95" s="123"/>
      <c r="AJ95" s="123" t="s">
        <v>183</v>
      </c>
      <c r="AK95" s="123"/>
      <c r="AL95" s="123"/>
      <c r="AM95" s="170" t="str">
        <f t="shared" si="9"/>
        <v>マルウェア/</v>
      </c>
      <c r="AN95" s="123"/>
    </row>
    <row r="96" spans="1:40" ht="165.65" customHeight="1">
      <c r="A96" s="52"/>
      <c r="B96" s="58"/>
      <c r="C96" s="71" t="s">
        <v>913</v>
      </c>
      <c r="D96" s="71" t="s">
        <v>874</v>
      </c>
      <c r="E96" s="91" t="s">
        <v>875</v>
      </c>
      <c r="F96" s="92" t="s">
        <v>254</v>
      </c>
      <c r="G96" s="61"/>
      <c r="H96" s="107"/>
      <c r="I96" s="60"/>
      <c r="J96" s="60"/>
      <c r="K96" s="60"/>
      <c r="L96" s="123"/>
      <c r="M96" s="243"/>
      <c r="N96" s="111" cm="1">
        <f t="array" ref="N96">IF(AH96=TRUE,_xlfn.IFS(L96=1,2,L96="",IF(M96="",1,2)),0)</f>
        <v>0</v>
      </c>
      <c r="O96" s="69" t="s">
        <v>255</v>
      </c>
      <c r="P96" s="69" t="s">
        <v>183</v>
      </c>
      <c r="Q96" s="69" t="s">
        <v>183</v>
      </c>
      <c r="R96" s="69" t="s">
        <v>183</v>
      </c>
      <c r="S96" s="118"/>
      <c r="T96" s="118"/>
      <c r="U96" s="118"/>
      <c r="V96" s="118"/>
      <c r="W96" s="118" t="s">
        <v>448</v>
      </c>
      <c r="X96" s="118" t="s">
        <v>255</v>
      </c>
      <c r="Y96" s="69"/>
      <c r="Z96" s="69"/>
      <c r="AA96" s="118"/>
      <c r="AB96" s="118"/>
      <c r="AC96" s="118"/>
      <c r="AD96" s="69" t="s">
        <v>183</v>
      </c>
      <c r="AE96" s="69" t="s">
        <v>183</v>
      </c>
      <c r="AF96" s="69" t="s">
        <v>255</v>
      </c>
      <c r="AG96" s="69" t="s">
        <v>255</v>
      </c>
      <c r="AH96" s="123" t="b">
        <f t="shared" si="8"/>
        <v>0</v>
      </c>
      <c r="AI96" s="123"/>
      <c r="AJ96" s="123"/>
      <c r="AK96" s="123"/>
      <c r="AL96" s="123"/>
      <c r="AM96" s="170" t="str">
        <f t="shared" si="9"/>
        <v/>
      </c>
      <c r="AN96" s="123"/>
    </row>
    <row r="97" spans="1:40" ht="178.9" customHeight="1">
      <c r="A97" s="52"/>
      <c r="B97" s="58"/>
      <c r="C97" s="71" t="s">
        <v>917</v>
      </c>
      <c r="D97" s="71" t="s">
        <v>876</v>
      </c>
      <c r="E97" s="91" t="s">
        <v>877</v>
      </c>
      <c r="F97" s="92" t="s">
        <v>254</v>
      </c>
      <c r="G97" s="61"/>
      <c r="H97" s="107"/>
      <c r="I97" s="60"/>
      <c r="J97" s="60"/>
      <c r="K97" s="60"/>
      <c r="L97" s="123"/>
      <c r="M97" s="243"/>
      <c r="N97" s="111" cm="1">
        <f t="array" ref="N97">IF(AH97=TRUE,_xlfn.IFS(L97=1,2,L97="",IF(M97="",1,2)),0)</f>
        <v>0</v>
      </c>
      <c r="O97" s="69" t="s">
        <v>255</v>
      </c>
      <c r="P97" s="69" t="s">
        <v>183</v>
      </c>
      <c r="Q97" s="69" t="s">
        <v>183</v>
      </c>
      <c r="R97" s="69" t="s">
        <v>183</v>
      </c>
      <c r="S97" s="118"/>
      <c r="T97" s="118"/>
      <c r="U97" s="118"/>
      <c r="V97" s="118"/>
      <c r="W97" s="118" t="s">
        <v>448</v>
      </c>
      <c r="X97" s="118" t="s">
        <v>255</v>
      </c>
      <c r="Y97" s="69"/>
      <c r="Z97" s="69"/>
      <c r="AA97" s="118"/>
      <c r="AB97" s="118"/>
      <c r="AC97" s="118"/>
      <c r="AD97" s="69" t="s">
        <v>183</v>
      </c>
      <c r="AE97" s="69" t="s">
        <v>183</v>
      </c>
      <c r="AF97" s="69" t="s">
        <v>255</v>
      </c>
      <c r="AG97" s="69" t="s">
        <v>255</v>
      </c>
      <c r="AH97" s="123" t="b">
        <f t="shared" si="8"/>
        <v>0</v>
      </c>
      <c r="AI97" s="123"/>
      <c r="AJ97" s="123"/>
      <c r="AK97" s="123"/>
      <c r="AL97" s="123"/>
      <c r="AM97" s="170" t="str">
        <f t="shared" si="9"/>
        <v/>
      </c>
      <c r="AN97" s="123"/>
    </row>
    <row r="98" spans="1:40" ht="135">
      <c r="A98" s="52"/>
      <c r="B98" s="58"/>
      <c r="C98" s="71" t="s">
        <v>920</v>
      </c>
      <c r="D98" s="71" t="s">
        <v>879</v>
      </c>
      <c r="E98" s="91" t="s">
        <v>880</v>
      </c>
      <c r="F98" s="92" t="s">
        <v>254</v>
      </c>
      <c r="G98" s="61"/>
      <c r="H98" s="107"/>
      <c r="I98" s="60"/>
      <c r="J98" s="60"/>
      <c r="K98" s="60"/>
      <c r="L98" s="123"/>
      <c r="M98" s="243"/>
      <c r="N98" s="111" cm="1">
        <f t="array" ref="N98">IF(AH98=TRUE,_xlfn.IFS(L98=1,2,L98="",IF(M98="",1,2)),0)</f>
        <v>0</v>
      </c>
      <c r="O98" s="69" t="s">
        <v>255</v>
      </c>
      <c r="P98" s="69" t="s">
        <v>183</v>
      </c>
      <c r="Q98" s="69" t="s">
        <v>183</v>
      </c>
      <c r="R98" s="69" t="s">
        <v>183</v>
      </c>
      <c r="S98" s="118"/>
      <c r="T98" s="118"/>
      <c r="U98" s="118"/>
      <c r="V98" s="118"/>
      <c r="W98" s="118" t="s">
        <v>448</v>
      </c>
      <c r="X98" s="118" t="s">
        <v>255</v>
      </c>
      <c r="Y98" s="69"/>
      <c r="Z98" s="69"/>
      <c r="AA98" s="118"/>
      <c r="AB98" s="118"/>
      <c r="AC98" s="118"/>
      <c r="AD98" s="69" t="s">
        <v>183</v>
      </c>
      <c r="AE98" s="69" t="s">
        <v>183</v>
      </c>
      <c r="AF98" s="69" t="s">
        <v>255</v>
      </c>
      <c r="AG98" s="69" t="s">
        <v>255</v>
      </c>
      <c r="AH98" s="123" t="b">
        <f t="shared" si="8"/>
        <v>0</v>
      </c>
      <c r="AI98" s="123"/>
      <c r="AJ98" s="123"/>
      <c r="AK98" s="123"/>
      <c r="AL98" s="123"/>
      <c r="AM98" s="170" t="str">
        <f t="shared" si="9"/>
        <v/>
      </c>
      <c r="AN98" s="123"/>
    </row>
    <row r="99" spans="1:40" ht="78" customHeight="1">
      <c r="A99" s="52"/>
      <c r="B99" s="58"/>
      <c r="C99" s="71" t="s">
        <v>923</v>
      </c>
      <c r="D99" s="71" t="s">
        <v>882</v>
      </c>
      <c r="E99" s="91" t="s">
        <v>883</v>
      </c>
      <c r="F99" s="92" t="s">
        <v>254</v>
      </c>
      <c r="G99" s="61"/>
      <c r="H99" s="107"/>
      <c r="I99" s="60"/>
      <c r="J99" s="60"/>
      <c r="K99" s="60"/>
      <c r="L99" s="123"/>
      <c r="M99" s="243"/>
      <c r="N99" s="111" cm="1">
        <f t="array" ref="N99">IF(AH99=TRUE,_xlfn.IFS(L99=1,2,L99="",IF(M99="",1,2)),0)</f>
        <v>0</v>
      </c>
      <c r="O99" s="69" t="s">
        <v>255</v>
      </c>
      <c r="P99" s="69" t="s">
        <v>183</v>
      </c>
      <c r="Q99" s="69" t="s">
        <v>183</v>
      </c>
      <c r="R99" s="69" t="s">
        <v>183</v>
      </c>
      <c r="S99" s="118"/>
      <c r="T99" s="118"/>
      <c r="U99" s="118"/>
      <c r="V99" s="118"/>
      <c r="W99" s="118" t="s">
        <v>448</v>
      </c>
      <c r="X99" s="118" t="s">
        <v>255</v>
      </c>
      <c r="Y99" s="69"/>
      <c r="Z99" s="69"/>
      <c r="AA99" s="118"/>
      <c r="AB99" s="118"/>
      <c r="AC99" s="118"/>
      <c r="AD99" s="69" t="s">
        <v>183</v>
      </c>
      <c r="AE99" s="69" t="s">
        <v>183</v>
      </c>
      <c r="AF99" s="69" t="s">
        <v>255</v>
      </c>
      <c r="AG99" s="69" t="s">
        <v>255</v>
      </c>
      <c r="AH99" s="123" t="b">
        <f t="shared" si="8"/>
        <v>0</v>
      </c>
      <c r="AI99" s="123"/>
      <c r="AJ99" s="123"/>
      <c r="AK99" s="123"/>
      <c r="AL99" s="123"/>
      <c r="AM99" s="170" t="str">
        <f t="shared" si="9"/>
        <v/>
      </c>
      <c r="AN99" s="123"/>
    </row>
    <row r="100" spans="1:40" ht="157.5">
      <c r="A100" s="52"/>
      <c r="B100" s="58"/>
      <c r="C100" s="71" t="s">
        <v>2107</v>
      </c>
      <c r="D100" s="71" t="s">
        <v>885</v>
      </c>
      <c r="E100" s="91" t="s">
        <v>2086</v>
      </c>
      <c r="F100" s="92" t="s">
        <v>254</v>
      </c>
      <c r="G100" s="61"/>
      <c r="H100" s="107"/>
      <c r="I100" s="60"/>
      <c r="J100" s="60"/>
      <c r="K100" s="60"/>
      <c r="L100" s="123"/>
      <c r="M100" s="243"/>
      <c r="N100" s="111" cm="1">
        <f t="array" ref="N100">IF(AH100=TRUE,_xlfn.IFS(L100=1,2,L100="",IF(M100="",1,2)),0)</f>
        <v>0</v>
      </c>
      <c r="O100" s="69" t="s">
        <v>255</v>
      </c>
      <c r="P100" s="69" t="s">
        <v>183</v>
      </c>
      <c r="Q100" s="69" t="s">
        <v>183</v>
      </c>
      <c r="R100" s="69" t="s">
        <v>183</v>
      </c>
      <c r="S100" s="69"/>
      <c r="T100" s="69"/>
      <c r="U100" s="69"/>
      <c r="V100" s="69"/>
      <c r="W100" s="118"/>
      <c r="X100" s="118" t="s">
        <v>255</v>
      </c>
      <c r="Y100" s="69"/>
      <c r="Z100" s="69"/>
      <c r="AA100" s="118"/>
      <c r="AB100" s="118"/>
      <c r="AC100" s="118"/>
      <c r="AD100" s="69" t="s">
        <v>183</v>
      </c>
      <c r="AE100" s="69" t="s">
        <v>183</v>
      </c>
      <c r="AF100" s="69" t="s">
        <v>255</v>
      </c>
      <c r="AG100" s="69" t="s">
        <v>255</v>
      </c>
      <c r="AH100" s="123" t="b">
        <f t="shared" si="8"/>
        <v>0</v>
      </c>
      <c r="AI100" s="123"/>
      <c r="AJ100" s="123"/>
      <c r="AK100" s="123"/>
      <c r="AL100" s="123" t="s">
        <v>183</v>
      </c>
      <c r="AM100" s="170" t="str">
        <f t="shared" si="9"/>
        <v>別表1,2,3</v>
      </c>
      <c r="AN100" s="123" t="s">
        <v>2198</v>
      </c>
    </row>
    <row r="101" spans="1:40" ht="183.65" customHeight="1">
      <c r="A101" s="52"/>
      <c r="B101" s="58"/>
      <c r="C101" s="71" t="s">
        <v>2108</v>
      </c>
      <c r="D101" s="71" t="s">
        <v>887</v>
      </c>
      <c r="E101" s="91" t="s">
        <v>888</v>
      </c>
      <c r="F101" s="92" t="s">
        <v>254</v>
      </c>
      <c r="G101" s="61"/>
      <c r="H101" s="107"/>
      <c r="I101" s="60"/>
      <c r="J101" s="60"/>
      <c r="K101" s="60"/>
      <c r="L101" s="123"/>
      <c r="M101" s="243"/>
      <c r="N101" s="111" cm="1">
        <f t="array" ref="N101">IF(AH101=TRUE,_xlfn.IFS(L101=1,2,L101="",IF(M101="",1,2)),0)</f>
        <v>0</v>
      </c>
      <c r="O101" s="69" t="s">
        <v>255</v>
      </c>
      <c r="P101" s="69" t="s">
        <v>183</v>
      </c>
      <c r="Q101" s="69" t="s">
        <v>183</v>
      </c>
      <c r="R101" s="69" t="s">
        <v>183</v>
      </c>
      <c r="S101" s="69"/>
      <c r="T101" s="69"/>
      <c r="U101" s="69"/>
      <c r="V101" s="69"/>
      <c r="W101" s="118" t="s">
        <v>448</v>
      </c>
      <c r="X101" s="118" t="s">
        <v>255</v>
      </c>
      <c r="Y101" s="69"/>
      <c r="Z101" s="69"/>
      <c r="AA101" s="118"/>
      <c r="AB101" s="118"/>
      <c r="AC101" s="118"/>
      <c r="AD101" s="69" t="s">
        <v>183</v>
      </c>
      <c r="AE101" s="69" t="s">
        <v>183</v>
      </c>
      <c r="AF101" s="69" t="s">
        <v>255</v>
      </c>
      <c r="AG101" s="69" t="s">
        <v>255</v>
      </c>
      <c r="AH101" s="123" t="b">
        <f t="shared" si="8"/>
        <v>0</v>
      </c>
      <c r="AI101" s="123"/>
      <c r="AJ101" s="123"/>
      <c r="AK101" s="123"/>
      <c r="AL101" s="123"/>
      <c r="AM101" s="170" t="str">
        <f t="shared" si="9"/>
        <v/>
      </c>
      <c r="AN101" s="123"/>
    </row>
    <row r="102" spans="1:40" ht="163.15" customHeight="1">
      <c r="A102" s="52"/>
      <c r="B102" s="58"/>
      <c r="C102" s="71" t="s">
        <v>2109</v>
      </c>
      <c r="D102" s="71" t="s">
        <v>890</v>
      </c>
      <c r="E102" s="91" t="s">
        <v>891</v>
      </c>
      <c r="F102" s="92" t="s">
        <v>254</v>
      </c>
      <c r="G102" s="61"/>
      <c r="H102" s="107"/>
      <c r="I102" s="60"/>
      <c r="J102" s="60"/>
      <c r="K102" s="131"/>
      <c r="L102" s="167"/>
      <c r="M102" s="253"/>
      <c r="N102" s="111" cm="1">
        <f t="array" ref="N102">IF(AH102=TRUE,_xlfn.IFS(L102=1,2,L102="",IF(M102="",1,2)),0)</f>
        <v>0</v>
      </c>
      <c r="O102" s="69" t="s">
        <v>255</v>
      </c>
      <c r="P102" s="69" t="s">
        <v>183</v>
      </c>
      <c r="Q102" s="69" t="s">
        <v>183</v>
      </c>
      <c r="R102" s="69" t="s">
        <v>183</v>
      </c>
      <c r="S102" s="69"/>
      <c r="T102" s="69"/>
      <c r="U102" s="69"/>
      <c r="V102" s="69"/>
      <c r="W102" s="118"/>
      <c r="X102" s="118" t="s">
        <v>255</v>
      </c>
      <c r="Y102" s="118"/>
      <c r="Z102" s="118"/>
      <c r="AA102" s="118" t="s">
        <v>448</v>
      </c>
      <c r="AB102" s="118" t="s">
        <v>448</v>
      </c>
      <c r="AC102" s="118"/>
      <c r="AD102" s="69" t="s">
        <v>183</v>
      </c>
      <c r="AE102" s="69" t="s">
        <v>183</v>
      </c>
      <c r="AF102" s="69" t="s">
        <v>255</v>
      </c>
      <c r="AG102" s="69" t="s">
        <v>255</v>
      </c>
      <c r="AH102" s="123" t="b">
        <f t="shared" si="8"/>
        <v>0</v>
      </c>
      <c r="AI102" s="123"/>
      <c r="AJ102" s="123"/>
      <c r="AK102" s="123"/>
      <c r="AL102" s="123"/>
      <c r="AM102" s="170" t="str">
        <f t="shared" si="9"/>
        <v/>
      </c>
      <c r="AN102" s="123"/>
    </row>
    <row r="103" spans="1:40" ht="89.5" customHeight="1">
      <c r="A103" s="52"/>
      <c r="B103" s="58"/>
      <c r="C103" s="71" t="s">
        <v>2110</v>
      </c>
      <c r="D103" s="71" t="s">
        <v>893</v>
      </c>
      <c r="E103" s="91" t="s">
        <v>894</v>
      </c>
      <c r="F103" s="92" t="s">
        <v>254</v>
      </c>
      <c r="G103" s="61"/>
      <c r="H103" s="107"/>
      <c r="I103" s="60"/>
      <c r="J103" s="60"/>
      <c r="K103" s="60"/>
      <c r="L103" s="123"/>
      <c r="M103" s="243"/>
      <c r="N103" s="111" cm="1">
        <f t="array" ref="N103">IF(AH103=TRUE,_xlfn.IFS(L103=1,2,L103="",IF(M103="",1,2)),0)</f>
        <v>0</v>
      </c>
      <c r="O103" s="69" t="s">
        <v>255</v>
      </c>
      <c r="P103" s="69" t="s">
        <v>183</v>
      </c>
      <c r="Q103" s="69" t="s">
        <v>183</v>
      </c>
      <c r="R103" s="69" t="s">
        <v>183</v>
      </c>
      <c r="S103" s="69"/>
      <c r="T103" s="69"/>
      <c r="U103" s="69"/>
      <c r="V103" s="69"/>
      <c r="W103" s="118"/>
      <c r="X103" s="118" t="s">
        <v>255</v>
      </c>
      <c r="Y103" s="69"/>
      <c r="Z103" s="118" t="s">
        <v>255</v>
      </c>
      <c r="AA103" s="118"/>
      <c r="AB103" s="118"/>
      <c r="AC103" s="118"/>
      <c r="AD103" s="69" t="s">
        <v>183</v>
      </c>
      <c r="AE103" s="69" t="s">
        <v>183</v>
      </c>
      <c r="AF103" s="69" t="s">
        <v>255</v>
      </c>
      <c r="AG103" s="69" t="s">
        <v>255</v>
      </c>
      <c r="AH103" s="123" t="b">
        <f t="shared" si="8"/>
        <v>0</v>
      </c>
      <c r="AI103" s="123"/>
      <c r="AJ103" s="123" t="s">
        <v>183</v>
      </c>
      <c r="AK103" s="123"/>
      <c r="AL103" s="123"/>
      <c r="AM103" s="170" t="str">
        <f t="shared" si="9"/>
        <v>マルウェア/</v>
      </c>
      <c r="AN103" s="123"/>
    </row>
    <row r="104" spans="1:40" ht="229.15" customHeight="1">
      <c r="A104" s="52"/>
      <c r="B104" s="58"/>
      <c r="C104" s="71" t="s">
        <v>2111</v>
      </c>
      <c r="D104" s="71" t="s">
        <v>896</v>
      </c>
      <c r="E104" s="91" t="s">
        <v>897</v>
      </c>
      <c r="F104" s="92" t="s">
        <v>254</v>
      </c>
      <c r="G104" s="61"/>
      <c r="H104" s="107"/>
      <c r="I104" s="60"/>
      <c r="J104" s="60"/>
      <c r="K104" s="60"/>
      <c r="L104" s="123"/>
      <c r="M104" s="243"/>
      <c r="N104" s="111" cm="1">
        <f t="array" ref="N104">IF(AH104=TRUE,_xlfn.IFS(L104=1,2,L104="",IF(M104="",1,2)),0)</f>
        <v>0</v>
      </c>
      <c r="O104" s="69" t="s">
        <v>255</v>
      </c>
      <c r="P104" s="69" t="s">
        <v>183</v>
      </c>
      <c r="Q104" s="69" t="s">
        <v>183</v>
      </c>
      <c r="R104" s="69" t="s">
        <v>183</v>
      </c>
      <c r="S104" s="69"/>
      <c r="T104" s="69"/>
      <c r="U104" s="69"/>
      <c r="V104" s="69"/>
      <c r="W104" s="118"/>
      <c r="X104" s="118" t="s">
        <v>255</v>
      </c>
      <c r="Y104" s="69"/>
      <c r="Z104" s="118" t="s">
        <v>255</v>
      </c>
      <c r="AA104" s="118"/>
      <c r="AB104" s="118"/>
      <c r="AC104" s="118"/>
      <c r="AD104" s="69" t="s">
        <v>183</v>
      </c>
      <c r="AE104" s="69" t="s">
        <v>183</v>
      </c>
      <c r="AF104" s="69" t="s">
        <v>255</v>
      </c>
      <c r="AG104" s="69" t="s">
        <v>255</v>
      </c>
      <c r="AH104" s="123" t="b">
        <f t="shared" si="8"/>
        <v>0</v>
      </c>
      <c r="AI104" s="123"/>
      <c r="AJ104" s="123" t="s">
        <v>183</v>
      </c>
      <c r="AK104" s="123"/>
      <c r="AL104" s="123" t="s">
        <v>183</v>
      </c>
      <c r="AM104" s="170" t="str">
        <f t="shared" si="9"/>
        <v>マルウェア/別表1,2,3</v>
      </c>
      <c r="AN104" s="123"/>
    </row>
    <row r="105" spans="1:40" ht="69" customHeight="1">
      <c r="A105" s="52"/>
      <c r="B105" s="58"/>
      <c r="C105" s="71" t="s">
        <v>2112</v>
      </c>
      <c r="D105" s="71" t="s">
        <v>899</v>
      </c>
      <c r="E105" s="91" t="s">
        <v>900</v>
      </c>
      <c r="F105" s="92" t="s">
        <v>254</v>
      </c>
      <c r="G105" s="61"/>
      <c r="H105" s="107"/>
      <c r="I105" s="132"/>
      <c r="J105" s="132"/>
      <c r="K105" s="132"/>
      <c r="L105" s="168"/>
      <c r="M105" s="252"/>
      <c r="N105" s="111" cm="1">
        <f t="array" ref="N105">IF(AH105=TRUE,_xlfn.IFS(L105=1,2,L105="",IF(M105="",1,2)),0)</f>
        <v>0</v>
      </c>
      <c r="O105" s="118" t="s">
        <v>255</v>
      </c>
      <c r="P105" s="69" t="s">
        <v>183</v>
      </c>
      <c r="Q105" s="69" t="s">
        <v>183</v>
      </c>
      <c r="R105" s="69" t="s">
        <v>183</v>
      </c>
      <c r="S105" s="118"/>
      <c r="T105" s="118"/>
      <c r="U105" s="118"/>
      <c r="V105" s="118"/>
      <c r="W105" s="118" t="s">
        <v>448</v>
      </c>
      <c r="X105" s="69"/>
      <c r="Y105" s="69"/>
      <c r="Z105" s="118" t="s">
        <v>255</v>
      </c>
      <c r="AA105" s="118"/>
      <c r="AB105" s="118"/>
      <c r="AC105" s="118"/>
      <c r="AD105" s="69" t="s">
        <v>183</v>
      </c>
      <c r="AE105" s="69" t="s">
        <v>183</v>
      </c>
      <c r="AF105" s="69"/>
      <c r="AG105" s="69" t="s">
        <v>255</v>
      </c>
      <c r="AH105" s="123" t="b">
        <f t="shared" si="8"/>
        <v>0</v>
      </c>
      <c r="AI105" s="123"/>
      <c r="AJ105" s="123"/>
      <c r="AK105" s="123"/>
      <c r="AL105" s="123"/>
      <c r="AM105" s="170" t="str">
        <f t="shared" si="9"/>
        <v/>
      </c>
      <c r="AN105" s="123"/>
    </row>
    <row r="106" spans="1:40" ht="65.5" customHeight="1">
      <c r="A106" s="52"/>
      <c r="B106" s="58"/>
      <c r="C106" s="71" t="s">
        <v>2113</v>
      </c>
      <c r="D106" s="71" t="s">
        <v>902</v>
      </c>
      <c r="E106" s="91" t="s">
        <v>903</v>
      </c>
      <c r="F106" s="92" t="s">
        <v>254</v>
      </c>
      <c r="G106" s="61"/>
      <c r="H106" s="107"/>
      <c r="I106" s="60"/>
      <c r="J106" s="60"/>
      <c r="K106" s="60"/>
      <c r="L106" s="123"/>
      <c r="M106" s="243"/>
      <c r="N106" s="111" cm="1">
        <f t="array" ref="N106">IF(AH106=TRUE,_xlfn.IFS(L106=1,2,L106="",IF(M106="",1,2)),0)</f>
        <v>0</v>
      </c>
      <c r="O106" s="69" t="s">
        <v>255</v>
      </c>
      <c r="P106" s="69" t="s">
        <v>183</v>
      </c>
      <c r="Q106" s="69" t="s">
        <v>183</v>
      </c>
      <c r="R106" s="69" t="s">
        <v>183</v>
      </c>
      <c r="S106" s="69"/>
      <c r="T106" s="69"/>
      <c r="U106" s="69"/>
      <c r="V106" s="69"/>
      <c r="W106" s="118" t="s">
        <v>448</v>
      </c>
      <c r="X106" s="69"/>
      <c r="Y106" s="69"/>
      <c r="Z106" s="118" t="s">
        <v>255</v>
      </c>
      <c r="AA106" s="118"/>
      <c r="AB106" s="118"/>
      <c r="AC106" s="118"/>
      <c r="AD106" s="69" t="s">
        <v>183</v>
      </c>
      <c r="AE106" s="69" t="s">
        <v>183</v>
      </c>
      <c r="AF106" s="69"/>
      <c r="AG106" s="69" t="s">
        <v>255</v>
      </c>
      <c r="AH106" s="123" t="b">
        <f t="shared" si="8"/>
        <v>0</v>
      </c>
      <c r="AI106" s="123"/>
      <c r="AJ106" s="123"/>
      <c r="AK106" s="123"/>
      <c r="AL106" s="123"/>
      <c r="AM106" s="170" t="str">
        <f t="shared" si="9"/>
        <v/>
      </c>
      <c r="AN106" s="123"/>
    </row>
    <row r="107" spans="1:40" ht="124.9" customHeight="1">
      <c r="A107" s="52"/>
      <c r="B107" s="58"/>
      <c r="C107" s="71" t="s">
        <v>2114</v>
      </c>
      <c r="D107" s="71" t="s">
        <v>905</v>
      </c>
      <c r="E107" s="91" t="s">
        <v>906</v>
      </c>
      <c r="F107" s="92" t="s">
        <v>254</v>
      </c>
      <c r="G107" s="61"/>
      <c r="H107" s="107"/>
      <c r="I107" s="60"/>
      <c r="J107" s="60"/>
      <c r="K107" s="60"/>
      <c r="L107" s="123"/>
      <c r="M107" s="243"/>
      <c r="N107" s="111" cm="1">
        <f t="array" ref="N107">IF(AH107=TRUE,_xlfn.IFS(L107=1,2,L107="",IF(M107="",1,2)),0)</f>
        <v>0</v>
      </c>
      <c r="O107" s="69" t="s">
        <v>255</v>
      </c>
      <c r="P107" s="69" t="s">
        <v>183</v>
      </c>
      <c r="Q107" s="69" t="s">
        <v>183</v>
      </c>
      <c r="R107" s="69" t="s">
        <v>183</v>
      </c>
      <c r="S107" s="69"/>
      <c r="T107" s="69"/>
      <c r="U107" s="69"/>
      <c r="V107" s="69"/>
      <c r="W107" s="118" t="s">
        <v>448</v>
      </c>
      <c r="X107" s="69"/>
      <c r="Y107" s="69"/>
      <c r="Z107" s="118" t="s">
        <v>255</v>
      </c>
      <c r="AA107" s="118"/>
      <c r="AB107" s="118"/>
      <c r="AC107" s="118"/>
      <c r="AD107" s="69" t="s">
        <v>183</v>
      </c>
      <c r="AE107" s="69" t="s">
        <v>183</v>
      </c>
      <c r="AF107" s="69"/>
      <c r="AG107" s="69" t="s">
        <v>255</v>
      </c>
      <c r="AH107" s="123" t="b">
        <f t="shared" si="8"/>
        <v>0</v>
      </c>
      <c r="AI107" s="123"/>
      <c r="AJ107" s="123"/>
      <c r="AK107" s="123"/>
      <c r="AL107" s="123"/>
      <c r="AM107" s="170" t="str">
        <f t="shared" si="9"/>
        <v/>
      </c>
      <c r="AN107" s="123"/>
    </row>
    <row r="108" spans="1:40" ht="106.15" customHeight="1">
      <c r="A108" s="52"/>
      <c r="B108" s="58"/>
      <c r="C108" s="71" t="s">
        <v>2115</v>
      </c>
      <c r="D108" s="71" t="s">
        <v>908</v>
      </c>
      <c r="E108" s="91" t="s">
        <v>909</v>
      </c>
      <c r="F108" s="92" t="s">
        <v>254</v>
      </c>
      <c r="G108" s="61"/>
      <c r="H108" s="107"/>
      <c r="I108" s="60"/>
      <c r="J108" s="60"/>
      <c r="K108" s="60"/>
      <c r="L108" s="123"/>
      <c r="M108" s="243"/>
      <c r="N108" s="111" cm="1">
        <f t="array" ref="N108">IF(AH108=TRUE,_xlfn.IFS(L108=1,2,L108="",IF(M108="",1,2)),0)</f>
        <v>0</v>
      </c>
      <c r="O108" s="69" t="s">
        <v>255</v>
      </c>
      <c r="P108" s="69" t="s">
        <v>183</v>
      </c>
      <c r="Q108" s="69" t="s">
        <v>183</v>
      </c>
      <c r="R108" s="69" t="s">
        <v>183</v>
      </c>
      <c r="S108" s="69"/>
      <c r="T108" s="69"/>
      <c r="U108" s="69"/>
      <c r="V108" s="69"/>
      <c r="W108" s="118" t="s">
        <v>448</v>
      </c>
      <c r="X108" s="69"/>
      <c r="Y108" s="69"/>
      <c r="Z108" s="118" t="s">
        <v>255</v>
      </c>
      <c r="AA108" s="118"/>
      <c r="AB108" s="118"/>
      <c r="AC108" s="118"/>
      <c r="AD108" s="69" t="s">
        <v>183</v>
      </c>
      <c r="AE108" s="69" t="s">
        <v>183</v>
      </c>
      <c r="AF108" s="69"/>
      <c r="AG108" s="69" t="s">
        <v>255</v>
      </c>
      <c r="AH108" s="123" t="b">
        <f t="shared" si="8"/>
        <v>0</v>
      </c>
      <c r="AI108" s="123"/>
      <c r="AJ108" s="123"/>
      <c r="AK108" s="123"/>
      <c r="AL108" s="123"/>
      <c r="AM108" s="170" t="str">
        <f t="shared" si="9"/>
        <v/>
      </c>
      <c r="AN108" s="123"/>
    </row>
    <row r="109" spans="1:40" ht="87.65" customHeight="1">
      <c r="A109" s="52"/>
      <c r="B109" s="58"/>
      <c r="C109" s="71" t="s">
        <v>2116</v>
      </c>
      <c r="D109" s="71" t="s">
        <v>911</v>
      </c>
      <c r="E109" s="91" t="s">
        <v>912</v>
      </c>
      <c r="F109" s="92" t="s">
        <v>254</v>
      </c>
      <c r="G109" s="61"/>
      <c r="H109" s="107"/>
      <c r="I109" s="60"/>
      <c r="J109" s="60"/>
      <c r="K109" s="60"/>
      <c r="L109" s="123"/>
      <c r="M109" s="243"/>
      <c r="N109" s="111" cm="1">
        <f t="array" ref="N109">IF(AH109=TRUE,_xlfn.IFS(L109=1,2,L109="",IF(M109="",1,2)),0)</f>
        <v>0</v>
      </c>
      <c r="O109" s="69" t="s">
        <v>255</v>
      </c>
      <c r="P109" s="69" t="s">
        <v>183</v>
      </c>
      <c r="Q109" s="69" t="s">
        <v>183</v>
      </c>
      <c r="R109" s="69" t="s">
        <v>183</v>
      </c>
      <c r="S109" s="69"/>
      <c r="T109" s="69"/>
      <c r="U109" s="69"/>
      <c r="V109" s="69"/>
      <c r="W109" s="118" t="s">
        <v>448</v>
      </c>
      <c r="X109" s="69"/>
      <c r="Y109" s="69"/>
      <c r="Z109" s="118" t="s">
        <v>255</v>
      </c>
      <c r="AA109" s="69"/>
      <c r="AB109" s="69"/>
      <c r="AC109" s="69"/>
      <c r="AD109" s="69" t="s">
        <v>183</v>
      </c>
      <c r="AE109" s="69" t="s">
        <v>183</v>
      </c>
      <c r="AF109" s="69"/>
      <c r="AG109" s="69" t="s">
        <v>255</v>
      </c>
      <c r="AH109" s="123" t="b">
        <f t="shared" si="8"/>
        <v>0</v>
      </c>
      <c r="AI109" s="123"/>
      <c r="AJ109" s="123"/>
      <c r="AK109" s="123"/>
      <c r="AL109" s="123"/>
      <c r="AM109" s="170" t="str">
        <f t="shared" si="9"/>
        <v/>
      </c>
      <c r="AN109" s="123"/>
    </row>
    <row r="110" spans="1:40" ht="135">
      <c r="A110" s="52"/>
      <c r="B110" s="58"/>
      <c r="C110" s="71" t="s">
        <v>2117</v>
      </c>
      <c r="D110" s="71" t="s">
        <v>914</v>
      </c>
      <c r="E110" s="91" t="s">
        <v>915</v>
      </c>
      <c r="F110" s="92" t="s">
        <v>254</v>
      </c>
      <c r="G110" s="61"/>
      <c r="H110" s="107"/>
      <c r="I110" s="60"/>
      <c r="J110" s="60"/>
      <c r="K110" s="60"/>
      <c r="L110" s="123"/>
      <c r="M110" s="243"/>
      <c r="N110" s="111" cm="1">
        <f t="array" ref="N110">IF(AH110=TRUE,_xlfn.IFS(L110=1,2,L110="",IF(M110="",1,2)),0)</f>
        <v>0</v>
      </c>
      <c r="O110" s="69" t="s">
        <v>255</v>
      </c>
      <c r="P110" s="69" t="s">
        <v>183</v>
      </c>
      <c r="Q110" s="69" t="s">
        <v>183</v>
      </c>
      <c r="R110" s="69" t="s">
        <v>183</v>
      </c>
      <c r="S110" s="118"/>
      <c r="T110" s="118"/>
      <c r="U110" s="118"/>
      <c r="V110" s="118"/>
      <c r="W110" s="118"/>
      <c r="X110" s="118" t="s">
        <v>255</v>
      </c>
      <c r="Y110" s="69"/>
      <c r="Z110" s="118" t="s">
        <v>255</v>
      </c>
      <c r="AA110" s="118"/>
      <c r="AB110" s="118"/>
      <c r="AC110" s="118"/>
      <c r="AD110" s="69" t="s">
        <v>183</v>
      </c>
      <c r="AE110" s="69" t="s">
        <v>183</v>
      </c>
      <c r="AF110" s="69" t="s">
        <v>255</v>
      </c>
      <c r="AG110" s="69" t="s">
        <v>255</v>
      </c>
      <c r="AH110" s="123" t="b">
        <f t="shared" si="8"/>
        <v>0</v>
      </c>
      <c r="AI110" s="123"/>
      <c r="AJ110" s="123"/>
      <c r="AK110" s="123"/>
      <c r="AL110" s="123" t="s">
        <v>183</v>
      </c>
      <c r="AM110" s="170" t="str">
        <f t="shared" si="9"/>
        <v>別表1,2,3</v>
      </c>
      <c r="AN110" s="123" t="s">
        <v>916</v>
      </c>
    </row>
    <row r="111" spans="1:40" ht="45">
      <c r="A111" s="52"/>
      <c r="B111" s="58"/>
      <c r="C111" s="71" t="s">
        <v>2118</v>
      </c>
      <c r="D111" s="71" t="s">
        <v>918</v>
      </c>
      <c r="E111" s="91" t="s">
        <v>919</v>
      </c>
      <c r="F111" s="92" t="s">
        <v>254</v>
      </c>
      <c r="G111" s="61"/>
      <c r="H111" s="107"/>
      <c r="I111" s="60"/>
      <c r="J111" s="60"/>
      <c r="K111" s="60"/>
      <c r="L111" s="123"/>
      <c r="M111" s="243"/>
      <c r="N111" s="111" cm="1">
        <f t="array" ref="N111">IF(AH111=TRUE,_xlfn.IFS(L111=1,2,L111="",IF(M111="",1,2)),0)</f>
        <v>0</v>
      </c>
      <c r="O111" s="69" t="s">
        <v>255</v>
      </c>
      <c r="P111" s="69" t="s">
        <v>183</v>
      </c>
      <c r="Q111" s="69" t="s">
        <v>183</v>
      </c>
      <c r="R111" s="69" t="s">
        <v>183</v>
      </c>
      <c r="S111" s="69"/>
      <c r="T111" s="69"/>
      <c r="U111" s="69"/>
      <c r="V111" s="69"/>
      <c r="W111" s="118" t="s">
        <v>448</v>
      </c>
      <c r="X111" s="69"/>
      <c r="Y111" s="69"/>
      <c r="Z111" s="118" t="s">
        <v>255</v>
      </c>
      <c r="AA111" s="69"/>
      <c r="AB111" s="69"/>
      <c r="AC111" s="69"/>
      <c r="AD111" s="69" t="s">
        <v>183</v>
      </c>
      <c r="AE111" s="69" t="s">
        <v>183</v>
      </c>
      <c r="AF111" s="69"/>
      <c r="AG111" s="69" t="s">
        <v>255</v>
      </c>
      <c r="AH111" s="123" t="b">
        <f t="shared" si="8"/>
        <v>0</v>
      </c>
      <c r="AI111" s="123"/>
      <c r="AJ111" s="123"/>
      <c r="AK111" s="123"/>
      <c r="AL111" s="123"/>
      <c r="AM111" s="170" t="str">
        <f t="shared" si="9"/>
        <v/>
      </c>
      <c r="AN111" s="123"/>
    </row>
    <row r="112" spans="1:40" ht="225.65" customHeight="1">
      <c r="A112" s="52"/>
      <c r="B112" s="58"/>
      <c r="C112" s="71" t="s">
        <v>2119</v>
      </c>
      <c r="D112" s="71" t="s">
        <v>921</v>
      </c>
      <c r="E112" s="91" t="s">
        <v>922</v>
      </c>
      <c r="F112" s="92" t="s">
        <v>254</v>
      </c>
      <c r="G112" s="61"/>
      <c r="H112" s="107"/>
      <c r="I112" s="60"/>
      <c r="J112" s="60"/>
      <c r="K112" s="60"/>
      <c r="L112" s="123"/>
      <c r="M112" s="243"/>
      <c r="N112" s="111" cm="1">
        <f t="array" ref="N112">IF(AH112=TRUE,_xlfn.IFS(L112=1,2,L112="",IF(M112="",1,2)),0)</f>
        <v>0</v>
      </c>
      <c r="O112" s="69" t="s">
        <v>255</v>
      </c>
      <c r="P112" s="69" t="s">
        <v>183</v>
      </c>
      <c r="Q112" s="69" t="s">
        <v>183</v>
      </c>
      <c r="R112" s="69" t="s">
        <v>183</v>
      </c>
      <c r="S112" s="69"/>
      <c r="T112" s="69"/>
      <c r="U112" s="69"/>
      <c r="V112" s="69"/>
      <c r="W112" s="118" t="s">
        <v>448</v>
      </c>
      <c r="X112" s="69"/>
      <c r="Y112" s="69" t="s">
        <v>183</v>
      </c>
      <c r="Z112" s="69"/>
      <c r="AA112" s="118"/>
      <c r="AB112" s="118"/>
      <c r="AC112" s="118"/>
      <c r="AD112" s="69" t="s">
        <v>183</v>
      </c>
      <c r="AE112" s="69" t="s">
        <v>183</v>
      </c>
      <c r="AF112" s="69"/>
      <c r="AG112" s="69" t="s">
        <v>255</v>
      </c>
      <c r="AH112" s="123" t="b">
        <f t="shared" si="8"/>
        <v>0</v>
      </c>
      <c r="AI112" s="123"/>
      <c r="AJ112" s="123"/>
      <c r="AK112" s="123"/>
      <c r="AL112" s="123"/>
      <c r="AM112" s="170" t="str">
        <f t="shared" si="9"/>
        <v/>
      </c>
      <c r="AN112" s="123"/>
    </row>
    <row r="113" spans="1:40" ht="86.5" customHeight="1">
      <c r="A113" s="52"/>
      <c r="B113" s="58"/>
      <c r="C113" s="71" t="s">
        <v>2120</v>
      </c>
      <c r="D113" s="71" t="s">
        <v>924</v>
      </c>
      <c r="E113" s="91" t="s">
        <v>925</v>
      </c>
      <c r="F113" s="92" t="s">
        <v>254</v>
      </c>
      <c r="G113" s="61"/>
      <c r="H113" s="107"/>
      <c r="I113" s="60"/>
      <c r="J113" s="60"/>
      <c r="K113" s="60"/>
      <c r="L113" s="123"/>
      <c r="M113" s="243"/>
      <c r="N113" s="111" cm="1">
        <f t="array" ref="N113">IF(AH113=TRUE,_xlfn.IFS(L113=1,2,L113="",IF(M113="",1,2)),0)</f>
        <v>0</v>
      </c>
      <c r="O113" s="69" t="s">
        <v>255</v>
      </c>
      <c r="P113" s="69" t="s">
        <v>183</v>
      </c>
      <c r="Q113" s="69" t="s">
        <v>183</v>
      </c>
      <c r="R113" s="69" t="s">
        <v>183</v>
      </c>
      <c r="S113" s="69"/>
      <c r="T113" s="69"/>
      <c r="U113" s="69"/>
      <c r="V113" s="69"/>
      <c r="W113" s="118" t="s">
        <v>448</v>
      </c>
      <c r="X113" s="69"/>
      <c r="Y113" s="69" t="s">
        <v>183</v>
      </c>
      <c r="Z113" s="69"/>
      <c r="AA113" s="118"/>
      <c r="AB113" s="118"/>
      <c r="AC113" s="118"/>
      <c r="AD113" s="69" t="s">
        <v>183</v>
      </c>
      <c r="AE113" s="69" t="s">
        <v>183</v>
      </c>
      <c r="AF113" s="69"/>
      <c r="AG113" s="69" t="s">
        <v>255</v>
      </c>
      <c r="AH113" s="123" t="b">
        <f t="shared" si="8"/>
        <v>0</v>
      </c>
      <c r="AI113" s="123"/>
      <c r="AJ113" s="123"/>
      <c r="AK113" s="123"/>
      <c r="AL113" s="123"/>
      <c r="AM113" s="170" t="str">
        <f t="shared" ref="AM113" si="11">IF(AI113&lt;&gt;"","セキュリティ管理/","")&amp;IF(AJ113&lt;&gt;"","マルウェア/","")&amp;IF(AK113&lt;&gt;"","クラウド/","")&amp;IF(AL113&lt;&gt;"","別表1,2,3","")</f>
        <v/>
      </c>
      <c r="AN113" s="123"/>
    </row>
    <row r="114" spans="1:40">
      <c r="G114" s="24">
        <f>COUNTA(G9:G113)</f>
        <v>0</v>
      </c>
      <c r="N114" s="24">
        <f>COUNTIF(N9:N113,2)</f>
        <v>0</v>
      </c>
      <c r="AH114" s="24">
        <f>COUNTIF(AH9:AH113,TRUE)</f>
        <v>0</v>
      </c>
      <c r="AI114" s="24"/>
      <c r="AJ114" s="24"/>
      <c r="AK114" s="24"/>
      <c r="AL114" s="24"/>
      <c r="AM114" s="24"/>
    </row>
    <row r="115" spans="1:40">
      <c r="G115" s="24">
        <f>COUNTIF(G9:G113,インデックス!CJ185)</f>
        <v>0</v>
      </c>
      <c r="N115" s="24" cm="1">
        <f t="array" ref="N115">SUMPRODUCT((N9:N113=2)*($AM9:$AM113&lt;&gt;""))</f>
        <v>0</v>
      </c>
      <c r="AH115" s="24" cm="1">
        <f t="array" ref="AH115">SUMPRODUCT((AH9:AH113=TRUE)*($AM9:$AM113&lt;&gt;""))</f>
        <v>0</v>
      </c>
    </row>
    <row r="116" spans="1:40">
      <c r="G116" s="24" cm="1">
        <f t="array" ref="G116">SUMPRODUCT((G9:G113&lt;&gt;"")*(AM9:AM113&lt;&gt;""))</f>
        <v>0</v>
      </c>
    </row>
    <row r="117" spans="1:40">
      <c r="G117" s="24" cm="1">
        <f t="array" ref="G117">SUMPRODUCT((G9:G113=インデックス!$CJ$185)*(AM9:AM113&lt;&gt;""))</f>
        <v>0</v>
      </c>
    </row>
  </sheetData>
  <autoFilter ref="A6:AN113" xr:uid="{00000000-0009-0000-0000-000007000000}"/>
  <sortState xmlns:xlrd2="http://schemas.microsoft.com/office/spreadsheetml/2017/richdata2" ref="A80:AN110">
    <sortCondition ref="D80:D110"/>
  </sortState>
  <mergeCells count="1">
    <mergeCell ref="L1:M2"/>
  </mergeCells>
  <phoneticPr fontId="7"/>
  <conditionalFormatting sqref="E58:E79 F55:H79 E9:H54 E80:H80 E82:H113">
    <cfRule type="expression" dxfId="188" priority="222">
      <formula>$AH9=FALSE</formula>
    </cfRule>
  </conditionalFormatting>
  <conditionalFormatting sqref="E57">
    <cfRule type="expression" dxfId="187" priority="86">
      <formula>$AH57=FALSE</formula>
    </cfRule>
  </conditionalFormatting>
  <conditionalFormatting sqref="E56">
    <cfRule type="expression" dxfId="186" priority="83">
      <formula>$AH56=FALSE</formula>
    </cfRule>
  </conditionalFormatting>
  <conditionalFormatting sqref="E55">
    <cfRule type="expression" dxfId="185" priority="80">
      <formula>$AH55=FALSE</formula>
    </cfRule>
  </conditionalFormatting>
  <conditionalFormatting sqref="E81:H81">
    <cfRule type="expression" dxfId="184" priority="5">
      <formula>$AH81=FALSE</formula>
    </cfRule>
  </conditionalFormatting>
  <dataValidations count="1">
    <dataValidation type="list" allowBlank="1" showInputMessage="1" showErrorMessage="1" sqref="L7:L113" xr:uid="{00000000-0002-0000-07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4E51B296-96F1-4902-89E9-5ACFDCC71FBA}">
            <xm:f>L$1=インデックス!$CJ$189</xm:f>
            <x14:dxf>
              <fill>
                <patternFill>
                  <bgColor theme="5"/>
                </patternFill>
              </fill>
            </x14:dxf>
          </x14:cfRule>
          <x14:cfRule type="expression" priority="9" id="{BD76412B-ED8D-4116-A453-181A6B819B85}">
            <xm:f>L$1=インデックス!$CJ$188</xm:f>
            <x14:dxf>
              <fill>
                <patternFill>
                  <bgColor theme="9"/>
                </patternFill>
              </fill>
            </x14:dxf>
          </x14:cfRule>
          <x14:cfRule type="expression" priority="10" id="{B0114CDA-31B5-4ACE-AA34-9A08DED9B966}">
            <xm:f>L$1=インデックス!$CJ$187</xm:f>
            <x14:dxf>
              <fill>
                <patternFill>
                  <bgColor theme="4"/>
                </patternFill>
              </fill>
            </x14:dxf>
          </x14:cfRule>
          <xm:sqref>L1:M2</xm:sqref>
        </x14:conditionalFormatting>
        <x14:conditionalFormatting xmlns:xm="http://schemas.microsoft.com/office/excel/2006/main">
          <x14:cfRule type="expression" priority="824" id="{5BB352A2-AC43-42A3-A5C5-30D96D998E8D}">
            <xm:f>AND($AH9=TRUE,COUNTIF($G9,インデックス!$CJ$186),ISBLANK($H9))</xm:f>
            <x14:dxf>
              <fill>
                <patternFill>
                  <bgColor theme="5"/>
                </patternFill>
              </fill>
            </x14:dxf>
          </x14:cfRule>
          <x14:cfRule type="expression" priority="825" id="{5AD7CB8C-62BC-4402-9647-8D6AA3995F6A}">
            <xm:f>AND($AH9=TRUE,$G9=インデックス!$CJ$184,ISBLANK($H9))</xm:f>
            <x14:dxf>
              <fill>
                <patternFill>
                  <bgColor theme="5"/>
                </patternFill>
              </fill>
            </x14:dxf>
          </x14:cfRule>
          <xm:sqref>H9:H113</xm:sqref>
        </x14:conditionalFormatting>
        <x14:conditionalFormatting xmlns:xm="http://schemas.microsoft.com/office/excel/2006/main">
          <x14:cfRule type="expression" priority="840" id="{66A018CF-D6BD-4B83-A188-205F7D8444C9}">
            <xm:f>AND(AH49=TRUE,COUNTIF(G49,インデックス!$CJ$186),LENB(H49)=161)</xm:f>
            <x14:dxf>
              <fill>
                <patternFill>
                  <bgColor theme="5"/>
                </patternFill>
              </fill>
            </x14:dxf>
          </x14:cfRule>
          <x14:cfRule type="expression" priority="841" id="{73BA7905-7379-4327-9110-5D570C0BA9AB}">
            <xm:f>AND(AH49=TRUE,G49=インデックス!$CJ$184,LENB(H49)=161)</xm:f>
            <x14:dxf>
              <fill>
                <patternFill>
                  <bgColor theme="5"/>
                </patternFill>
              </fill>
            </x14:dxf>
          </x14:cfRule>
          <x14:cfRule type="expression" priority="842" id="{911B124B-12B6-401D-B670-2194372237A7}">
            <xm:f>AND(AH49=TRUE,G49=インデックス!$CJ$183,LENB(H49)=161)</xm:f>
            <x14:dxf>
              <fill>
                <patternFill>
                  <bgColor theme="5"/>
                </patternFill>
              </fill>
            </x14:dxf>
          </x14:cfRule>
          <xm:sqref>H49</xm:sqref>
        </x14:conditionalFormatting>
        <x14:conditionalFormatting xmlns:xm="http://schemas.microsoft.com/office/excel/2006/main">
          <x14:cfRule type="expression" priority="863" id="{2B70DE41-E7C3-4C7D-A24F-4BC4386A155A}">
            <xm:f>AND($AH95=TRUE,$G95=インデックス!$CJ$183,ISBLANK($H95))</xm:f>
            <x14:dxf>
              <fill>
                <patternFill>
                  <bgColor theme="5"/>
                </patternFill>
              </fill>
            </x14:dxf>
          </x14:cfRule>
          <xm:sqref>H95</xm:sqref>
        </x14:conditionalFormatting>
        <x14:conditionalFormatting xmlns:xm="http://schemas.microsoft.com/office/excel/2006/main">
          <x14:cfRule type="expression" priority="864" id="{0BAF8898-FA8C-4A1E-8C64-FEA168A5F41F}">
            <xm:f>AND($AH9=TRUE,OR($G9=インデックス!$CJ$183,$G9=インデックス!$CJ$184,$G9=インデックス!$CJ$185,$G9=インデックス!$CJ$186),ISBLANK($L9))</xm:f>
            <x14:dxf>
              <fill>
                <patternFill>
                  <bgColor theme="5"/>
                </patternFill>
              </fill>
            </x14:dxf>
          </x14:cfRule>
          <xm:sqref>L9:L113</xm:sqref>
        </x14:conditionalFormatting>
        <x14:conditionalFormatting xmlns:xm="http://schemas.microsoft.com/office/excel/2006/main">
          <x14:cfRule type="expression" priority="866" id="{3403CE77-6527-4B79-A960-28E26A6A1199}">
            <xm:f>AND($AH9=TRUE,OR($G9=インデックス!$CJ$184,$G9=インデックス!$CJ$185,$G9=インデックス!$CJ$186),ISBLANK($M9))</xm:f>
            <x14:dxf>
              <fill>
                <patternFill>
                  <bgColor theme="5"/>
                </patternFill>
              </fill>
            </x14:dxf>
          </x14:cfRule>
          <xm:sqref>M9:M113</xm:sqref>
        </x14:conditionalFormatting>
        <x14:conditionalFormatting xmlns:xm="http://schemas.microsoft.com/office/excel/2006/main">
          <x14:cfRule type="expression" priority="901" id="{C8E377C8-BC4F-4610-BA28-BA83B33719BA}">
            <xm:f>AND($AH18=TRUE,インデックス!$AL$63=TRUE,$G18=インデックス!$CJ$183,ISBLANK($H18))</xm:f>
            <x14:dxf>
              <fill>
                <patternFill>
                  <bgColor theme="5"/>
                </patternFill>
              </fill>
            </x14:dxf>
          </x14:cfRule>
          <xm:sqref>H18 H25 H30 H85</xm:sqref>
        </x14:conditionalFormatting>
        <x14:conditionalFormatting xmlns:xm="http://schemas.microsoft.com/office/excel/2006/main">
          <x14:cfRule type="expression" priority="1717" id="{02FE41D4-F9EE-4628-A45A-5F7A22EC2E76}">
            <xm:f>AND($AH9=TRUE,$G9=インデックス!$CJ$184,ISBLANK($L9),インデックス!$AL$40=TRUE)</xm:f>
            <x14:dxf>
              <fill>
                <patternFill>
                  <bgColor theme="5"/>
                </patternFill>
              </fill>
            </x14:dxf>
          </x14:cfRule>
          <xm:sqref>L9:L13 L15:L23 L25:L27 L30:L34 L46 L60:L62 L84:L113 L37:L44 L49:L58 L65:L81</xm:sqref>
        </x14:conditionalFormatting>
        <x14:conditionalFormatting xmlns:xm="http://schemas.microsoft.com/office/excel/2006/main">
          <x14:cfRule type="expression" priority="1727" id="{B32E97B8-4B4C-4ACA-8B72-E512598FE965}">
            <xm:f>AND($AH9=TRUE,$G9=インデックス!$CJ$184,ISBLANK($M9),インデックス!$AL$40=TRUE)</xm:f>
            <x14:dxf>
              <fill>
                <patternFill>
                  <bgColor theme="5"/>
                </patternFill>
              </fill>
            </x14:dxf>
          </x14:cfRule>
          <xm:sqref>M14:N14 M52:N52 M42:N42 M45:N45 M59:N59 M82:N83 M9:M13 M24:N24 M15:M23 M28:N29 M25:M27 M35:N36 M30:M34 M47:N48 M46 M63:N64 M60:M62 M49:M51 M37:M41 M84:M113 M43:M44 M53:M58 M65:M81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インデックス!$CJ$183:$CJ$186</xm:f>
          </x14:formula1>
          <xm:sqref>G46 G53:G58 G9:G13 G25:G27 G30:G34 G15:G23 G84:G113 G60:G62 G37:G41 G49:G51 G43:G44 G65:G81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W118"/>
  <sheetViews>
    <sheetView showGridLines="0" zoomScale="70" zoomScaleNormal="70" workbookViewId="0">
      <pane ySplit="7" topLeftCell="A8" activePane="bottomLeft" state="frozen"/>
      <selection activeCell="AP34" sqref="AP34"/>
      <selection pane="bottomLeft"/>
    </sheetView>
  </sheetViews>
  <sheetFormatPr defaultColWidth="9" defaultRowHeight="18" outlineLevelCol="1"/>
  <cols>
    <col min="1" max="2" width="5.58203125" customWidth="1"/>
    <col min="3" max="3" width="9.08203125" style="2" bestFit="1" customWidth="1"/>
    <col min="4" max="4" width="8.58203125" style="2" customWidth="1"/>
    <col min="5" max="6" width="100.58203125" style="3" customWidth="1"/>
    <col min="7" max="7" width="16.58203125" customWidth="1"/>
    <col min="8" max="8" width="20.58203125" customWidth="1"/>
    <col min="9" max="9" width="55.58203125" style="2" customWidth="1"/>
    <col min="10" max="12" width="15.58203125" hidden="1" customWidth="1" outlineLevel="1"/>
    <col min="13" max="13" width="18.58203125" customWidth="1" collapsed="1"/>
    <col min="14" max="14" width="50.58203125" customWidth="1"/>
    <col min="15" max="15" width="17.58203125" hidden="1" customWidth="1" outlineLevel="1"/>
    <col min="16" max="19" width="15.58203125" style="24" hidden="1" customWidth="1" outlineLevel="1"/>
    <col min="20" max="24" width="15.58203125" style="27" hidden="1" customWidth="1" outlineLevel="1"/>
    <col min="25" max="43" width="15.58203125" style="24" hidden="1" customWidth="1" outlineLevel="1"/>
    <col min="44" max="47" width="15.58203125" hidden="1" customWidth="1" outlineLevel="1"/>
    <col min="48" max="48" width="40.75" customWidth="1" collapsed="1"/>
    <col min="49" max="49" width="18.75" customWidth="1"/>
  </cols>
  <sheetData>
    <row r="1" spans="1:49" ht="32.5" customHeight="1">
      <c r="A1" s="43" t="s">
        <v>926</v>
      </c>
      <c r="C1"/>
      <c r="D1"/>
      <c r="E1" s="21"/>
      <c r="F1" s="2"/>
      <c r="H1" s="24"/>
      <c r="I1" s="48"/>
      <c r="J1" s="24"/>
      <c r="K1" s="24"/>
      <c r="L1" s="24"/>
      <c r="M1" s="387" t="str" cm="1">
        <f t="array" ref="M1">IF(COUNTIF(O10:O114,1)=0,インデックス!$CJ$187,IF(AND(インデックス!$AL$63,SUMPRODUCT((O10:O114=1)*($AV10:$AV114&lt;&gt;""))=0),インデックス!$CJ$188,インデックス!$CJ$189))</f>
        <v>全件評価完了</v>
      </c>
      <c r="N1" s="387"/>
      <c r="O1" s="24"/>
      <c r="T1" s="24"/>
      <c r="U1" s="24"/>
      <c r="V1" s="24"/>
      <c r="W1" s="24"/>
      <c r="X1"/>
      <c r="Y1"/>
      <c r="Z1"/>
      <c r="AA1"/>
      <c r="AB1"/>
      <c r="AC1"/>
      <c r="AD1"/>
      <c r="AE1"/>
      <c r="AF1"/>
      <c r="AG1"/>
      <c r="AH1"/>
      <c r="AI1"/>
      <c r="AJ1"/>
      <c r="AK1"/>
      <c r="AL1"/>
      <c r="AM1"/>
      <c r="AN1"/>
      <c r="AO1"/>
      <c r="AP1"/>
      <c r="AQ1"/>
    </row>
    <row r="2" spans="1:49" ht="26.5">
      <c r="B2" s="42" t="s">
        <v>713</v>
      </c>
      <c r="C2"/>
      <c r="D2"/>
      <c r="E2" s="21"/>
      <c r="F2" s="2"/>
      <c r="H2" s="24"/>
      <c r="I2" s="48"/>
      <c r="J2" s="24"/>
      <c r="K2" s="24"/>
      <c r="L2" s="24"/>
      <c r="M2" s="387"/>
      <c r="N2" s="387"/>
      <c r="O2" s="24"/>
      <c r="T2" s="24"/>
      <c r="U2" s="24"/>
      <c r="V2" s="24"/>
      <c r="W2" s="24"/>
      <c r="X2"/>
      <c r="Y2"/>
      <c r="Z2"/>
      <c r="AA2"/>
      <c r="AB2"/>
      <c r="AC2"/>
      <c r="AD2"/>
      <c r="AE2"/>
      <c r="AF2"/>
      <c r="AG2"/>
      <c r="AH2"/>
      <c r="AI2"/>
      <c r="AJ2"/>
      <c r="AK2"/>
      <c r="AL2"/>
      <c r="AM2"/>
      <c r="AN2"/>
      <c r="AO2"/>
      <c r="AP2"/>
      <c r="AQ2"/>
    </row>
    <row r="3" spans="1:49" ht="26.5">
      <c r="B3" s="42" t="s">
        <v>927</v>
      </c>
      <c r="C3"/>
      <c r="D3"/>
      <c r="E3" s="21"/>
      <c r="F3" s="2"/>
      <c r="H3" s="24"/>
      <c r="I3" s="48"/>
      <c r="J3" s="24"/>
      <c r="K3" s="24"/>
      <c r="L3" s="24"/>
      <c r="M3" s="24"/>
      <c r="N3" s="24"/>
      <c r="O3" s="24"/>
      <c r="T3" s="24"/>
      <c r="U3" s="24"/>
      <c r="V3" s="24"/>
      <c r="W3" s="24"/>
      <c r="X3"/>
      <c r="Y3"/>
      <c r="Z3"/>
      <c r="AA3"/>
      <c r="AB3"/>
      <c r="AC3"/>
      <c r="AD3"/>
      <c r="AE3"/>
      <c r="AF3"/>
      <c r="AG3"/>
      <c r="AH3"/>
      <c r="AI3"/>
      <c r="AJ3"/>
      <c r="AK3"/>
      <c r="AL3"/>
      <c r="AM3"/>
      <c r="AN3"/>
      <c r="AO3"/>
      <c r="AP3"/>
      <c r="AQ3"/>
    </row>
    <row r="4" spans="1:49" ht="26.5">
      <c r="B4" s="42" t="s">
        <v>928</v>
      </c>
      <c r="C4"/>
      <c r="D4"/>
      <c r="E4" s="21"/>
      <c r="F4" s="2"/>
      <c r="H4" s="24"/>
      <c r="I4" s="48"/>
      <c r="J4" s="24"/>
      <c r="K4" s="24"/>
      <c r="L4" s="24"/>
      <c r="M4" s="24"/>
      <c r="N4" s="24"/>
      <c r="O4" s="24"/>
      <c r="T4" s="24"/>
      <c r="U4" s="24"/>
      <c r="V4" s="24"/>
      <c r="W4" s="24"/>
      <c r="X4"/>
      <c r="Y4"/>
      <c r="Z4"/>
      <c r="AA4"/>
      <c r="AB4"/>
      <c r="AC4"/>
      <c r="AD4"/>
      <c r="AE4"/>
      <c r="AF4"/>
      <c r="AG4"/>
      <c r="AH4"/>
      <c r="AI4"/>
      <c r="AJ4"/>
      <c r="AK4"/>
      <c r="AL4"/>
      <c r="AM4"/>
      <c r="AN4"/>
      <c r="AO4"/>
      <c r="AP4"/>
      <c r="AQ4"/>
    </row>
    <row r="5" spans="1:49" ht="26.5">
      <c r="B5" s="42" t="s">
        <v>929</v>
      </c>
      <c r="C5"/>
      <c r="D5"/>
      <c r="E5" s="21"/>
      <c r="F5" s="2"/>
      <c r="H5" s="24"/>
      <c r="I5" s="48"/>
      <c r="J5" s="24"/>
      <c r="K5" s="24"/>
      <c r="L5" s="24"/>
      <c r="M5" s="24"/>
      <c r="N5" s="24"/>
      <c r="O5" s="24"/>
      <c r="T5" s="24"/>
      <c r="U5" s="24"/>
      <c r="V5" s="24"/>
      <c r="W5" s="24"/>
      <c r="X5"/>
      <c r="Y5"/>
      <c r="Z5"/>
      <c r="AA5"/>
      <c r="AB5"/>
      <c r="AC5"/>
      <c r="AD5"/>
      <c r="AE5"/>
      <c r="AF5"/>
      <c r="AG5"/>
      <c r="AH5"/>
      <c r="AI5"/>
      <c r="AJ5"/>
      <c r="AK5"/>
      <c r="AL5"/>
      <c r="AM5"/>
      <c r="AN5"/>
      <c r="AO5"/>
      <c r="AP5"/>
      <c r="AQ5"/>
    </row>
    <row r="6" spans="1:49">
      <c r="C6"/>
      <c r="D6"/>
      <c r="J6" s="160"/>
      <c r="K6" s="160"/>
      <c r="L6" s="160"/>
      <c r="M6" s="163" t="s">
        <v>229</v>
      </c>
      <c r="N6" s="161"/>
      <c r="O6" s="161"/>
      <c r="P6" s="25" t="b">
        <f>AND(インデックス!$AL$38,インデックス!$AL$63)</f>
        <v>0</v>
      </c>
      <c r="Q6" s="25" t="b">
        <f>インデックス!$AL$39</f>
        <v>0</v>
      </c>
      <c r="R6" s="25" t="b">
        <f>OR(インデックス!$AL$37,インデックス!$AL$40)</f>
        <v>0</v>
      </c>
      <c r="S6" s="32" t="b">
        <f>OR(インデックス!AL112,インデックス!AL113,インデックス!AL114,インデックス!AL110)</f>
        <v>0</v>
      </c>
      <c r="T6" s="26" t="b">
        <f>AND(TRUE,NOT(OR(インデックス!$AL$51,インデックス!$AL$69)))</f>
        <v>1</v>
      </c>
      <c r="U6" s="26" t="b">
        <f>AND(インデックス!$AL$56,NOT(OR(インデックス!$AL$51,インデックス!$AL$69)))</f>
        <v>0</v>
      </c>
      <c r="V6" s="26" t="b">
        <f>AND(インデックス!$AL$57,NOT(OR(インデックス!$AL$51,インデックス!$AL$69)))</f>
        <v>0</v>
      </c>
      <c r="W6" s="26" t="b">
        <f>AND(インデックス!$AL$58,NOT(OR(インデックス!$AL$51,インデックス!$AL$69)))</f>
        <v>0</v>
      </c>
      <c r="X6" s="30" t="b">
        <f>AND(インデックス!$AL$63,NOT(OR(インデックス!$AL$51,インデックス!$AL$69)))</f>
        <v>0</v>
      </c>
      <c r="Y6" s="26" t="b">
        <f>インデックス!$AL$86</f>
        <v>0</v>
      </c>
      <c r="Z6" s="26" t="b">
        <f>インデックス!$AL$88</f>
        <v>0</v>
      </c>
      <c r="AA6" s="26" t="b">
        <f>インデックス!$AL$87</f>
        <v>0</v>
      </c>
      <c r="AB6" s="26" t="b">
        <f>AND(インデックス!$AL$93,NOT(OR(インデックス!$AL$51,インデックス!$AL$69)))</f>
        <v>0</v>
      </c>
      <c r="AC6" s="26" t="b">
        <f>AND(インデックス!$AL$94,NOT(OR(インデックス!$AL$51,インデックス!$AL$69)))</f>
        <v>0</v>
      </c>
      <c r="AD6" s="26" t="b">
        <f>AND(インデックス!$AL$48,NOT(インデックス!$AL$69))</f>
        <v>0</v>
      </c>
      <c r="AE6" s="31" t="b">
        <f>インデックス!$AL$43</f>
        <v>0</v>
      </c>
      <c r="AF6" s="31" t="b">
        <f>OR(インデックス!$AL$48,インデックス!$AL$49)</f>
        <v>0</v>
      </c>
      <c r="AG6" s="31" t="b">
        <f>インデックス!$AL$63</f>
        <v>0</v>
      </c>
      <c r="AH6" s="31" t="b">
        <f>インデックス!$AL$44</f>
        <v>0</v>
      </c>
      <c r="AI6" s="51" t="b">
        <f>インデックス!$AL$112</f>
        <v>0</v>
      </c>
      <c r="AJ6" s="51" t="b">
        <f>インデックス!$AL$112</f>
        <v>0</v>
      </c>
      <c r="AK6" s="51" t="b">
        <f>インデックス!$AL$113</f>
        <v>0</v>
      </c>
      <c r="AL6" s="51" t="b">
        <f>インデックス!$AL$113</f>
        <v>0</v>
      </c>
      <c r="AM6" s="51" t="b">
        <f>インデックス!$AL$114</f>
        <v>0</v>
      </c>
      <c r="AN6" s="51" t="b">
        <f>インデックス!$AL$114</f>
        <v>0</v>
      </c>
      <c r="AO6" s="51" t="b">
        <f>インデックス!$AL$115</f>
        <v>0</v>
      </c>
      <c r="AP6" s="51" t="b">
        <f>インデックス!$AL$115</f>
        <v>0</v>
      </c>
      <c r="AQ6" s="160"/>
      <c r="AR6" s="162"/>
      <c r="AS6" s="162"/>
      <c r="AT6" s="162"/>
      <c r="AU6" s="162"/>
      <c r="AV6" s="162"/>
      <c r="AW6" s="162"/>
    </row>
    <row r="7" spans="1:49" ht="67.5">
      <c r="A7" s="293"/>
      <c r="B7" s="293"/>
      <c r="C7" s="293" t="s">
        <v>230</v>
      </c>
      <c r="D7" s="293" t="s">
        <v>155</v>
      </c>
      <c r="E7" s="292" t="s">
        <v>1981</v>
      </c>
      <c r="F7" s="292" t="s">
        <v>930</v>
      </c>
      <c r="G7" s="294" t="s">
        <v>232</v>
      </c>
      <c r="H7" s="64" t="s">
        <v>233</v>
      </c>
      <c r="I7" s="291" t="s">
        <v>1985</v>
      </c>
      <c r="J7" s="64" t="s">
        <v>234</v>
      </c>
      <c r="K7" s="64" t="s">
        <v>235</v>
      </c>
      <c r="L7" s="64" t="s">
        <v>236</v>
      </c>
      <c r="M7" s="159" t="s">
        <v>2000</v>
      </c>
      <c r="N7" s="73" t="s">
        <v>237</v>
      </c>
      <c r="O7" s="290" t="s">
        <v>1989</v>
      </c>
      <c r="P7" s="64" t="s">
        <v>238</v>
      </c>
      <c r="Q7" s="64" t="s">
        <v>239</v>
      </c>
      <c r="R7" s="159" t="s">
        <v>240</v>
      </c>
      <c r="S7" s="64" t="s">
        <v>931</v>
      </c>
      <c r="T7" s="74" t="s">
        <v>241</v>
      </c>
      <c r="U7" s="74" t="s">
        <v>716</v>
      </c>
      <c r="V7" s="112" t="s">
        <v>717</v>
      </c>
      <c r="W7" s="112" t="s">
        <v>718</v>
      </c>
      <c r="X7" s="74" t="s">
        <v>195</v>
      </c>
      <c r="Y7" s="74" t="s">
        <v>82</v>
      </c>
      <c r="Z7" s="74" t="s">
        <v>84</v>
      </c>
      <c r="AA7" s="74" t="s">
        <v>469</v>
      </c>
      <c r="AB7" s="74" t="s">
        <v>242</v>
      </c>
      <c r="AC7" s="74" t="s">
        <v>466</v>
      </c>
      <c r="AD7" s="74" t="s">
        <v>51</v>
      </c>
      <c r="AE7" s="74" t="s">
        <v>470</v>
      </c>
      <c r="AF7" s="112" t="s">
        <v>467</v>
      </c>
      <c r="AG7" s="112" t="s">
        <v>195</v>
      </c>
      <c r="AH7" s="74" t="s">
        <v>719</v>
      </c>
      <c r="AI7" s="74" t="s">
        <v>932</v>
      </c>
      <c r="AJ7" s="74" t="s">
        <v>933</v>
      </c>
      <c r="AK7" s="74" t="s">
        <v>934</v>
      </c>
      <c r="AL7" s="74" t="s">
        <v>935</v>
      </c>
      <c r="AM7" s="201" t="s">
        <v>936</v>
      </c>
      <c r="AN7" s="201" t="s">
        <v>937</v>
      </c>
      <c r="AO7" s="201" t="s">
        <v>938</v>
      </c>
      <c r="AP7" s="201" t="s">
        <v>939</v>
      </c>
      <c r="AQ7" s="74" t="s">
        <v>243</v>
      </c>
      <c r="AR7" s="74" t="s">
        <v>244</v>
      </c>
      <c r="AS7" s="74" t="s">
        <v>245</v>
      </c>
      <c r="AT7" s="74" t="s">
        <v>246</v>
      </c>
      <c r="AU7" s="74" t="s">
        <v>247</v>
      </c>
      <c r="AV7" s="74" t="s">
        <v>248</v>
      </c>
      <c r="AW7" s="74" t="s">
        <v>249</v>
      </c>
    </row>
    <row r="8" spans="1:49" ht="22.5">
      <c r="A8" s="75" t="s">
        <v>473</v>
      </c>
      <c r="B8" s="75"/>
      <c r="C8" s="76"/>
      <c r="D8" s="76"/>
      <c r="E8" s="77"/>
      <c r="F8" s="77"/>
      <c r="G8" s="78"/>
      <c r="H8" s="78"/>
      <c r="I8" s="79"/>
      <c r="J8" s="78"/>
      <c r="K8" s="78"/>
      <c r="L8" s="78"/>
      <c r="M8" s="80"/>
      <c r="N8" s="78"/>
      <c r="O8" s="78"/>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row>
    <row r="9" spans="1:49" ht="22.5">
      <c r="A9" s="75"/>
      <c r="B9" s="82" t="s">
        <v>474</v>
      </c>
      <c r="C9" s="83"/>
      <c r="D9" s="83"/>
      <c r="E9" s="84"/>
      <c r="F9" s="84"/>
      <c r="G9" s="85"/>
      <c r="H9" s="184"/>
      <c r="I9" s="185"/>
      <c r="J9" s="127"/>
      <c r="K9" s="127"/>
      <c r="L9" s="127"/>
      <c r="M9" s="89"/>
      <c r="N9" s="127"/>
      <c r="O9" s="127"/>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row>
    <row r="10" spans="1:49" ht="45">
      <c r="A10" s="75"/>
      <c r="B10" s="82"/>
      <c r="C10" s="71" t="s">
        <v>2121</v>
      </c>
      <c r="D10" s="90" t="s">
        <v>252</v>
      </c>
      <c r="E10" s="91" t="s">
        <v>940</v>
      </c>
      <c r="F10" s="91" t="s">
        <v>941</v>
      </c>
      <c r="G10" s="92" t="s">
        <v>254</v>
      </c>
      <c r="H10" s="181"/>
      <c r="I10" s="98"/>
      <c r="J10" s="93"/>
      <c r="K10" s="93"/>
      <c r="L10" s="93"/>
      <c r="M10" s="94"/>
      <c r="N10" s="247"/>
      <c r="O10" s="111" cm="1">
        <f t="array" ref="O10">IF(AQ10=TRUE,_xlfn.IFS(M10=1,2,M10="",IF(N10="",1,2)),0)</f>
        <v>0</v>
      </c>
      <c r="P10" s="95" t="s">
        <v>255</v>
      </c>
      <c r="Q10" s="95" t="s">
        <v>183</v>
      </c>
      <c r="R10" s="95" t="s">
        <v>183</v>
      </c>
      <c r="S10" s="95" t="s">
        <v>183</v>
      </c>
      <c r="T10" s="96" t="s">
        <v>183</v>
      </c>
      <c r="U10" s="96"/>
      <c r="V10" s="96"/>
      <c r="W10" s="96"/>
      <c r="X10" s="96"/>
      <c r="Y10" s="95"/>
      <c r="Z10" s="95"/>
      <c r="AA10" s="95"/>
      <c r="AB10" s="95"/>
      <c r="AC10" s="95"/>
      <c r="AD10" s="95"/>
      <c r="AE10" s="95" t="s">
        <v>183</v>
      </c>
      <c r="AF10" s="95" t="s">
        <v>183</v>
      </c>
      <c r="AG10" s="95"/>
      <c r="AH10" s="95"/>
      <c r="AI10" s="106" t="s">
        <v>183</v>
      </c>
      <c r="AJ10" s="106" t="s">
        <v>183</v>
      </c>
      <c r="AK10" s="106" t="s">
        <v>183</v>
      </c>
      <c r="AL10" s="106" t="s">
        <v>183</v>
      </c>
      <c r="AM10" s="106" t="s">
        <v>183</v>
      </c>
      <c r="AN10" s="106" t="s">
        <v>183</v>
      </c>
      <c r="AO10" s="106" t="s">
        <v>183</v>
      </c>
      <c r="AP10" s="106" t="s">
        <v>255</v>
      </c>
      <c r="AQ10" s="91" t="b">
        <f t="shared" ref="AQ10:AQ15" si="0">AND(AND(OR(AND($P$6=TRUE,$P10&lt;&gt;""),AND($Q$6=TRUE,$Q10&lt;&gt;""),AND($R$6=TRUE,$R10&lt;&gt;"")),AND($S$6=TRUE,$S10&lt;&gt;""),OR(AND($T$6=TRUE,$T10&lt;&gt;""),AND($U$6=TRUE,$U10&lt;&gt;""),AND($V$6=TRUE,$V10&lt;&gt;""),AND($W$6=TRUE,$W10&lt;&gt;""),AND($X$6=TRUE,$X10&lt;&gt;""),AND($Y$6=TRUE,$Y10&lt;&gt;""),AND($Z$6=TRUE,$Z10&lt;&gt;""),AND($AA$6=TRUE,$AA10&lt;&gt;""),AND($AB$6=TRUE,$AB10&lt;&gt;""),AND($AC$6=TRUE,$AC10&lt;&gt;""),AND($AD$6=TRUE,$AD10&lt;&gt;""))),OR(AND($AE$6=TRUE,$AE10&lt;&gt;""),AND($AF$6=TRUE,$AF10&lt;&gt;""),AND($AG$6=TRUE,$AG10&lt;&gt;""),AND($AH$6=TRUE,$AH10&lt;&gt;"")),NOT(AND(NOT(AND($AI$6=FALSE,$AK$6=FALSE,$AM$6=FALSE,$AO$6=FALSE)),OR($AI$6=FALSE,AND($AI$6=TRUE,$AI10&lt;&gt;"",$AJ10&lt;&gt;"")),OR($AK$6=FALSE,AND($AK$6=TRUE,$AK10&lt;&gt;"",$AL10&lt;&gt;"")),OR($AM$6=FALSE,AND($AM$6=TRUE,$AM10&lt;&gt;"",$AN10&lt;&gt;"")),OR($AO$6=FALSE,AND($AO$6=TRUE,$AO10&lt;&gt;"",$AP10&lt;&gt;"")))))</f>
        <v>0</v>
      </c>
      <c r="AR10" s="108"/>
      <c r="AS10" s="108"/>
      <c r="AT10" s="108"/>
      <c r="AU10" s="108"/>
      <c r="AV10" s="170" t="str">
        <f t="shared" ref="AV10:AV15" si="1">IF(AR10&lt;&gt;"","セキュリティ管理/","")&amp;IF(AS10&lt;&gt;"","マルウェア/","")&amp;IF(AT10&lt;&gt;"","クラウド/","")&amp;IF(AU10&lt;&gt;"","別表1,2,3","")</f>
        <v/>
      </c>
      <c r="AW10" s="108"/>
    </row>
    <row r="11" spans="1:49" ht="90">
      <c r="A11" s="75"/>
      <c r="B11" s="82"/>
      <c r="C11" s="71" t="s">
        <v>2122</v>
      </c>
      <c r="D11" s="90" t="s">
        <v>478</v>
      </c>
      <c r="E11" s="91" t="str">
        <f>'インフラ(自社DC)'!E9</f>
        <v xml:space="preserve">運用担当者のID発行は必要最低限とし、IDと個人が一対一の関係としているか（IDの共有や貸し借りは禁止しているか）
共有IDにせざるを得ない場合は、後で個人を特定することが可能な仕組みになっているか。
</v>
      </c>
      <c r="F11" s="91" t="s">
        <v>942</v>
      </c>
      <c r="G11" s="92" t="s">
        <v>254</v>
      </c>
      <c r="H11" s="181"/>
      <c r="I11" s="98"/>
      <c r="J11" s="93"/>
      <c r="K11" s="93"/>
      <c r="L11" s="93"/>
      <c r="M11" s="94"/>
      <c r="N11" s="247"/>
      <c r="O11" s="111" cm="1">
        <f t="array" ref="O11">IF(AQ11=TRUE,_xlfn.IFS(M11=1,2,M11="",IF(N11="",1,2)),0)</f>
        <v>0</v>
      </c>
      <c r="P11" s="95" t="s">
        <v>255</v>
      </c>
      <c r="Q11" s="95" t="s">
        <v>183</v>
      </c>
      <c r="R11" s="95" t="s">
        <v>183</v>
      </c>
      <c r="S11" s="95" t="s">
        <v>183</v>
      </c>
      <c r="T11" s="96" t="s">
        <v>183</v>
      </c>
      <c r="U11" s="96"/>
      <c r="V11" s="96"/>
      <c r="W11" s="96"/>
      <c r="X11" s="96" t="s">
        <v>448</v>
      </c>
      <c r="Y11" s="95"/>
      <c r="Z11" s="95"/>
      <c r="AA11" s="95"/>
      <c r="AB11" s="95"/>
      <c r="AC11" s="95"/>
      <c r="AD11" s="95"/>
      <c r="AE11" s="95" t="s">
        <v>183</v>
      </c>
      <c r="AF11" s="95" t="s">
        <v>183</v>
      </c>
      <c r="AG11" s="95" t="s">
        <v>255</v>
      </c>
      <c r="AH11" s="95"/>
      <c r="AI11" s="106" t="s">
        <v>448</v>
      </c>
      <c r="AJ11" s="106" t="s">
        <v>183</v>
      </c>
      <c r="AK11" s="106" t="s">
        <v>448</v>
      </c>
      <c r="AL11" s="106" t="s">
        <v>183</v>
      </c>
      <c r="AM11" s="106" t="s">
        <v>255</v>
      </c>
      <c r="AN11" s="106" t="s">
        <v>255</v>
      </c>
      <c r="AO11" s="106" t="s">
        <v>183</v>
      </c>
      <c r="AP11" s="106" t="s">
        <v>255</v>
      </c>
      <c r="AQ11" s="91" t="b">
        <f t="shared" si="0"/>
        <v>0</v>
      </c>
      <c r="AR11" s="108" t="s">
        <v>183</v>
      </c>
      <c r="AS11" s="108"/>
      <c r="AT11" s="108"/>
      <c r="AU11" s="108" t="s">
        <v>183</v>
      </c>
      <c r="AV11" s="170" t="str">
        <f t="shared" si="1"/>
        <v>セキュリティ管理/別表1,2,3</v>
      </c>
      <c r="AW11" s="108"/>
    </row>
    <row r="12" spans="1:49" ht="67.5">
      <c r="A12" s="75"/>
      <c r="B12" s="82"/>
      <c r="C12" s="71" t="s">
        <v>943</v>
      </c>
      <c r="D12" s="90" t="s">
        <v>259</v>
      </c>
      <c r="E12" s="91" t="str">
        <f>'インフラ(自社DC)'!E10</f>
        <v xml:space="preserve">運用担当者や開発担当者がサーバーにアクセスする際の認証について、複数のシステムを同一のグループにせず、システムごとに認証しているか。
</v>
      </c>
      <c r="F12" s="99" t="s">
        <v>944</v>
      </c>
      <c r="G12" s="92" t="s">
        <v>254</v>
      </c>
      <c r="H12" s="181"/>
      <c r="I12" s="98"/>
      <c r="J12" s="93"/>
      <c r="K12" s="93"/>
      <c r="L12" s="93"/>
      <c r="M12" s="94"/>
      <c r="N12" s="247"/>
      <c r="O12" s="111" cm="1">
        <f t="array" ref="O12">IF(AQ12=TRUE,_xlfn.IFS(M12=1,2,M12="",IF(N12="",1,2)),0)</f>
        <v>0</v>
      </c>
      <c r="P12" s="95" t="s">
        <v>255</v>
      </c>
      <c r="Q12" s="95" t="s">
        <v>183</v>
      </c>
      <c r="R12" s="95" t="s">
        <v>183</v>
      </c>
      <c r="S12" s="95" t="s">
        <v>183</v>
      </c>
      <c r="T12" s="96" t="s">
        <v>183</v>
      </c>
      <c r="U12" s="96"/>
      <c r="V12" s="96"/>
      <c r="W12" s="96"/>
      <c r="X12" s="96" t="s">
        <v>448</v>
      </c>
      <c r="Y12" s="95"/>
      <c r="Z12" s="95"/>
      <c r="AA12" s="95"/>
      <c r="AB12" s="95"/>
      <c r="AC12" s="95"/>
      <c r="AD12" s="95"/>
      <c r="AE12" s="95" t="s">
        <v>183</v>
      </c>
      <c r="AF12" s="95" t="s">
        <v>183</v>
      </c>
      <c r="AG12" s="95"/>
      <c r="AH12" s="95"/>
      <c r="AI12" s="106" t="s">
        <v>448</v>
      </c>
      <c r="AJ12" s="106" t="s">
        <v>183</v>
      </c>
      <c r="AK12" s="106" t="s">
        <v>183</v>
      </c>
      <c r="AL12" s="106" t="s">
        <v>183</v>
      </c>
      <c r="AM12" s="106" t="s">
        <v>183</v>
      </c>
      <c r="AN12" s="106" t="s">
        <v>255</v>
      </c>
      <c r="AO12" s="106" t="s">
        <v>255</v>
      </c>
      <c r="AP12" s="106" t="s">
        <v>255</v>
      </c>
      <c r="AQ12" s="91" t="b">
        <f t="shared" si="0"/>
        <v>0</v>
      </c>
      <c r="AR12" s="108"/>
      <c r="AS12" s="108"/>
      <c r="AT12" s="108"/>
      <c r="AU12" s="108"/>
      <c r="AV12" s="170" t="str">
        <f t="shared" si="1"/>
        <v/>
      </c>
      <c r="AW12" s="108"/>
    </row>
    <row r="13" spans="1:49" ht="112.5">
      <c r="A13" s="75"/>
      <c r="B13" s="82"/>
      <c r="C13" s="71" t="s">
        <v>945</v>
      </c>
      <c r="D13" s="90" t="s">
        <v>262</v>
      </c>
      <c r="E13" s="91" t="str">
        <f>'インフラ(自社DC)'!E11</f>
        <v>システムの管理・運用に用いるＩＤの桁数は７桁以上としているか</v>
      </c>
      <c r="F13" s="91" t="s">
        <v>946</v>
      </c>
      <c r="G13" s="92" t="s">
        <v>254</v>
      </c>
      <c r="H13" s="181"/>
      <c r="I13" s="98"/>
      <c r="J13" s="93"/>
      <c r="K13" s="93"/>
      <c r="L13" s="93"/>
      <c r="M13" s="94"/>
      <c r="N13" s="247"/>
      <c r="O13" s="111" cm="1">
        <f t="array" ref="O13">IF(AQ13=TRUE,_xlfn.IFS(M13=1,2,M13="",IF(N13="",1,2)),0)</f>
        <v>0</v>
      </c>
      <c r="P13" s="95" t="s">
        <v>255</v>
      </c>
      <c r="Q13" s="95" t="s">
        <v>183</v>
      </c>
      <c r="R13" s="95" t="s">
        <v>183</v>
      </c>
      <c r="S13" s="95" t="s">
        <v>183</v>
      </c>
      <c r="T13" s="96" t="s">
        <v>183</v>
      </c>
      <c r="U13" s="96"/>
      <c r="V13" s="96"/>
      <c r="W13" s="96"/>
      <c r="X13" s="96" t="s">
        <v>448</v>
      </c>
      <c r="Y13" s="95"/>
      <c r="Z13" s="95"/>
      <c r="AA13" s="95"/>
      <c r="AB13" s="95"/>
      <c r="AC13" s="95"/>
      <c r="AD13" s="95"/>
      <c r="AE13" s="95" t="s">
        <v>183</v>
      </c>
      <c r="AF13" s="95" t="s">
        <v>183</v>
      </c>
      <c r="AG13" s="95"/>
      <c r="AH13" s="95"/>
      <c r="AI13" s="106" t="s">
        <v>448</v>
      </c>
      <c r="AJ13" s="106" t="s">
        <v>183</v>
      </c>
      <c r="AK13" s="106" t="s">
        <v>448</v>
      </c>
      <c r="AL13" s="106" t="s">
        <v>183</v>
      </c>
      <c r="AM13" s="106" t="s">
        <v>255</v>
      </c>
      <c r="AN13" s="106" t="s">
        <v>255</v>
      </c>
      <c r="AO13" s="106" t="s">
        <v>255</v>
      </c>
      <c r="AP13" s="106" t="s">
        <v>183</v>
      </c>
      <c r="AQ13" s="91" t="b">
        <f t="shared" si="0"/>
        <v>0</v>
      </c>
      <c r="AR13" s="108"/>
      <c r="AS13" s="108"/>
      <c r="AT13" s="108"/>
      <c r="AU13" s="108"/>
      <c r="AV13" s="170" t="str">
        <f t="shared" si="1"/>
        <v/>
      </c>
      <c r="AW13" s="108"/>
    </row>
    <row r="14" spans="1:49" ht="135">
      <c r="A14" s="75"/>
      <c r="B14" s="82"/>
      <c r="C14" s="71" t="s">
        <v>947</v>
      </c>
      <c r="D14" s="90" t="s">
        <v>265</v>
      </c>
      <c r="E14" s="91" t="str">
        <f>'インフラ(自社DC)'!E12</f>
        <v>運用担当者、開発担当者が使用する特認ID※、およびバッチ処理に組み込んで使用するＩＤは、既存の特認ＩＤ種類を使用する運用であり、新たな特認ＩＤ種類やアクセス権限を追加していないか。
新規に特認ＩＤを作成、使用する場合は、ＩＤ管理部門が設計を行うものとしているか。
※特認IDとは、本番環境や本番データにアクセス可能なユーザIDを指す。</v>
      </c>
      <c r="F14" s="91" t="s">
        <v>948</v>
      </c>
      <c r="G14" s="92" t="s">
        <v>254</v>
      </c>
      <c r="H14" s="181"/>
      <c r="I14" s="98"/>
      <c r="J14" s="93"/>
      <c r="K14" s="93"/>
      <c r="L14" s="93"/>
      <c r="M14" s="94"/>
      <c r="N14" s="247"/>
      <c r="O14" s="111" cm="1">
        <f t="array" ref="O14">IF(AQ14=TRUE,_xlfn.IFS(M14=1,2,M14="",IF(N14="",1,2)),0)</f>
        <v>0</v>
      </c>
      <c r="P14" s="95" t="s">
        <v>255</v>
      </c>
      <c r="Q14" s="95" t="s">
        <v>183</v>
      </c>
      <c r="R14" s="95" t="s">
        <v>183</v>
      </c>
      <c r="S14" s="95" t="s">
        <v>183</v>
      </c>
      <c r="T14" s="96" t="s">
        <v>183</v>
      </c>
      <c r="U14" s="96"/>
      <c r="V14" s="96"/>
      <c r="W14" s="96"/>
      <c r="X14" s="96" t="s">
        <v>448</v>
      </c>
      <c r="Y14" s="95"/>
      <c r="Z14" s="95"/>
      <c r="AA14" s="95"/>
      <c r="AB14" s="95"/>
      <c r="AC14" s="95"/>
      <c r="AD14" s="95"/>
      <c r="AE14" s="95" t="s">
        <v>183</v>
      </c>
      <c r="AF14" s="95" t="s">
        <v>183</v>
      </c>
      <c r="AG14" s="95"/>
      <c r="AH14" s="95"/>
      <c r="AI14" s="106" t="s">
        <v>448</v>
      </c>
      <c r="AJ14" s="106" t="s">
        <v>183</v>
      </c>
      <c r="AK14" s="106" t="s">
        <v>183</v>
      </c>
      <c r="AL14" s="106" t="s">
        <v>183</v>
      </c>
      <c r="AM14" s="106" t="s">
        <v>255</v>
      </c>
      <c r="AN14" s="106" t="s">
        <v>255</v>
      </c>
      <c r="AO14" s="106" t="s">
        <v>255</v>
      </c>
      <c r="AP14" s="106" t="s">
        <v>255</v>
      </c>
      <c r="AQ14" s="91" t="b">
        <f t="shared" si="0"/>
        <v>0</v>
      </c>
      <c r="AR14" s="108"/>
      <c r="AS14" s="108"/>
      <c r="AT14" s="108"/>
      <c r="AU14" s="108"/>
      <c r="AV14" s="170" t="str">
        <f t="shared" si="1"/>
        <v/>
      </c>
      <c r="AW14" s="108"/>
    </row>
    <row r="15" spans="1:49" ht="180">
      <c r="A15" s="75"/>
      <c r="B15" s="82"/>
      <c r="C15" s="71" t="s">
        <v>949</v>
      </c>
      <c r="D15" s="90" t="s">
        <v>950</v>
      </c>
      <c r="E15" s="91" t="str">
        <f>'インフラ(自社DC)'!E13</f>
        <v>OS・SWのシステムアカウント（デフォルトアカウント※含む）、運用アカウントに関して、利用しない場合は削除（もしくは無効化）しているか。
削除（もしくは無効化）できない場合、使用するパスワードを本Sheetの「ログイン、パスワード管理」に従ったものに変更しているか。
※デフォルトアカウントとは、OS・SW導入時に自動設定されるアカウント（UNIXのnobody、WindowsのGuest、Oracleのscott、WindowsのAdministrator、UNIXのroot、Oracleのsys等）のこと</v>
      </c>
      <c r="F15" s="91" t="s">
        <v>951</v>
      </c>
      <c r="G15" s="92" t="s">
        <v>254</v>
      </c>
      <c r="H15" s="181"/>
      <c r="I15" s="98"/>
      <c r="J15" s="93"/>
      <c r="K15" s="93"/>
      <c r="L15" s="93"/>
      <c r="M15" s="94"/>
      <c r="N15" s="247"/>
      <c r="O15" s="111" cm="1">
        <f t="array" ref="O15">IF(AQ15=TRUE,_xlfn.IFS(M15=1,2,M15="",IF(N15="",1,2)),0)</f>
        <v>0</v>
      </c>
      <c r="P15" s="95" t="s">
        <v>255</v>
      </c>
      <c r="Q15" s="95" t="s">
        <v>183</v>
      </c>
      <c r="R15" s="95" t="s">
        <v>183</v>
      </c>
      <c r="S15" s="95" t="s">
        <v>183</v>
      </c>
      <c r="T15" s="96" t="s">
        <v>183</v>
      </c>
      <c r="U15" s="96"/>
      <c r="V15" s="96"/>
      <c r="W15" s="96"/>
      <c r="X15" s="96" t="s">
        <v>448</v>
      </c>
      <c r="Y15" s="95"/>
      <c r="Z15" s="95"/>
      <c r="AA15" s="95"/>
      <c r="AB15" s="95"/>
      <c r="AC15" s="95"/>
      <c r="AD15" s="95"/>
      <c r="AE15" s="95" t="s">
        <v>183</v>
      </c>
      <c r="AF15" s="95" t="s">
        <v>183</v>
      </c>
      <c r="AG15" s="95"/>
      <c r="AH15" s="95"/>
      <c r="AI15" s="106" t="s">
        <v>448</v>
      </c>
      <c r="AJ15" s="106" t="s">
        <v>183</v>
      </c>
      <c r="AK15" s="106" t="s">
        <v>448</v>
      </c>
      <c r="AL15" s="106" t="s">
        <v>183</v>
      </c>
      <c r="AM15" s="106" t="s">
        <v>255</v>
      </c>
      <c r="AN15" s="106" t="s">
        <v>255</v>
      </c>
      <c r="AO15" s="106" t="s">
        <v>255</v>
      </c>
      <c r="AP15" s="106" t="s">
        <v>255</v>
      </c>
      <c r="AQ15" s="91" t="b">
        <f t="shared" si="0"/>
        <v>0</v>
      </c>
      <c r="AR15" s="108"/>
      <c r="AS15" s="108"/>
      <c r="AT15" s="108"/>
      <c r="AU15" s="108"/>
      <c r="AV15" s="170" t="str">
        <f t="shared" si="1"/>
        <v/>
      </c>
      <c r="AW15" s="108" t="s">
        <v>747</v>
      </c>
    </row>
    <row r="16" spans="1:49" ht="22.5">
      <c r="A16" s="75"/>
      <c r="B16" s="82" t="s">
        <v>488</v>
      </c>
      <c r="C16" s="115"/>
      <c r="D16" s="83"/>
      <c r="E16" s="119"/>
      <c r="F16" s="119"/>
      <c r="G16" s="120"/>
      <c r="H16" s="184"/>
      <c r="I16" s="185"/>
      <c r="J16" s="127"/>
      <c r="K16" s="127"/>
      <c r="L16" s="127"/>
      <c r="M16" s="89"/>
      <c r="N16" s="251"/>
      <c r="O16" s="251"/>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t="s">
        <v>268</v>
      </c>
      <c r="AR16" s="89"/>
      <c r="AS16" s="89"/>
      <c r="AT16" s="89"/>
      <c r="AU16" s="89"/>
      <c r="AV16" s="89"/>
      <c r="AW16" s="89"/>
    </row>
    <row r="17" spans="1:49" ht="337.5">
      <c r="A17" s="75"/>
      <c r="B17" s="82"/>
      <c r="C17" s="71" t="s">
        <v>952</v>
      </c>
      <c r="D17" s="90" t="s">
        <v>490</v>
      </c>
      <c r="E17" s="91" t="str">
        <f>'インフラ(自社DC)'!E15</f>
        <v>運用担当者のIDを知的認証（ＩＤ、パスワード）方式により認証しているか</v>
      </c>
      <c r="F17" s="91" t="s">
        <v>953</v>
      </c>
      <c r="G17" s="92" t="s">
        <v>254</v>
      </c>
      <c r="H17" s="181"/>
      <c r="I17" s="98"/>
      <c r="J17" s="93" t="s">
        <v>730</v>
      </c>
      <c r="K17" s="93" t="s">
        <v>730</v>
      </c>
      <c r="L17" s="93"/>
      <c r="M17" s="94"/>
      <c r="N17" s="247"/>
      <c r="O17" s="111" cm="1">
        <f t="array" ref="O17">IF(AQ17=TRUE,_xlfn.IFS(M17=1,2,M17="",IF(N17="",1,2)),0)</f>
        <v>0</v>
      </c>
      <c r="P17" s="95" t="s">
        <v>255</v>
      </c>
      <c r="Q17" s="95" t="s">
        <v>183</v>
      </c>
      <c r="R17" s="95" t="s">
        <v>183</v>
      </c>
      <c r="S17" s="95" t="s">
        <v>183</v>
      </c>
      <c r="T17" s="96" t="s">
        <v>183</v>
      </c>
      <c r="U17" s="96"/>
      <c r="V17" s="96"/>
      <c r="W17" s="96"/>
      <c r="X17" s="96" t="s">
        <v>448</v>
      </c>
      <c r="Y17" s="95"/>
      <c r="Z17" s="95"/>
      <c r="AA17" s="95"/>
      <c r="AB17" s="95"/>
      <c r="AC17" s="95"/>
      <c r="AD17" s="95"/>
      <c r="AE17" s="95" t="s">
        <v>183</v>
      </c>
      <c r="AF17" s="95" t="s">
        <v>183</v>
      </c>
      <c r="AG17" s="95" t="s">
        <v>255</v>
      </c>
      <c r="AH17" s="95"/>
      <c r="AI17" s="106"/>
      <c r="AJ17" s="106" t="s">
        <v>183</v>
      </c>
      <c r="AK17" s="106" t="s">
        <v>448</v>
      </c>
      <c r="AL17" s="106" t="s">
        <v>183</v>
      </c>
      <c r="AM17" s="106" t="s">
        <v>255</v>
      </c>
      <c r="AN17" s="106" t="s">
        <v>255</v>
      </c>
      <c r="AO17" s="106" t="s">
        <v>255</v>
      </c>
      <c r="AP17" s="106" t="s">
        <v>255</v>
      </c>
      <c r="AQ17" s="91" t="b">
        <f t="shared" ref="AQ17:AQ25" si="2">AND(AND(OR(AND($P$6=TRUE,$P17&lt;&gt;""),AND($Q$6=TRUE,$Q17&lt;&gt;""),AND($R$6=TRUE,$R17&lt;&gt;"")),AND($S$6=TRUE,$S17&lt;&gt;""),OR(AND($T$6=TRUE,$T17&lt;&gt;""),AND($U$6=TRUE,$U17&lt;&gt;""),AND($V$6=TRUE,$V17&lt;&gt;""),AND($W$6=TRUE,$W17&lt;&gt;""),AND($X$6=TRUE,$X17&lt;&gt;""),AND($Y$6=TRUE,$Y17&lt;&gt;""),AND($Z$6=TRUE,$Z17&lt;&gt;""),AND($AA$6=TRUE,$AA17&lt;&gt;""),AND($AB$6=TRUE,$AB17&lt;&gt;""),AND($AC$6=TRUE,$AC17&lt;&gt;""),AND($AD$6=TRUE,$AD17&lt;&gt;""))),OR(AND($AE$6=TRUE,$AE17&lt;&gt;""),AND($AF$6=TRUE,$AF17&lt;&gt;""),AND($AG$6=TRUE,$AG17&lt;&gt;""),AND($AH$6=TRUE,$AH17&lt;&gt;"")),NOT(AND(NOT(AND($AI$6=FALSE,$AK$6=FALSE,$AM$6=FALSE,$AO$6=FALSE)),OR($AI$6=FALSE,AND($AI$6=TRUE,$AI17&lt;&gt;"",$AJ17&lt;&gt;"")),OR($AK$6=FALSE,AND($AK$6=TRUE,$AK17&lt;&gt;"",$AL17&lt;&gt;"")),OR($AM$6=FALSE,AND($AM$6=TRUE,$AM17&lt;&gt;"",$AN17&lt;&gt;"")),OR($AO$6=FALSE,AND($AO$6=TRUE,$AO17&lt;&gt;"",$AP17&lt;&gt;"")))))</f>
        <v>0</v>
      </c>
      <c r="AR17" s="108" t="s">
        <v>183</v>
      </c>
      <c r="AS17" s="108"/>
      <c r="AT17" s="108"/>
      <c r="AU17" s="108"/>
      <c r="AV17" s="170" t="str">
        <f t="shared" ref="AV17:AV25" si="3">IF(AR17&lt;&gt;"","セキュリティ管理/","")&amp;IF(AS17&lt;&gt;"","マルウェア/","")&amp;IF(AT17&lt;&gt;"","クラウド/","")&amp;IF(AU17&lt;&gt;"","別表1,2,3","")</f>
        <v>セキュリティ管理/</v>
      </c>
      <c r="AW17" s="108" t="s">
        <v>954</v>
      </c>
    </row>
    <row r="18" spans="1:49" ht="67.5">
      <c r="A18" s="75"/>
      <c r="B18" s="82"/>
      <c r="C18" s="71" t="s">
        <v>955</v>
      </c>
      <c r="D18" s="90" t="s">
        <v>494</v>
      </c>
      <c r="E18" s="91" t="str">
        <f>'インフラ(自社DC)'!E16</f>
        <v>OS・SWのシステムアカウント及び運用アカウントのパスワードは、ランダムかつユニークなものを設定しているか
特に、パスワードは推測され難いものを設定し、IDやホスト名の文字列を含まないこと。</v>
      </c>
      <c r="F18" s="91" t="s">
        <v>956</v>
      </c>
      <c r="G18" s="92" t="s">
        <v>254</v>
      </c>
      <c r="H18" s="181"/>
      <c r="I18" s="98"/>
      <c r="J18" s="93"/>
      <c r="K18" s="93"/>
      <c r="L18" s="93"/>
      <c r="M18" s="94"/>
      <c r="N18" s="247"/>
      <c r="O18" s="111" cm="1">
        <f t="array" ref="O18">IF(AQ18=TRUE,_xlfn.IFS(M18=1,2,M18="",IF(N18="",1,2)),0)</f>
        <v>0</v>
      </c>
      <c r="P18" s="95" t="s">
        <v>255</v>
      </c>
      <c r="Q18" s="95" t="s">
        <v>183</v>
      </c>
      <c r="R18" s="95" t="s">
        <v>183</v>
      </c>
      <c r="S18" s="95" t="s">
        <v>183</v>
      </c>
      <c r="T18" s="96" t="s">
        <v>732</v>
      </c>
      <c r="U18" s="96"/>
      <c r="V18" s="96"/>
      <c r="W18" s="96"/>
      <c r="X18" s="96" t="s">
        <v>448</v>
      </c>
      <c r="Y18" s="95"/>
      <c r="Z18" s="95"/>
      <c r="AA18" s="95"/>
      <c r="AB18" s="96"/>
      <c r="AC18" s="96"/>
      <c r="AD18" s="96"/>
      <c r="AE18" s="95" t="s">
        <v>183</v>
      </c>
      <c r="AF18" s="95" t="s">
        <v>183</v>
      </c>
      <c r="AG18" s="95"/>
      <c r="AH18" s="95"/>
      <c r="AI18" s="106" t="s">
        <v>448</v>
      </c>
      <c r="AJ18" s="106" t="s">
        <v>183</v>
      </c>
      <c r="AK18" s="106" t="s">
        <v>448</v>
      </c>
      <c r="AL18" s="106" t="s">
        <v>183</v>
      </c>
      <c r="AM18" s="106" t="s">
        <v>183</v>
      </c>
      <c r="AN18" s="106" t="s">
        <v>183</v>
      </c>
      <c r="AO18" s="106" t="s">
        <v>183</v>
      </c>
      <c r="AP18" s="106" t="s">
        <v>183</v>
      </c>
      <c r="AQ18" s="91" t="b">
        <f t="shared" si="2"/>
        <v>0</v>
      </c>
      <c r="AR18" s="108"/>
      <c r="AS18" s="108"/>
      <c r="AT18" s="108"/>
      <c r="AU18" s="108"/>
      <c r="AV18" s="170" t="str">
        <f t="shared" si="3"/>
        <v/>
      </c>
      <c r="AW18" s="108"/>
    </row>
    <row r="19" spans="1:49" ht="67.5">
      <c r="A19" s="75"/>
      <c r="B19" s="82"/>
      <c r="C19" s="71" t="s">
        <v>957</v>
      </c>
      <c r="D19" s="90" t="s">
        <v>498</v>
      </c>
      <c r="E19" s="91" t="str">
        <f>'インフラ(自社DC)'!E17</f>
        <v>運用担当者が利用するアカウントの初期パスワードはランダムに生成しているか。
上記が困難な場合はパスワードの有効期限や初回の強制変更を設定するなど確実な変更を促すこと。</v>
      </c>
      <c r="F19" s="91" t="s">
        <v>958</v>
      </c>
      <c r="G19" s="92" t="s">
        <v>254</v>
      </c>
      <c r="H19" s="181"/>
      <c r="I19" s="98"/>
      <c r="J19" s="93"/>
      <c r="K19" s="93"/>
      <c r="L19" s="93"/>
      <c r="M19" s="94"/>
      <c r="N19" s="247"/>
      <c r="O19" s="111" cm="1">
        <f t="array" ref="O19">IF(AQ19=TRUE,_xlfn.IFS(M19=1,2,M19="",IF(N19="",1,2)),0)</f>
        <v>0</v>
      </c>
      <c r="P19" s="95" t="s">
        <v>255</v>
      </c>
      <c r="Q19" s="95" t="s">
        <v>183</v>
      </c>
      <c r="R19" s="95" t="s">
        <v>183</v>
      </c>
      <c r="S19" s="95" t="s">
        <v>183</v>
      </c>
      <c r="T19" s="96" t="s">
        <v>183</v>
      </c>
      <c r="U19" s="96"/>
      <c r="V19" s="96"/>
      <c r="W19" s="96"/>
      <c r="X19" s="96" t="s">
        <v>448</v>
      </c>
      <c r="Y19" s="95"/>
      <c r="Z19" s="95"/>
      <c r="AA19" s="95"/>
      <c r="AB19" s="96"/>
      <c r="AC19" s="96"/>
      <c r="AD19" s="96"/>
      <c r="AE19" s="95" t="s">
        <v>183</v>
      </c>
      <c r="AF19" s="95" t="s">
        <v>183</v>
      </c>
      <c r="AG19" s="95"/>
      <c r="AH19" s="95"/>
      <c r="AI19" s="106" t="s">
        <v>448</v>
      </c>
      <c r="AJ19" s="106" t="s">
        <v>183</v>
      </c>
      <c r="AK19" s="106" t="s">
        <v>448</v>
      </c>
      <c r="AL19" s="106" t="s">
        <v>183</v>
      </c>
      <c r="AM19" s="106" t="s">
        <v>255</v>
      </c>
      <c r="AN19" s="106" t="s">
        <v>255</v>
      </c>
      <c r="AO19" s="106" t="s">
        <v>255</v>
      </c>
      <c r="AP19" s="106" t="s">
        <v>255</v>
      </c>
      <c r="AQ19" s="91" t="b">
        <f t="shared" si="2"/>
        <v>0</v>
      </c>
      <c r="AR19" s="108"/>
      <c r="AS19" s="108"/>
      <c r="AT19" s="108"/>
      <c r="AU19" s="108"/>
      <c r="AV19" s="170" t="str">
        <f t="shared" si="3"/>
        <v/>
      </c>
      <c r="AW19" s="108"/>
    </row>
    <row r="20" spans="1:49" ht="409.5">
      <c r="A20" s="75"/>
      <c r="B20" s="82"/>
      <c r="C20" s="71" t="s">
        <v>959</v>
      </c>
      <c r="D20" s="90" t="s">
        <v>501</v>
      </c>
      <c r="E20" s="91" t="str">
        <f>'インフラ(自社DC)'!E18</f>
        <v>（注意）本セルは、記載が多く表示に収まっていないため、セル末尾の★★★ここまで★★★まで確認すること
運用担当者が利用するアカウントのパスワードは以下a群、b群の要件を満たしているか。
（アウトソースシステムは、回答で「YES」を選択した場合でも具体的な要件を備考欄に記入する。）
&lt;a群&gt;
・英字（大文字・小文字）、数字、記号の４種１０桁以上、もしくは３種１２桁以上（※）
・パスワード変更時には、現在のパスワードと同じパスワードや、過去に利用されたパスワードを拒否する
・パスワード入力エラー連続５回以内でアカウントロックする（一定時間経過等による自動でのロック解除は不可。上位者かシステム管理者による解除が必要）
（ただし、OSのシステムアカウントや運用アカウントでアカウントロックさせるのが困難な場合は、パスワード入力エラーが連続5回以上で検知できる仕組みを設けることで代替可能とする）
※EntraID（旧AzureAD）またはTGAAD/TGO365を利用し多要素認証とパスワードを組み合わせる場合、3文字種8文字以上
&lt;b群&gt;
・IDと同じ文字列を含むパスワードを拒否する
・推測されやすいパスワード（単純な文字の羅列、ユーザ自身の名前や誕生日、実在の単語など）を設定しないように、パスワード設定画面に注意文言を表示するか、アカウント利用規約に明記するなど利用者に周知徹底すること。
a群の要件が満たせない場合は、代替策として多要素認証の導入を必須とする。
b群の要件が満たせない場合は、代替策として以下のいずれかの対応を必須とする。
・多要素認証の導入
・ユーザのパスワード有効期限を９０日以内とし、有効期限の到来前に通知を行い変更を促す、もしくは有効期限到来後の初回ログイン時に強制的に変更を要求する
★★★ここまで★★★</v>
      </c>
      <c r="F20" s="91" t="s">
        <v>960</v>
      </c>
      <c r="G20" s="92" t="s">
        <v>254</v>
      </c>
      <c r="H20" s="181"/>
      <c r="I20" s="98"/>
      <c r="J20" s="93"/>
      <c r="K20" s="93"/>
      <c r="L20" s="93"/>
      <c r="M20" s="94"/>
      <c r="N20" s="247"/>
      <c r="O20" s="111" cm="1">
        <f t="array" ref="O20">IF(AQ20=TRUE,_xlfn.IFS(M20=1,2,M20="",IF(N20="",1,2)),0)</f>
        <v>0</v>
      </c>
      <c r="P20" s="95" t="s">
        <v>255</v>
      </c>
      <c r="Q20" s="95" t="s">
        <v>183</v>
      </c>
      <c r="R20" s="95" t="s">
        <v>183</v>
      </c>
      <c r="S20" s="95" t="s">
        <v>183</v>
      </c>
      <c r="T20" s="96" t="s">
        <v>183</v>
      </c>
      <c r="U20" s="96"/>
      <c r="V20" s="96"/>
      <c r="W20" s="96"/>
      <c r="X20" s="96" t="s">
        <v>448</v>
      </c>
      <c r="Y20" s="95"/>
      <c r="Z20" s="95"/>
      <c r="AA20" s="95"/>
      <c r="AB20" s="96"/>
      <c r="AC20" s="96"/>
      <c r="AD20" s="96"/>
      <c r="AE20" s="95" t="s">
        <v>183</v>
      </c>
      <c r="AF20" s="95" t="s">
        <v>183</v>
      </c>
      <c r="AG20" s="95" t="s">
        <v>255</v>
      </c>
      <c r="AH20" s="95"/>
      <c r="AI20" s="106" t="s">
        <v>448</v>
      </c>
      <c r="AJ20" s="106" t="s">
        <v>183</v>
      </c>
      <c r="AK20" s="106" t="s">
        <v>448</v>
      </c>
      <c r="AL20" s="106" t="s">
        <v>183</v>
      </c>
      <c r="AM20" s="106" t="s">
        <v>255</v>
      </c>
      <c r="AN20" s="106" t="s">
        <v>255</v>
      </c>
      <c r="AO20" s="106" t="s">
        <v>255</v>
      </c>
      <c r="AP20" s="106" t="s">
        <v>255</v>
      </c>
      <c r="AQ20" s="91" t="b">
        <f t="shared" si="2"/>
        <v>0</v>
      </c>
      <c r="AR20" s="108" t="s">
        <v>183</v>
      </c>
      <c r="AS20" s="108"/>
      <c r="AT20" s="108"/>
      <c r="AU20" s="108" t="s">
        <v>183</v>
      </c>
      <c r="AV20" s="170" t="str">
        <f t="shared" si="3"/>
        <v>セキュリティ管理/別表1,2,3</v>
      </c>
      <c r="AW20" s="108" t="s">
        <v>2253</v>
      </c>
    </row>
    <row r="21" spans="1:49" ht="202.5">
      <c r="A21" s="75"/>
      <c r="B21" s="82"/>
      <c r="C21" s="71" t="s">
        <v>961</v>
      </c>
      <c r="D21" s="90" t="s">
        <v>506</v>
      </c>
      <c r="E21" s="91" t="str">
        <f>'インフラ(自社DC)'!E19</f>
        <v>運用担当者の端末（ブラウザ）において、ブラウザのパスワード記憶機能やオートコンプリート機能を禁止しているか。
これらの機能を用いると、認証情報（ＩＤ・パスワード）が端末上に保存されるので当機能は使用しない設定とし、ブラウザ起動時は、毎回、認証情報（ＩＤ・パスワード）を入力する様にする。
ただし、機械的に生成されたランダムな文字列をパスワードに使用する場合は、ブラウザのパスワードマネージャやツール内でのパスワード保存を許可する。パスワードマネージャーを使用する場合はブラウザにログインしないこと。</v>
      </c>
      <c r="F21" s="91" t="s">
        <v>962</v>
      </c>
      <c r="G21" s="92" t="s">
        <v>254</v>
      </c>
      <c r="H21" s="181"/>
      <c r="I21" s="98"/>
      <c r="J21" s="93"/>
      <c r="K21" s="93"/>
      <c r="L21" s="93"/>
      <c r="M21" s="94"/>
      <c r="N21" s="247"/>
      <c r="O21" s="111" cm="1">
        <f t="array" ref="O21">IF(AQ21=TRUE,_xlfn.IFS(M21=1,2,M21="",IF(N21="",1,2)),0)</f>
        <v>0</v>
      </c>
      <c r="P21" s="95" t="s">
        <v>255</v>
      </c>
      <c r="Q21" s="95" t="s">
        <v>183</v>
      </c>
      <c r="R21" s="95" t="s">
        <v>183</v>
      </c>
      <c r="S21" s="95" t="s">
        <v>183</v>
      </c>
      <c r="T21" s="96" t="s">
        <v>183</v>
      </c>
      <c r="U21" s="96"/>
      <c r="V21" s="96"/>
      <c r="W21" s="96"/>
      <c r="X21" s="96" t="s">
        <v>448</v>
      </c>
      <c r="Y21" s="95"/>
      <c r="Z21" s="95"/>
      <c r="AA21" s="95"/>
      <c r="AB21" s="96"/>
      <c r="AC21" s="96"/>
      <c r="AD21" s="96"/>
      <c r="AE21" s="95" t="s">
        <v>183</v>
      </c>
      <c r="AF21" s="95" t="s">
        <v>183</v>
      </c>
      <c r="AG21" s="95" t="s">
        <v>255</v>
      </c>
      <c r="AH21" s="95"/>
      <c r="AI21" s="106" t="s">
        <v>448</v>
      </c>
      <c r="AJ21" s="106" t="s">
        <v>183</v>
      </c>
      <c r="AK21" s="106" t="s">
        <v>448</v>
      </c>
      <c r="AL21" s="106" t="s">
        <v>183</v>
      </c>
      <c r="AM21" s="106" t="s">
        <v>255</v>
      </c>
      <c r="AN21" s="106" t="s">
        <v>255</v>
      </c>
      <c r="AO21" s="106" t="s">
        <v>255</v>
      </c>
      <c r="AP21" s="106" t="s">
        <v>255</v>
      </c>
      <c r="AQ21" s="91" t="b">
        <f t="shared" si="2"/>
        <v>0</v>
      </c>
      <c r="AR21" s="108"/>
      <c r="AS21" s="108" t="s">
        <v>183</v>
      </c>
      <c r="AT21" s="108"/>
      <c r="AU21" s="108"/>
      <c r="AV21" s="170" t="str">
        <f t="shared" si="3"/>
        <v>マルウェア/</v>
      </c>
      <c r="AW21" s="108" t="s">
        <v>2257</v>
      </c>
    </row>
    <row r="22" spans="1:49" ht="180">
      <c r="A22" s="75"/>
      <c r="B22" s="82"/>
      <c r="C22" s="71" t="s">
        <v>963</v>
      </c>
      <c r="D22" s="90" t="s">
        <v>509</v>
      </c>
      <c r="E22" s="91" t="str">
        <f>'インフラ(自社DC)'!E20</f>
        <v>パスワード情報は、保存時または通信時にシステムで暗号化※しているか
また、パスワードの平文をそのまま保存せず、ソルト（乱数）を用いて計算したハッシュ値を保存しているか
※保存時はDISKレベルの暗号化ではなく、ミドルレイヤ(DBMS等）もしくはアプリケーションレイヤでの暗号化が必須</v>
      </c>
      <c r="F22" s="91" t="s">
        <v>964</v>
      </c>
      <c r="G22" s="92" t="s">
        <v>254</v>
      </c>
      <c r="H22" s="181"/>
      <c r="I22" s="98"/>
      <c r="J22" s="93"/>
      <c r="K22" s="93"/>
      <c r="L22" s="93"/>
      <c r="M22" s="94"/>
      <c r="N22" s="247"/>
      <c r="O22" s="111" cm="1">
        <f t="array" ref="O22">IF(AQ22=TRUE,_xlfn.IFS(M22=1,2,M22="",IF(N22="",1,2)),0)</f>
        <v>0</v>
      </c>
      <c r="P22" s="95" t="s">
        <v>255</v>
      </c>
      <c r="Q22" s="95" t="s">
        <v>183</v>
      </c>
      <c r="R22" s="95" t="s">
        <v>183</v>
      </c>
      <c r="S22" s="95" t="s">
        <v>183</v>
      </c>
      <c r="T22" s="96" t="s">
        <v>183</v>
      </c>
      <c r="U22" s="96"/>
      <c r="V22" s="96"/>
      <c r="W22" s="96"/>
      <c r="X22" s="96" t="s">
        <v>448</v>
      </c>
      <c r="Y22" s="95"/>
      <c r="Z22" s="95"/>
      <c r="AA22" s="95"/>
      <c r="AB22" s="96"/>
      <c r="AC22" s="96"/>
      <c r="AD22" s="96"/>
      <c r="AE22" s="95" t="s">
        <v>183</v>
      </c>
      <c r="AF22" s="95" t="s">
        <v>183</v>
      </c>
      <c r="AG22" s="95"/>
      <c r="AH22" s="95"/>
      <c r="AI22" s="106" t="s">
        <v>448</v>
      </c>
      <c r="AJ22" s="106" t="s">
        <v>183</v>
      </c>
      <c r="AK22" s="106" t="s">
        <v>448</v>
      </c>
      <c r="AL22" s="106" t="s">
        <v>183</v>
      </c>
      <c r="AM22" s="106" t="s">
        <v>255</v>
      </c>
      <c r="AN22" s="106" t="s">
        <v>255</v>
      </c>
      <c r="AO22" s="106" t="s">
        <v>255</v>
      </c>
      <c r="AP22" s="106" t="s">
        <v>255</v>
      </c>
      <c r="AQ22" s="91" t="b">
        <f t="shared" si="2"/>
        <v>0</v>
      </c>
      <c r="AR22" s="108"/>
      <c r="AS22" s="108"/>
      <c r="AT22" s="108"/>
      <c r="AU22" s="108"/>
      <c r="AV22" s="170" t="str">
        <f t="shared" si="3"/>
        <v/>
      </c>
      <c r="AW22" s="108" t="s">
        <v>2198</v>
      </c>
    </row>
    <row r="23" spans="1:49" ht="90">
      <c r="A23" s="75"/>
      <c r="B23" s="82"/>
      <c r="C23" s="71" t="s">
        <v>965</v>
      </c>
      <c r="D23" s="90" t="s">
        <v>740</v>
      </c>
      <c r="E23" s="91" t="str">
        <f>'インフラ(自社DC)'!E21</f>
        <v>サーバや端末内にアカウントのパスワードを平文で記載したファイルやスクリプトを配置していないか
システム制約上、スクリプトにパスワードが平文でハードコードされる場合は、一般ユーザ（一般ドメインユーザ）がアクセスできないフォルダに配置すること。</v>
      </c>
      <c r="F23" s="91" t="s">
        <v>966</v>
      </c>
      <c r="G23" s="92" t="s">
        <v>254</v>
      </c>
      <c r="H23" s="181"/>
      <c r="I23" s="98"/>
      <c r="J23" s="93"/>
      <c r="K23" s="93"/>
      <c r="L23" s="93"/>
      <c r="M23" s="94"/>
      <c r="N23" s="247"/>
      <c r="O23" s="111" cm="1">
        <f t="array" ref="O23">IF(AQ23=TRUE,_xlfn.IFS(M23=1,2,M23="",IF(N23="",1,2)),0)</f>
        <v>0</v>
      </c>
      <c r="P23" s="95" t="s">
        <v>255</v>
      </c>
      <c r="Q23" s="95" t="s">
        <v>183</v>
      </c>
      <c r="R23" s="95" t="s">
        <v>183</v>
      </c>
      <c r="S23" s="95" t="s">
        <v>183</v>
      </c>
      <c r="T23" s="96" t="s">
        <v>183</v>
      </c>
      <c r="U23" s="96"/>
      <c r="V23" s="96"/>
      <c r="W23" s="96"/>
      <c r="X23" s="96" t="s">
        <v>448</v>
      </c>
      <c r="Y23" s="95"/>
      <c r="Z23" s="95"/>
      <c r="AA23" s="95"/>
      <c r="AB23" s="96"/>
      <c r="AC23" s="96"/>
      <c r="AD23" s="96"/>
      <c r="AE23" s="95" t="s">
        <v>183</v>
      </c>
      <c r="AF23" s="95" t="s">
        <v>183</v>
      </c>
      <c r="AG23" s="95"/>
      <c r="AH23" s="95"/>
      <c r="AI23" s="106" t="s">
        <v>448</v>
      </c>
      <c r="AJ23" s="106" t="s">
        <v>183</v>
      </c>
      <c r="AK23" s="106" t="s">
        <v>448</v>
      </c>
      <c r="AL23" s="106" t="s">
        <v>183</v>
      </c>
      <c r="AM23" s="106"/>
      <c r="AN23" s="106" t="s">
        <v>255</v>
      </c>
      <c r="AO23" s="106"/>
      <c r="AP23" s="106" t="s">
        <v>255</v>
      </c>
      <c r="AQ23" s="91" t="b">
        <f t="shared" si="2"/>
        <v>0</v>
      </c>
      <c r="AR23" s="108"/>
      <c r="AS23" s="108"/>
      <c r="AT23" s="108"/>
      <c r="AU23" s="108"/>
      <c r="AV23" s="170" t="str">
        <f t="shared" si="3"/>
        <v/>
      </c>
      <c r="AW23" s="108" t="s">
        <v>337</v>
      </c>
    </row>
    <row r="24" spans="1:49" ht="67.5">
      <c r="A24" s="75"/>
      <c r="B24" s="82"/>
      <c r="C24" s="71" t="s">
        <v>967</v>
      </c>
      <c r="D24" s="90" t="s">
        <v>514</v>
      </c>
      <c r="E24" s="91" t="str">
        <f>'インフラ(自社DC)'!E22</f>
        <v>原則として運用担当者のログイン時に前回のログイン日時を表示するようにしているか　</v>
      </c>
      <c r="F24" s="91" t="s">
        <v>968</v>
      </c>
      <c r="G24" s="60" t="s">
        <v>503</v>
      </c>
      <c r="H24" s="181"/>
      <c r="I24" s="98"/>
      <c r="J24" s="93"/>
      <c r="K24" s="93"/>
      <c r="L24" s="93"/>
      <c r="M24" s="94"/>
      <c r="N24" s="247"/>
      <c r="O24" s="111" cm="1">
        <f t="array" ref="O24">IF(AQ24=TRUE,_xlfn.IFS(M24=1,2,M24="",IF(N24="",1,2)),0)</f>
        <v>0</v>
      </c>
      <c r="P24" s="95" t="s">
        <v>255</v>
      </c>
      <c r="Q24" s="95" t="s">
        <v>183</v>
      </c>
      <c r="R24" s="95" t="s">
        <v>183</v>
      </c>
      <c r="S24" s="95" t="s">
        <v>183</v>
      </c>
      <c r="T24" s="96" t="s">
        <v>183</v>
      </c>
      <c r="U24" s="96"/>
      <c r="V24" s="96"/>
      <c r="W24" s="96"/>
      <c r="X24" s="96"/>
      <c r="Y24" s="95"/>
      <c r="Z24" s="95"/>
      <c r="AA24" s="95"/>
      <c r="AB24" s="96"/>
      <c r="AC24" s="96"/>
      <c r="AD24" s="96"/>
      <c r="AE24" s="95" t="s">
        <v>183</v>
      </c>
      <c r="AF24" s="95" t="s">
        <v>183</v>
      </c>
      <c r="AG24" s="95"/>
      <c r="AH24" s="95"/>
      <c r="AI24" s="106" t="s">
        <v>448</v>
      </c>
      <c r="AJ24" s="106" t="s">
        <v>183</v>
      </c>
      <c r="AK24" s="106" t="s">
        <v>448</v>
      </c>
      <c r="AL24" s="106" t="s">
        <v>183</v>
      </c>
      <c r="AM24" s="106" t="s">
        <v>255</v>
      </c>
      <c r="AN24" s="106" t="s">
        <v>255</v>
      </c>
      <c r="AO24" s="106" t="s">
        <v>255</v>
      </c>
      <c r="AP24" s="106" t="s">
        <v>255</v>
      </c>
      <c r="AQ24" s="91" t="b">
        <f t="shared" si="2"/>
        <v>0</v>
      </c>
      <c r="AR24" s="108"/>
      <c r="AS24" s="108"/>
      <c r="AT24" s="108"/>
      <c r="AU24" s="108"/>
      <c r="AV24" s="170" t="str">
        <f t="shared" si="3"/>
        <v/>
      </c>
      <c r="AW24" s="108" t="s">
        <v>747</v>
      </c>
    </row>
    <row r="25" spans="1:49" ht="135">
      <c r="A25" s="75"/>
      <c r="B25" s="82"/>
      <c r="C25" s="71" t="s">
        <v>969</v>
      </c>
      <c r="D25" s="90" t="s">
        <v>970</v>
      </c>
      <c r="E25" s="91" t="str">
        <f>'インフラ(自社DC)'!E23</f>
        <v>原則として同一の運用担当者のIDによる同時使用（同時ログイン)を禁止しているか</v>
      </c>
      <c r="F25" s="91" t="s">
        <v>971</v>
      </c>
      <c r="G25" s="60" t="s">
        <v>503</v>
      </c>
      <c r="H25" s="181"/>
      <c r="I25" s="98"/>
      <c r="J25" s="93"/>
      <c r="K25" s="93"/>
      <c r="L25" s="93"/>
      <c r="M25" s="94"/>
      <c r="N25" s="247"/>
      <c r="O25" s="111" cm="1">
        <f t="array" ref="O25">IF(AQ25=TRUE,_xlfn.IFS(M25=1,2,M25="",IF(N25="",1,2)),0)</f>
        <v>0</v>
      </c>
      <c r="P25" s="95" t="s">
        <v>255</v>
      </c>
      <c r="Q25" s="95" t="s">
        <v>183</v>
      </c>
      <c r="R25" s="95" t="s">
        <v>183</v>
      </c>
      <c r="S25" s="95" t="s">
        <v>183</v>
      </c>
      <c r="T25" s="96" t="s">
        <v>183</v>
      </c>
      <c r="U25" s="96"/>
      <c r="V25" s="96"/>
      <c r="W25" s="96"/>
      <c r="X25" s="96" t="s">
        <v>448</v>
      </c>
      <c r="Y25" s="95"/>
      <c r="Z25" s="95"/>
      <c r="AA25" s="95"/>
      <c r="AB25" s="96"/>
      <c r="AC25" s="96"/>
      <c r="AD25" s="96"/>
      <c r="AE25" s="95" t="s">
        <v>183</v>
      </c>
      <c r="AF25" s="95" t="s">
        <v>183</v>
      </c>
      <c r="AG25" s="95"/>
      <c r="AH25" s="95"/>
      <c r="AI25" s="106" t="s">
        <v>448</v>
      </c>
      <c r="AJ25" s="106" t="s">
        <v>183</v>
      </c>
      <c r="AK25" s="106" t="s">
        <v>448</v>
      </c>
      <c r="AL25" s="106" t="s">
        <v>448</v>
      </c>
      <c r="AM25" s="106" t="s">
        <v>255</v>
      </c>
      <c r="AN25" s="106" t="s">
        <v>255</v>
      </c>
      <c r="AO25" s="106" t="s">
        <v>255</v>
      </c>
      <c r="AP25" s="106" t="s">
        <v>255</v>
      </c>
      <c r="AQ25" s="91" t="b">
        <f t="shared" si="2"/>
        <v>0</v>
      </c>
      <c r="AR25" s="108"/>
      <c r="AS25" s="108"/>
      <c r="AT25" s="108"/>
      <c r="AU25" s="108"/>
      <c r="AV25" s="170" t="str">
        <f t="shared" si="3"/>
        <v/>
      </c>
      <c r="AW25" s="108" t="s">
        <v>747</v>
      </c>
    </row>
    <row r="26" spans="1:49" ht="22.5">
      <c r="A26" s="75"/>
      <c r="B26" s="82" t="s">
        <v>551</v>
      </c>
      <c r="C26" s="115"/>
      <c r="D26" s="83"/>
      <c r="E26" s="84"/>
      <c r="F26" s="84"/>
      <c r="G26" s="85"/>
      <c r="H26" s="184"/>
      <c r="I26" s="185"/>
      <c r="J26" s="127"/>
      <c r="K26" s="127"/>
      <c r="L26" s="127"/>
      <c r="M26" s="89"/>
      <c r="N26" s="251"/>
      <c r="O26" s="251"/>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t="s">
        <v>268</v>
      </c>
      <c r="AR26" s="89"/>
      <c r="AS26" s="89"/>
      <c r="AT26" s="89"/>
      <c r="AU26" s="89"/>
      <c r="AV26" s="89"/>
      <c r="AW26" s="89"/>
    </row>
    <row r="27" spans="1:49" ht="409.5">
      <c r="A27" s="75"/>
      <c r="B27" s="82"/>
      <c r="C27" s="71" t="s">
        <v>972</v>
      </c>
      <c r="D27" s="90" t="s">
        <v>553</v>
      </c>
      <c r="E27" s="91" t="s">
        <v>940</v>
      </c>
      <c r="F27" s="91" t="s">
        <v>973</v>
      </c>
      <c r="G27" s="92" t="s">
        <v>254</v>
      </c>
      <c r="H27" s="181"/>
      <c r="I27" s="98"/>
      <c r="J27" s="93"/>
      <c r="K27" s="93"/>
      <c r="L27" s="93"/>
      <c r="M27" s="94"/>
      <c r="N27" s="247"/>
      <c r="O27" s="111" cm="1">
        <f t="array" ref="O27">IF(AQ27=TRUE,_xlfn.IFS(M27=1,2,M27="",IF(N27="",1,2)),0)</f>
        <v>0</v>
      </c>
      <c r="P27" s="95" t="s">
        <v>255</v>
      </c>
      <c r="Q27" s="95" t="s">
        <v>255</v>
      </c>
      <c r="R27" s="95" t="s">
        <v>255</v>
      </c>
      <c r="S27" s="95" t="s">
        <v>183</v>
      </c>
      <c r="T27" s="95" t="s">
        <v>255</v>
      </c>
      <c r="U27" s="95"/>
      <c r="V27" s="95"/>
      <c r="W27" s="95"/>
      <c r="X27" s="96"/>
      <c r="Y27" s="95"/>
      <c r="Z27" s="95"/>
      <c r="AA27" s="95"/>
      <c r="AB27" s="96"/>
      <c r="AC27" s="96"/>
      <c r="AD27" s="96"/>
      <c r="AE27" s="95" t="s">
        <v>183</v>
      </c>
      <c r="AF27" s="95" t="s">
        <v>183</v>
      </c>
      <c r="AG27" s="95"/>
      <c r="AH27" s="95"/>
      <c r="AI27" s="106" t="s">
        <v>255</v>
      </c>
      <c r="AJ27" s="106" t="s">
        <v>183</v>
      </c>
      <c r="AK27" s="106" t="s">
        <v>183</v>
      </c>
      <c r="AL27" s="106" t="s">
        <v>183</v>
      </c>
      <c r="AM27" s="106" t="s">
        <v>255</v>
      </c>
      <c r="AN27" s="106" t="s">
        <v>255</v>
      </c>
      <c r="AO27" s="106" t="s">
        <v>255</v>
      </c>
      <c r="AP27" s="106" t="s">
        <v>255</v>
      </c>
      <c r="AQ27" s="91" t="b">
        <f>AND(AND(OR(AND($P$6=TRUE,$P27&lt;&gt;""),AND($Q$6=TRUE,$Q27&lt;&gt;""),AND($R$6=TRUE,$R27&lt;&gt;"")),AND($S$6=TRUE,$S27&lt;&gt;""),OR(AND($T$6=TRUE,$T27&lt;&gt;""),AND($U$6=TRUE,$U27&lt;&gt;""),AND($V$6=TRUE,$V27&lt;&gt;""),AND($W$6=TRUE,$W27&lt;&gt;""),AND($X$6=TRUE,$X27&lt;&gt;""),AND($Y$6=TRUE,$Y27&lt;&gt;""),AND($Z$6=TRUE,$Z27&lt;&gt;""),AND($AA$6=TRUE,$AA27&lt;&gt;""),AND($AB$6=TRUE,$AB27&lt;&gt;""),AND($AC$6=TRUE,$AC27&lt;&gt;""),AND($AD$6=TRUE,$AD27&lt;&gt;""))),OR(AND($AE$6=TRUE,$AE27&lt;&gt;""),AND($AF$6=TRUE,$AF27&lt;&gt;""),AND($AG$6=TRUE,$AG27&lt;&gt;""),AND($AH$6=TRUE,$AH27&lt;&gt;"")),NOT(AND(NOT(AND($AI$6=FALSE,$AK$6=FALSE,$AM$6=FALSE,$AO$6=FALSE)),OR($AI$6=FALSE,AND($AI$6=TRUE,$AI27&lt;&gt;"",$AJ27&lt;&gt;"")),OR($AK$6=FALSE,AND($AK$6=TRUE,$AK27&lt;&gt;"",$AL27&lt;&gt;"")),OR($AM$6=FALSE,AND($AM$6=TRUE,$AM27&lt;&gt;"",$AN27&lt;&gt;"")),OR($AO$6=FALSE,AND($AO$6=TRUE,$AO27&lt;&gt;"",$AP27&lt;&gt;"")))))</f>
        <v>0</v>
      </c>
      <c r="AR27" s="108"/>
      <c r="AS27" s="108"/>
      <c r="AT27" s="108"/>
      <c r="AU27" s="108"/>
      <c r="AV27" s="170" t="str">
        <f>IF(AR27&lt;&gt;"","セキュリティ管理/","")&amp;IF(AS27&lt;&gt;"","マルウェア/","")&amp;IF(AT27&lt;&gt;"","クラウド/","")&amp;IF(AU27&lt;&gt;"","別表1,2,3","")</f>
        <v/>
      </c>
      <c r="AW27" s="108" t="s">
        <v>974</v>
      </c>
    </row>
    <row r="28" spans="1:49" ht="409.15" customHeight="1">
      <c r="A28" s="75"/>
      <c r="B28" s="82"/>
      <c r="C28" s="71" t="s">
        <v>975</v>
      </c>
      <c r="D28" s="90" t="s">
        <v>556</v>
      </c>
      <c r="E28" s="91" t="str">
        <f>'インフラ(自社DC)'!E25</f>
        <v>ユーザアカウントを役割（ID管理者、暗号鍵管理者、基盤運用者 等）ごとに分離し、システムアカウントや開発・運用アカウントを含めて、各アカウントに付与する権限を必要最小限にする。
また、システム導入時のデフォルト管理者権限（スーパー権限）の利用を禁止しているか。
特に、以下の権限については、アクセスルールの規定に従い、ユーザID・属性により機械的に制限すること。
（アウトソースシステムは、回答で「YES」を選択した場合でも実施している対策を備考欄に記入する。）
・オンライントランザクションの実行
・データベースアクセス範囲
・共有ファイルのアクセス可否
・データベース操作内容（挿入、更新、削除、参照）
・インフラ関連の設定変更
・PCへのダウンロード(業務用、個人用へのダウンロード）、ファイルの書き出し
・インターネットへのアクセス（Webメール、掲示板、SNS、オンラインストレージなど）</v>
      </c>
      <c r="F28" s="91" t="s">
        <v>976</v>
      </c>
      <c r="G28" s="92" t="s">
        <v>254</v>
      </c>
      <c r="H28" s="181"/>
      <c r="I28" s="98"/>
      <c r="J28" s="93" t="s">
        <v>730</v>
      </c>
      <c r="K28" s="93"/>
      <c r="L28" s="93"/>
      <c r="M28" s="94"/>
      <c r="N28" s="247"/>
      <c r="O28" s="111" cm="1">
        <f t="array" ref="O28">IF(AQ28=TRUE,_xlfn.IFS(M28=1,2,M28="",IF(N28="",1,2)),0)</f>
        <v>0</v>
      </c>
      <c r="P28" s="95" t="s">
        <v>255</v>
      </c>
      <c r="Q28" s="95" t="s">
        <v>255</v>
      </c>
      <c r="R28" s="95" t="s">
        <v>255</v>
      </c>
      <c r="S28" s="95" t="s">
        <v>183</v>
      </c>
      <c r="T28" s="96" t="s">
        <v>255</v>
      </c>
      <c r="U28" s="96"/>
      <c r="V28" s="96"/>
      <c r="W28" s="96"/>
      <c r="X28" s="96" t="s">
        <v>448</v>
      </c>
      <c r="Y28" s="95"/>
      <c r="Z28" s="95"/>
      <c r="AA28" s="95"/>
      <c r="AB28" s="96"/>
      <c r="AC28" s="96"/>
      <c r="AD28" s="96"/>
      <c r="AE28" s="95" t="s">
        <v>183</v>
      </c>
      <c r="AF28" s="95" t="s">
        <v>183</v>
      </c>
      <c r="AG28" s="95" t="s">
        <v>255</v>
      </c>
      <c r="AH28" s="95"/>
      <c r="AI28" s="106" t="s">
        <v>448</v>
      </c>
      <c r="AJ28" s="106" t="s">
        <v>183</v>
      </c>
      <c r="AK28" s="106" t="s">
        <v>448</v>
      </c>
      <c r="AL28" s="106" t="s">
        <v>183</v>
      </c>
      <c r="AM28" s="106" t="s">
        <v>255</v>
      </c>
      <c r="AN28" s="106" t="s">
        <v>255</v>
      </c>
      <c r="AO28" s="106" t="s">
        <v>255</v>
      </c>
      <c r="AP28" s="106" t="s">
        <v>255</v>
      </c>
      <c r="AQ28" s="91" t="b">
        <f>AND(AND(OR(AND($P$6=TRUE,$P28&lt;&gt;""),AND($Q$6=TRUE,$Q28&lt;&gt;""),AND($R$6=TRUE,$R28&lt;&gt;"")),AND($S$6=TRUE,$S28&lt;&gt;""),OR(AND($T$6=TRUE,$T28&lt;&gt;""),AND($U$6=TRUE,$U28&lt;&gt;""),AND($V$6=TRUE,$V28&lt;&gt;""),AND($W$6=TRUE,$W28&lt;&gt;""),AND($X$6=TRUE,$X28&lt;&gt;""),AND($Y$6=TRUE,$Y28&lt;&gt;""),AND($Z$6=TRUE,$Z28&lt;&gt;""),AND($AA$6=TRUE,$AA28&lt;&gt;""),AND($AB$6=TRUE,$AB28&lt;&gt;""),AND($AC$6=TRUE,$AC28&lt;&gt;""),AND($AD$6=TRUE,$AD28&lt;&gt;""))),OR(AND($AE$6=TRUE,$AE28&lt;&gt;""),AND($AF$6=TRUE,$AF28&lt;&gt;""),AND($AG$6=TRUE,$AG28&lt;&gt;""),AND($AH$6=TRUE,$AH28&lt;&gt;"")),NOT(AND(NOT(AND($AI$6=FALSE,$AK$6=FALSE,$AM$6=FALSE,$AO$6=FALSE)),OR($AI$6=FALSE,AND($AI$6=TRUE,$AI28&lt;&gt;"",$AJ28&lt;&gt;"")),OR($AK$6=FALSE,AND($AK$6=TRUE,$AK28&lt;&gt;"",$AL28&lt;&gt;"")),OR($AM$6=FALSE,AND($AM$6=TRUE,$AM28&lt;&gt;"",$AN28&lt;&gt;"")),OR($AO$6=FALSE,AND($AO$6=TRUE,$AO28&lt;&gt;"",$AP28&lt;&gt;"")))))</f>
        <v>0</v>
      </c>
      <c r="AR28" s="108" t="s">
        <v>183</v>
      </c>
      <c r="AS28" s="108"/>
      <c r="AT28" s="108"/>
      <c r="AU28" s="108"/>
      <c r="AV28" s="170" t="str">
        <f>IF(AR28&lt;&gt;"","セキュリティ管理/","")&amp;IF(AS28&lt;&gt;"","マルウェア/","")&amp;IF(AT28&lt;&gt;"","クラウド/","")&amp;IF(AU28&lt;&gt;"","別表1,2,3","")</f>
        <v>セキュリティ管理/</v>
      </c>
      <c r="AW28" s="108"/>
    </row>
    <row r="29" spans="1:49" ht="45">
      <c r="A29" s="75"/>
      <c r="B29" s="82"/>
      <c r="C29" s="71" t="s">
        <v>977</v>
      </c>
      <c r="D29" s="90" t="s">
        <v>558</v>
      </c>
      <c r="E29" s="91" t="str">
        <f>'インフラ(自社DC)'!E26</f>
        <v>センシティブ情報を保管する場合は、参照権限者を限定しているか。</v>
      </c>
      <c r="F29" s="99" t="s">
        <v>978</v>
      </c>
      <c r="G29" s="92" t="s">
        <v>254</v>
      </c>
      <c r="H29" s="181"/>
      <c r="I29" s="98"/>
      <c r="J29" s="93"/>
      <c r="K29" s="93"/>
      <c r="L29" s="93"/>
      <c r="M29" s="94"/>
      <c r="N29" s="247"/>
      <c r="O29" s="111" cm="1">
        <f t="array" ref="O29">IF(AQ29=TRUE,_xlfn.IFS(M29=1,2,M29="",IF(N29="",1,2)),0)</f>
        <v>0</v>
      </c>
      <c r="P29" s="95" t="s">
        <v>255</v>
      </c>
      <c r="Q29" s="95" t="s">
        <v>183</v>
      </c>
      <c r="R29" s="95" t="s">
        <v>183</v>
      </c>
      <c r="S29" s="95" t="s">
        <v>183</v>
      </c>
      <c r="T29" s="96" t="s">
        <v>183</v>
      </c>
      <c r="U29" s="96"/>
      <c r="V29" s="96"/>
      <c r="W29" s="96"/>
      <c r="X29" s="96" t="s">
        <v>448</v>
      </c>
      <c r="Y29" s="95"/>
      <c r="Z29" s="95"/>
      <c r="AA29" s="95"/>
      <c r="AB29" s="96"/>
      <c r="AC29" s="96"/>
      <c r="AD29" s="96"/>
      <c r="AE29" s="95" t="s">
        <v>183</v>
      </c>
      <c r="AF29" s="95" t="s">
        <v>183</v>
      </c>
      <c r="AG29" s="95"/>
      <c r="AH29" s="95"/>
      <c r="AI29" s="106" t="s">
        <v>448</v>
      </c>
      <c r="AJ29" s="106" t="s">
        <v>448</v>
      </c>
      <c r="AK29" s="106" t="s">
        <v>448</v>
      </c>
      <c r="AL29" s="106" t="s">
        <v>448</v>
      </c>
      <c r="AM29" s="106"/>
      <c r="AN29" s="106" t="s">
        <v>183</v>
      </c>
      <c r="AO29" s="106"/>
      <c r="AP29" s="106" t="s">
        <v>183</v>
      </c>
      <c r="AQ29" s="91" t="b">
        <f>AND(AND(OR(AND($P$6=TRUE,$P29&lt;&gt;""),AND($Q$6=TRUE,$Q29&lt;&gt;""),AND($R$6=TRUE,$R29&lt;&gt;"")),AND($S$6=TRUE,$S29&lt;&gt;""),OR(AND($T$6=TRUE,$T29&lt;&gt;""),AND($U$6=TRUE,$U29&lt;&gt;""),AND($V$6=TRUE,$V29&lt;&gt;""),AND($W$6=TRUE,$W29&lt;&gt;""),AND($X$6=TRUE,$X29&lt;&gt;""),AND($Y$6=TRUE,$Y29&lt;&gt;""),AND($Z$6=TRUE,$Z29&lt;&gt;""),AND($AA$6=TRUE,$AA29&lt;&gt;""),AND($AB$6=TRUE,$AB29&lt;&gt;""),AND($AC$6=TRUE,$AC29&lt;&gt;""),AND($AD$6=TRUE,$AD29&lt;&gt;""))),OR(AND($AE$6=TRUE,$AE29&lt;&gt;""),AND($AF$6=TRUE,$AF29&lt;&gt;""),AND($AG$6=TRUE,$AG29&lt;&gt;""),AND($AH$6=TRUE,$AH29&lt;&gt;"")),NOT(AND(NOT(AND($AI$6=FALSE,$AK$6=FALSE,$AM$6=FALSE,$AO$6=FALSE)),OR($AI$6=FALSE,AND($AI$6=TRUE,$AI29&lt;&gt;"",$AJ29&lt;&gt;"")),OR($AK$6=FALSE,AND($AK$6=TRUE,$AK29&lt;&gt;"",$AL29&lt;&gt;"")),OR($AM$6=FALSE,AND($AM$6=TRUE,$AM29&lt;&gt;"",$AN29&lt;&gt;"")),OR($AO$6=FALSE,AND($AO$6=TRUE,$AO29&lt;&gt;"",$AP29&lt;&gt;"")))))</f>
        <v>0</v>
      </c>
      <c r="AR29" s="108"/>
      <c r="AS29" s="108"/>
      <c r="AT29" s="108"/>
      <c r="AU29" s="108"/>
      <c r="AV29" s="170" t="str">
        <f>IF(AR29&lt;&gt;"","セキュリティ管理/","")&amp;IF(AS29&lt;&gt;"","マルウェア/","")&amp;IF(AT29&lt;&gt;"","クラウド/","")&amp;IF(AU29&lt;&gt;"","別表1,2,3","")</f>
        <v/>
      </c>
      <c r="AW29" s="108"/>
    </row>
    <row r="30" spans="1:49" ht="409.5">
      <c r="A30" s="75"/>
      <c r="B30" s="82"/>
      <c r="C30" s="71" t="s">
        <v>979</v>
      </c>
      <c r="D30" s="90" t="s">
        <v>980</v>
      </c>
      <c r="E30" s="91" t="str">
        <f>'インフラ(自社DC)'!E27</f>
        <v>取得したログは厳格にアクセス制御しているか、又は一回書き込み型の装置を使用するなどの改ざん防止措置を行っているか</v>
      </c>
      <c r="F30" s="91" t="s">
        <v>981</v>
      </c>
      <c r="G30" s="93" t="s">
        <v>254</v>
      </c>
      <c r="H30" s="181"/>
      <c r="I30" s="98"/>
      <c r="J30" s="93"/>
      <c r="K30" s="93"/>
      <c r="L30" s="93"/>
      <c r="M30" s="94"/>
      <c r="N30" s="247"/>
      <c r="O30" s="111" cm="1">
        <f t="array" ref="O30">IF(AQ30=TRUE,_xlfn.IFS(M30=1,2,M30="",IF(N30="",1,2)),0)</f>
        <v>0</v>
      </c>
      <c r="P30" s="95" t="s">
        <v>255</v>
      </c>
      <c r="Q30" s="95" t="s">
        <v>183</v>
      </c>
      <c r="R30" s="95" t="s">
        <v>183</v>
      </c>
      <c r="S30" s="95" t="s">
        <v>183</v>
      </c>
      <c r="T30" s="95" t="s">
        <v>183</v>
      </c>
      <c r="U30" s="95"/>
      <c r="V30" s="95"/>
      <c r="W30" s="95"/>
      <c r="X30" s="96" t="s">
        <v>448</v>
      </c>
      <c r="Y30" s="95"/>
      <c r="Z30" s="95"/>
      <c r="AA30" s="95"/>
      <c r="AB30" s="96"/>
      <c r="AC30" s="96"/>
      <c r="AD30" s="96"/>
      <c r="AE30" s="95" t="s">
        <v>183</v>
      </c>
      <c r="AF30" s="95" t="s">
        <v>183</v>
      </c>
      <c r="AG30" s="95"/>
      <c r="AH30" s="95"/>
      <c r="AI30" s="106" t="s">
        <v>448</v>
      </c>
      <c r="AJ30" s="106" t="s">
        <v>183</v>
      </c>
      <c r="AK30" s="106" t="s">
        <v>183</v>
      </c>
      <c r="AL30" s="106" t="s">
        <v>183</v>
      </c>
      <c r="AM30" s="106"/>
      <c r="AN30" s="106" t="s">
        <v>255</v>
      </c>
      <c r="AO30" s="106" t="s">
        <v>183</v>
      </c>
      <c r="AP30" s="106" t="s">
        <v>255</v>
      </c>
      <c r="AQ30" s="91" t="b">
        <f>AND(AND(OR(AND($P$6=TRUE,$P30&lt;&gt;""),AND($Q$6=TRUE,$Q30&lt;&gt;""),AND($R$6=TRUE,$R30&lt;&gt;"")),AND($S$6=TRUE,$S30&lt;&gt;""),OR(AND($T$6=TRUE,$T30&lt;&gt;""),AND($U$6=TRUE,$U30&lt;&gt;""),AND($V$6=TRUE,$V30&lt;&gt;""),AND($W$6=TRUE,$W30&lt;&gt;""),AND($X$6=TRUE,$X30&lt;&gt;""),AND($Y$6=TRUE,$Y30&lt;&gt;""),AND($Z$6=TRUE,$Z30&lt;&gt;""),AND($AA$6=TRUE,$AA30&lt;&gt;""),AND($AB$6=TRUE,$AB30&lt;&gt;""),AND($AC$6=TRUE,$AC30&lt;&gt;""),AND($AD$6=TRUE,$AD30&lt;&gt;""))),OR(AND($AE$6=TRUE,$AE30&lt;&gt;""),AND($AF$6=TRUE,$AF30&lt;&gt;""),AND($AG$6=TRUE,$AG30&lt;&gt;""),AND($AH$6=TRUE,$AH30&lt;&gt;"")),NOT(AND(NOT(AND($AI$6=FALSE,$AK$6=FALSE,$AM$6=FALSE,$AO$6=FALSE)),OR($AI$6=FALSE,AND($AI$6=TRUE,$AI30&lt;&gt;"",$AJ30&lt;&gt;"")),OR($AK$6=FALSE,AND($AK$6=TRUE,$AK30&lt;&gt;"",$AL30&lt;&gt;"")),OR($AM$6=FALSE,AND($AM$6=TRUE,$AM30&lt;&gt;"",$AN30&lt;&gt;"")),OR($AO$6=FALSE,AND($AO$6=TRUE,$AO30&lt;&gt;"",$AP30&lt;&gt;"")))))</f>
        <v>0</v>
      </c>
      <c r="AR30" s="108"/>
      <c r="AS30" s="108"/>
      <c r="AT30" s="108"/>
      <c r="AU30" s="108"/>
      <c r="AV30" s="170" t="str">
        <f>IF(AR30&lt;&gt;"","セキュリティ管理/","")&amp;IF(AS30&lt;&gt;"","マルウェア/","")&amp;IF(AT30&lt;&gt;"","クラウド/","")&amp;IF(AU30&lt;&gt;"","別表1,2,3","")</f>
        <v/>
      </c>
      <c r="AW30" s="241" t="s">
        <v>337</v>
      </c>
    </row>
    <row r="31" spans="1:49" ht="22.5">
      <c r="A31" s="75" t="s">
        <v>559</v>
      </c>
      <c r="B31" s="75"/>
      <c r="C31" s="113"/>
      <c r="D31" s="76"/>
      <c r="E31" s="77"/>
      <c r="F31" s="77"/>
      <c r="G31" s="78"/>
      <c r="H31" s="78"/>
      <c r="I31" s="79"/>
      <c r="J31" s="78"/>
      <c r="K31" s="78"/>
      <c r="L31" s="78"/>
      <c r="M31" s="80"/>
      <c r="N31" s="245"/>
      <c r="O31" s="245"/>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t="s">
        <v>268</v>
      </c>
      <c r="AR31" s="80"/>
      <c r="AS31" s="80"/>
      <c r="AT31" s="80"/>
      <c r="AU31" s="80"/>
      <c r="AV31" s="80"/>
      <c r="AW31" s="80"/>
    </row>
    <row r="32" spans="1:49" ht="22.5">
      <c r="A32" s="75"/>
      <c r="B32" s="82"/>
      <c r="C32" s="58"/>
      <c r="D32" s="82"/>
      <c r="E32" s="82"/>
      <c r="F32" s="83"/>
      <c r="G32" s="82"/>
      <c r="H32" s="85"/>
      <c r="I32" s="86"/>
      <c r="J32" s="82"/>
      <c r="K32" s="82"/>
      <c r="L32" s="82"/>
      <c r="M32" s="129"/>
      <c r="N32" s="246"/>
      <c r="O32" s="246"/>
      <c r="P32" s="129"/>
      <c r="Q32" s="129"/>
      <c r="R32" s="129"/>
      <c r="S32" s="129"/>
      <c r="T32" s="129"/>
      <c r="U32" s="129"/>
      <c r="V32" s="129"/>
      <c r="W32" s="129"/>
      <c r="X32" s="129"/>
      <c r="Y32" s="129"/>
      <c r="Z32" s="129"/>
      <c r="AA32" s="129"/>
      <c r="AB32" s="129"/>
      <c r="AC32" s="129"/>
      <c r="AD32" s="129"/>
      <c r="AE32" s="129"/>
      <c r="AF32" s="129"/>
      <c r="AG32" s="129"/>
      <c r="AH32" s="129"/>
      <c r="AI32" s="129"/>
      <c r="AJ32" s="129"/>
      <c r="AK32" s="129"/>
      <c r="AL32" s="129"/>
      <c r="AM32" s="129"/>
      <c r="AN32" s="129"/>
      <c r="AO32" s="129"/>
      <c r="AP32" s="129"/>
      <c r="AQ32" s="129" t="s">
        <v>268</v>
      </c>
      <c r="AR32" s="129"/>
      <c r="AS32" s="129"/>
      <c r="AT32" s="129"/>
      <c r="AU32" s="129"/>
      <c r="AV32" s="129"/>
      <c r="AW32" s="129"/>
    </row>
    <row r="33" spans="1:49" ht="45">
      <c r="A33" s="75"/>
      <c r="B33" s="82"/>
      <c r="C33" s="71" t="s">
        <v>982</v>
      </c>
      <c r="D33" s="90" t="s">
        <v>270</v>
      </c>
      <c r="E33" s="91" t="s">
        <v>940</v>
      </c>
      <c r="F33" s="91" t="s">
        <v>983</v>
      </c>
      <c r="G33" s="92" t="s">
        <v>254</v>
      </c>
      <c r="H33" s="181"/>
      <c r="I33" s="98"/>
      <c r="J33" s="93"/>
      <c r="K33" s="93"/>
      <c r="L33" s="93"/>
      <c r="M33" s="94"/>
      <c r="N33" s="247"/>
      <c r="O33" s="111" cm="1">
        <f t="array" ref="O33">IF(AQ33=TRUE,_xlfn.IFS(M33=1,2,M33="",IF(N33="",1,2)),0)</f>
        <v>0</v>
      </c>
      <c r="P33" s="95" t="s">
        <v>255</v>
      </c>
      <c r="Q33" s="95" t="s">
        <v>255</v>
      </c>
      <c r="R33" s="95" t="s">
        <v>255</v>
      </c>
      <c r="S33" s="95" t="s">
        <v>183</v>
      </c>
      <c r="T33" s="96" t="s">
        <v>255</v>
      </c>
      <c r="U33" s="96"/>
      <c r="V33" s="96"/>
      <c r="W33" s="96"/>
      <c r="X33" s="96"/>
      <c r="Y33" s="95"/>
      <c r="Z33" s="95"/>
      <c r="AA33" s="95"/>
      <c r="AB33" s="96"/>
      <c r="AC33" s="96"/>
      <c r="AD33" s="96"/>
      <c r="AE33" s="95" t="s">
        <v>183</v>
      </c>
      <c r="AF33" s="95" t="s">
        <v>183</v>
      </c>
      <c r="AG33" s="95"/>
      <c r="AH33" s="95"/>
      <c r="AI33" s="106"/>
      <c r="AJ33" s="106"/>
      <c r="AK33" s="106"/>
      <c r="AL33" s="106"/>
      <c r="AM33" s="106" t="s">
        <v>255</v>
      </c>
      <c r="AN33" s="106" t="s">
        <v>255</v>
      </c>
      <c r="AO33" s="106" t="s">
        <v>255</v>
      </c>
      <c r="AP33" s="106" t="s">
        <v>255</v>
      </c>
      <c r="AQ33" s="91" t="b">
        <f t="shared" ref="AQ33:AQ38" si="4">AND(AND(OR(AND($P$6=TRUE,$P33&lt;&gt;""),AND($Q$6=TRUE,$Q33&lt;&gt;""),AND($R$6=TRUE,$R33&lt;&gt;"")),AND($S$6=TRUE,$S33&lt;&gt;""),OR(AND($T$6=TRUE,$T33&lt;&gt;""),AND($U$6=TRUE,$U33&lt;&gt;""),AND($V$6=TRUE,$V33&lt;&gt;""),AND($W$6=TRUE,$W33&lt;&gt;""),AND($X$6=TRUE,$X33&lt;&gt;""),AND($Y$6=TRUE,$Y33&lt;&gt;""),AND($Z$6=TRUE,$Z33&lt;&gt;""),AND($AA$6=TRUE,$AA33&lt;&gt;""),AND($AB$6=TRUE,$AB33&lt;&gt;""),AND($AC$6=TRUE,$AC33&lt;&gt;""),AND($AD$6=TRUE,$AD33&lt;&gt;""))),OR(AND($AE$6=TRUE,$AE33&lt;&gt;""),AND($AF$6=TRUE,$AF33&lt;&gt;""),AND($AG$6=TRUE,$AG33&lt;&gt;""),AND($AH$6=TRUE,$AH33&lt;&gt;"")),NOT(AND(NOT(AND($AI$6=FALSE,$AK$6=FALSE,$AM$6=FALSE,$AO$6=FALSE)),OR($AI$6=FALSE,AND($AI$6=TRUE,$AI33&lt;&gt;"",$AJ33&lt;&gt;"")),OR($AK$6=FALSE,AND($AK$6=TRUE,$AK33&lt;&gt;"",$AL33&lt;&gt;"")),OR($AM$6=FALSE,AND($AM$6=TRUE,$AM33&lt;&gt;"",$AN33&lt;&gt;"")),OR($AO$6=FALSE,AND($AO$6=TRUE,$AO33&lt;&gt;"",$AP33&lt;&gt;"")))))</f>
        <v>0</v>
      </c>
      <c r="AR33" s="108"/>
      <c r="AS33" s="108"/>
      <c r="AT33" s="108"/>
      <c r="AU33" s="108"/>
      <c r="AV33" s="170" t="str">
        <f t="shared" ref="AV33:AV38" si="5">IF(AR33&lt;&gt;"","セキュリティ管理/","")&amp;IF(AS33&lt;&gt;"","マルウェア/","")&amp;IF(AT33&lt;&gt;"","クラウド/","")&amp;IF(AU33&lt;&gt;"","別表1,2,3","")</f>
        <v/>
      </c>
      <c r="AW33" s="108"/>
    </row>
    <row r="34" spans="1:49" ht="270">
      <c r="A34" s="75"/>
      <c r="B34" s="82"/>
      <c r="C34" s="71" t="s">
        <v>984</v>
      </c>
      <c r="D34" s="90" t="s">
        <v>562</v>
      </c>
      <c r="E34" s="91" t="str">
        <f>'インフラ(自社DC)'!E30</f>
        <v>機密情報を扱うシステムでは、保存データをミドルレイヤ(DBMS等）もしくはアプリケーションレイヤでの暗号化を行っているか。
センシティブ情報(損害サービス対応にかかわる重要コメント含む)、マイナンバー(法人番号は含まない)については暗号化を必須とし、特にマイナンバーの復号鍵は、データとは別の筐体に保管して保護、もしくはアクセス制御等によりデータと同等の保護策を実施する。
上記以外のデータで、レスポンス悪化などの影響を踏まえて暗号化しない場合は、以下の通りにデータ保護を行っているか。
　・主要データ・ＤＢへのシステム的なアクセス制限
　・主要データ・ＤＢへのアクセス状況のモニタリング
（アウトソースシステムにおいては、回答で「YES」を選択した場合でも、実施している対策を備考欄に記入する。）</v>
      </c>
      <c r="F34" s="91" t="s">
        <v>985</v>
      </c>
      <c r="G34" s="92" t="s">
        <v>254</v>
      </c>
      <c r="H34" s="181"/>
      <c r="I34" s="98"/>
      <c r="J34" s="93"/>
      <c r="K34" s="93"/>
      <c r="L34" s="93"/>
      <c r="M34" s="94"/>
      <c r="N34" s="247"/>
      <c r="O34" s="111" cm="1">
        <f t="array" ref="O34">IF(AQ34=TRUE,_xlfn.IFS(M34=1,2,M34="",IF(N34="",1,2)),0)</f>
        <v>0</v>
      </c>
      <c r="P34" s="95" t="s">
        <v>255</v>
      </c>
      <c r="Q34" s="95" t="s">
        <v>255</v>
      </c>
      <c r="R34" s="95" t="s">
        <v>255</v>
      </c>
      <c r="S34" s="95" t="s">
        <v>183</v>
      </c>
      <c r="T34" s="96" t="s">
        <v>183</v>
      </c>
      <c r="U34" s="96"/>
      <c r="V34" s="96"/>
      <c r="W34" s="96"/>
      <c r="X34" s="96" t="s">
        <v>448</v>
      </c>
      <c r="Y34" s="95"/>
      <c r="Z34" s="95"/>
      <c r="AA34" s="95"/>
      <c r="AB34" s="96"/>
      <c r="AC34" s="96" t="s">
        <v>183</v>
      </c>
      <c r="AD34" s="96"/>
      <c r="AE34" s="95" t="s">
        <v>183</v>
      </c>
      <c r="AF34" s="95" t="s">
        <v>183</v>
      </c>
      <c r="AG34" s="95" t="s">
        <v>255</v>
      </c>
      <c r="AH34" s="95"/>
      <c r="AI34" s="106" t="s">
        <v>255</v>
      </c>
      <c r="AJ34" s="106" t="s">
        <v>183</v>
      </c>
      <c r="AK34" s="106"/>
      <c r="AL34" s="106"/>
      <c r="AM34" s="106" t="s">
        <v>255</v>
      </c>
      <c r="AN34" s="106" t="s">
        <v>255</v>
      </c>
      <c r="AO34" s="106" t="s">
        <v>255</v>
      </c>
      <c r="AP34" s="106" t="s">
        <v>255</v>
      </c>
      <c r="AQ34" s="91" t="b">
        <f t="shared" si="4"/>
        <v>0</v>
      </c>
      <c r="AR34" s="108" t="s">
        <v>183</v>
      </c>
      <c r="AS34" s="108"/>
      <c r="AT34" s="108"/>
      <c r="AU34" s="108"/>
      <c r="AV34" s="170" t="str">
        <f t="shared" si="5"/>
        <v>セキュリティ管理/</v>
      </c>
      <c r="AW34" s="108" t="s">
        <v>2218</v>
      </c>
    </row>
    <row r="35" spans="1:49" ht="180">
      <c r="A35" s="75"/>
      <c r="B35" s="82"/>
      <c r="C35" s="71" t="s">
        <v>986</v>
      </c>
      <c r="D35" s="90" t="s">
        <v>565</v>
      </c>
      <c r="E35" s="91" t="str">
        <f>'インフラ(自社DC)'!E31</f>
        <v>ハッシュ関数や暗号アルゴリズムは、「電子政府推奨暗号リスト※」に記載されているものを採用しているか
※電子政府推奨暗号リストは下記URLを参照
https://www.cryptrec.go.jp/list.html</v>
      </c>
      <c r="F35" s="91" t="s">
        <v>987</v>
      </c>
      <c r="G35" s="92" t="s">
        <v>254</v>
      </c>
      <c r="H35" s="181"/>
      <c r="I35" s="98"/>
      <c r="J35" s="93"/>
      <c r="K35" s="93"/>
      <c r="L35" s="93"/>
      <c r="M35" s="94"/>
      <c r="N35" s="247"/>
      <c r="O35" s="111" cm="1">
        <f t="array" ref="O35">IF(AQ35=TRUE,_xlfn.IFS(M35=1,2,M35="",IF(N35="",1,2)),0)</f>
        <v>0</v>
      </c>
      <c r="P35" s="95" t="s">
        <v>255</v>
      </c>
      <c r="Q35" s="95" t="s">
        <v>183</v>
      </c>
      <c r="R35" s="95" t="s">
        <v>183</v>
      </c>
      <c r="S35" s="95" t="s">
        <v>183</v>
      </c>
      <c r="T35" s="96" t="s">
        <v>183</v>
      </c>
      <c r="U35" s="96"/>
      <c r="V35" s="96"/>
      <c r="W35" s="96"/>
      <c r="X35" s="96" t="s">
        <v>448</v>
      </c>
      <c r="Y35" s="95"/>
      <c r="Z35" s="95"/>
      <c r="AA35" s="95"/>
      <c r="AB35" s="96"/>
      <c r="AC35" s="96"/>
      <c r="AD35" s="96"/>
      <c r="AE35" s="95" t="s">
        <v>183</v>
      </c>
      <c r="AF35" s="95" t="s">
        <v>183</v>
      </c>
      <c r="AG35" s="95"/>
      <c r="AH35" s="95"/>
      <c r="AI35" s="106" t="s">
        <v>183</v>
      </c>
      <c r="AJ35" s="106" t="s">
        <v>183</v>
      </c>
      <c r="AK35" s="106" t="s">
        <v>183</v>
      </c>
      <c r="AL35" s="106" t="s">
        <v>183</v>
      </c>
      <c r="AM35" s="106" t="s">
        <v>255</v>
      </c>
      <c r="AN35" s="106" t="s">
        <v>255</v>
      </c>
      <c r="AO35" s="106" t="s">
        <v>255</v>
      </c>
      <c r="AP35" s="106" t="s">
        <v>255</v>
      </c>
      <c r="AQ35" s="91" t="b">
        <f t="shared" si="4"/>
        <v>0</v>
      </c>
      <c r="AR35" s="108"/>
      <c r="AS35" s="108"/>
      <c r="AT35" s="108"/>
      <c r="AU35" s="108"/>
      <c r="AV35" s="170" t="str">
        <f t="shared" si="5"/>
        <v/>
      </c>
      <c r="AW35" s="108"/>
    </row>
    <row r="36" spans="1:49" ht="135">
      <c r="A36" s="75"/>
      <c r="B36" s="82"/>
      <c r="C36" s="71" t="s">
        <v>988</v>
      </c>
      <c r="D36" s="90" t="s">
        <v>756</v>
      </c>
      <c r="E36" s="91" t="str">
        <f>'インフラ(自社DC)'!E32</f>
        <v>暗号鍵を耐タンパー性を有する暗号モジュールへ格納しているか。
また、暗号鍵は、管理者以外アクセス不可能な保存媒体及び保存場所へ格納しているか</v>
      </c>
      <c r="F36" s="91" t="s">
        <v>989</v>
      </c>
      <c r="G36" s="92" t="s">
        <v>254</v>
      </c>
      <c r="H36" s="181"/>
      <c r="I36" s="98"/>
      <c r="J36" s="93"/>
      <c r="K36" s="93"/>
      <c r="L36" s="93"/>
      <c r="M36" s="94"/>
      <c r="N36" s="247"/>
      <c r="O36" s="111" cm="1">
        <f t="array" ref="O36">IF(AQ36=TRUE,_xlfn.IFS(M36=1,2,M36="",IF(N36="",1,2)),0)</f>
        <v>0</v>
      </c>
      <c r="P36" s="95" t="s">
        <v>255</v>
      </c>
      <c r="Q36" s="95" t="s">
        <v>183</v>
      </c>
      <c r="R36" s="95" t="s">
        <v>183</v>
      </c>
      <c r="S36" s="95" t="s">
        <v>183</v>
      </c>
      <c r="T36" s="96" t="s">
        <v>183</v>
      </c>
      <c r="U36" s="96"/>
      <c r="V36" s="96"/>
      <c r="W36" s="96"/>
      <c r="X36" s="96" t="s">
        <v>448</v>
      </c>
      <c r="Y36" s="95"/>
      <c r="Z36" s="95"/>
      <c r="AA36" s="95"/>
      <c r="AB36" s="96"/>
      <c r="AC36" s="96"/>
      <c r="AD36" s="96"/>
      <c r="AE36" s="95" t="s">
        <v>183</v>
      </c>
      <c r="AF36" s="95" t="s">
        <v>183</v>
      </c>
      <c r="AG36" s="95"/>
      <c r="AH36" s="95"/>
      <c r="AI36" s="106" t="s">
        <v>183</v>
      </c>
      <c r="AJ36" s="106" t="s">
        <v>183</v>
      </c>
      <c r="AK36" s="106" t="s">
        <v>183</v>
      </c>
      <c r="AL36" s="106" t="s">
        <v>183</v>
      </c>
      <c r="AM36" s="106" t="s">
        <v>255</v>
      </c>
      <c r="AN36" s="106" t="s">
        <v>255</v>
      </c>
      <c r="AO36" s="106" t="s">
        <v>255</v>
      </c>
      <c r="AP36" s="106" t="s">
        <v>255</v>
      </c>
      <c r="AQ36" s="91" t="b">
        <f t="shared" si="4"/>
        <v>0</v>
      </c>
      <c r="AR36" s="108"/>
      <c r="AS36" s="108"/>
      <c r="AT36" s="108"/>
      <c r="AU36" s="108"/>
      <c r="AV36" s="170" t="str">
        <f t="shared" si="5"/>
        <v/>
      </c>
      <c r="AW36" s="108" t="s">
        <v>747</v>
      </c>
    </row>
    <row r="37" spans="1:49" ht="366.65" customHeight="1">
      <c r="A37" s="75"/>
      <c r="B37" s="82"/>
      <c r="C37" s="71" t="s">
        <v>990</v>
      </c>
      <c r="D37" s="90" t="s">
        <v>758</v>
      </c>
      <c r="E37" s="107" t="str">
        <f>'インフラ(自社DC)'!E33</f>
        <v>インターネット回線を用いて重要情報※を取扱う場合は、以下の通り通信を保護しているか。
※重要情報の定義は情報セキュリティ管理マニュアルを参照すること。
・非暗号化通信によるアクセスができないように設定する。もしくは非暗号化通信によるアクセスがあった場合には、暗号化通信のURLにリダイレクトするようにHSTSを設定する。
・原則TLS 1.2以上のみを許可する。システムの新規構築時は、TLS 1.3にも対応する。
・TLSの暗号アルゴリズムは「電子政府推奨暗号リスト」の他、IPA「TLS暗号設定ガイドライン」の推奨セキュリティ型にあたる利用禁止アルゴリズムと利用推奨暗号アルゴリズムに対応する。
・TLSに利用するサーバー証明書は信頼できる機関から発行されたものを利用する。
・匿名認証（ADH)による暗号化通信を拒否するよう検討する。
・本番サーバのSSL証明書はOV SSL（企業認証）またはEV SSL（Extended Validation SSL）を利用すること。さらにクレジットカード情報等の決済情報を取り扱うような、より高度な信頼性が求められるシステムにおいては、ユーザの身元情報等をより厳格に審査したうえで発行されるEV SSLを必須とする。
・通信の暗号化が行えない場合は、閉鎖的な通信回線とする</v>
      </c>
      <c r="F37" s="91" t="s">
        <v>991</v>
      </c>
      <c r="G37" s="92" t="s">
        <v>254</v>
      </c>
      <c r="H37" s="181"/>
      <c r="I37" s="98"/>
      <c r="J37" s="94"/>
      <c r="K37" s="130"/>
      <c r="L37" s="130"/>
      <c r="M37" s="130"/>
      <c r="N37" s="247"/>
      <c r="O37" s="111" cm="1">
        <f t="array" ref="O37">IF(AQ37=TRUE,_xlfn.IFS(M37=1,2,M37="",IF(N37="",1,2)),0)</f>
        <v>0</v>
      </c>
      <c r="P37" s="128" t="s">
        <v>255</v>
      </c>
      <c r="Q37" s="95" t="s">
        <v>183</v>
      </c>
      <c r="R37" s="95" t="s">
        <v>183</v>
      </c>
      <c r="S37" s="95" t="s">
        <v>183</v>
      </c>
      <c r="T37" s="95" t="s">
        <v>183</v>
      </c>
      <c r="U37" s="95"/>
      <c r="V37" s="95"/>
      <c r="W37" s="95"/>
      <c r="X37" s="95" t="s">
        <v>183</v>
      </c>
      <c r="Y37" s="95"/>
      <c r="Z37" s="95"/>
      <c r="AA37" s="95"/>
      <c r="AB37" s="95"/>
      <c r="AC37" s="95"/>
      <c r="AD37" s="95"/>
      <c r="AE37" s="95"/>
      <c r="AF37" s="95" t="s">
        <v>183</v>
      </c>
      <c r="AG37" s="95"/>
      <c r="AH37" s="95"/>
      <c r="AI37" s="106" t="s">
        <v>255</v>
      </c>
      <c r="AJ37" s="106" t="s">
        <v>183</v>
      </c>
      <c r="AK37" s="106" t="s">
        <v>183</v>
      </c>
      <c r="AL37" s="106" t="s">
        <v>183</v>
      </c>
      <c r="AM37" s="106" t="s">
        <v>255</v>
      </c>
      <c r="AN37" s="106" t="s">
        <v>255</v>
      </c>
      <c r="AO37" s="106" t="s">
        <v>255</v>
      </c>
      <c r="AP37" s="106" t="s">
        <v>255</v>
      </c>
      <c r="AQ37" s="91" t="b">
        <f t="shared" si="4"/>
        <v>0</v>
      </c>
      <c r="AR37" s="108"/>
      <c r="AS37" s="108"/>
      <c r="AT37" s="108"/>
      <c r="AU37" s="108"/>
      <c r="AV37" s="170" t="str">
        <f t="shared" si="5"/>
        <v/>
      </c>
      <c r="AW37" s="108" t="s">
        <v>2205</v>
      </c>
    </row>
    <row r="38" spans="1:49" ht="157.5">
      <c r="A38" s="75"/>
      <c r="B38" s="82"/>
      <c r="C38" s="71" t="s">
        <v>2270</v>
      </c>
      <c r="D38" s="90" t="s">
        <v>992</v>
      </c>
      <c r="E38" s="91" t="str">
        <f>'インフラ(自社DC)'!E34</f>
        <v>他企業とのデータ交換は通信の暗号化、もしくは専用線を利用しているか。
なお、マイナンバー（法人番号は含まない）を外部委託先等とデータ交換する際は暗号化を必須とし、媒体は原則使用しない。</v>
      </c>
      <c r="F38" s="91" t="s">
        <v>993</v>
      </c>
      <c r="G38" s="92" t="s">
        <v>254</v>
      </c>
      <c r="H38" s="181"/>
      <c r="I38" s="98"/>
      <c r="J38" s="93"/>
      <c r="K38" s="93"/>
      <c r="L38" s="93"/>
      <c r="M38" s="94"/>
      <c r="N38" s="247"/>
      <c r="O38" s="111" cm="1">
        <f t="array" ref="O38">IF(AQ38=TRUE,_xlfn.IFS(M38=1,2,M38="",IF(N38="",1,2)),0)</f>
        <v>0</v>
      </c>
      <c r="P38" s="95" t="s">
        <v>255</v>
      </c>
      <c r="Q38" s="95" t="s">
        <v>183</v>
      </c>
      <c r="R38" s="95" t="s">
        <v>183</v>
      </c>
      <c r="S38" s="95" t="s">
        <v>183</v>
      </c>
      <c r="T38" s="96" t="s">
        <v>183</v>
      </c>
      <c r="U38" s="96"/>
      <c r="V38" s="96"/>
      <c r="W38" s="96"/>
      <c r="X38" s="96" t="s">
        <v>448</v>
      </c>
      <c r="Y38" s="95"/>
      <c r="Z38" s="95"/>
      <c r="AA38" s="95"/>
      <c r="AB38" s="96"/>
      <c r="AC38" s="96" t="s">
        <v>183</v>
      </c>
      <c r="AD38" s="96"/>
      <c r="AE38" s="95" t="s">
        <v>183</v>
      </c>
      <c r="AF38" s="95" t="s">
        <v>183</v>
      </c>
      <c r="AG38" s="95"/>
      <c r="AH38" s="95"/>
      <c r="AI38" s="106" t="s">
        <v>183</v>
      </c>
      <c r="AJ38" s="106" t="s">
        <v>183</v>
      </c>
      <c r="AK38" s="106" t="s">
        <v>448</v>
      </c>
      <c r="AL38" s="106" t="s">
        <v>448</v>
      </c>
      <c r="AM38" s="106" t="s">
        <v>255</v>
      </c>
      <c r="AN38" s="106" t="s">
        <v>255</v>
      </c>
      <c r="AO38" s="106" t="s">
        <v>255</v>
      </c>
      <c r="AP38" s="106" t="s">
        <v>255</v>
      </c>
      <c r="AQ38" s="91" t="b">
        <f t="shared" si="4"/>
        <v>0</v>
      </c>
      <c r="AR38" s="108"/>
      <c r="AS38" s="108"/>
      <c r="AT38" s="108"/>
      <c r="AU38" s="108"/>
      <c r="AV38" s="170" t="str">
        <f t="shared" si="5"/>
        <v/>
      </c>
      <c r="AW38" s="108"/>
    </row>
    <row r="39" spans="1:49" ht="22.5">
      <c r="A39" s="75" t="s">
        <v>760</v>
      </c>
      <c r="B39" s="75"/>
      <c r="C39" s="113"/>
      <c r="D39" s="76"/>
      <c r="E39" s="77"/>
      <c r="F39" s="77"/>
      <c r="G39" s="78"/>
      <c r="H39" s="78"/>
      <c r="I39" s="79"/>
      <c r="J39" s="78"/>
      <c r="K39" s="78"/>
      <c r="L39" s="78"/>
      <c r="M39" s="80"/>
      <c r="N39" s="245"/>
      <c r="O39" s="245"/>
      <c r="P39" s="80"/>
      <c r="Q39" s="80"/>
      <c r="R39" s="80"/>
      <c r="S39" s="80"/>
      <c r="T39" s="80"/>
      <c r="U39" s="80"/>
      <c r="V39" s="80"/>
      <c r="W39" s="80"/>
      <c r="X39" s="80"/>
      <c r="Y39" s="80"/>
      <c r="Z39" s="80"/>
      <c r="AA39" s="80"/>
      <c r="AB39" s="80"/>
      <c r="AC39" s="80"/>
      <c r="AD39" s="80"/>
      <c r="AE39" s="80"/>
      <c r="AF39" s="80"/>
      <c r="AG39" s="80"/>
      <c r="AH39" s="80"/>
      <c r="AI39" s="80"/>
      <c r="AJ39" s="80"/>
      <c r="AK39" s="80"/>
      <c r="AL39" s="80"/>
      <c r="AM39" s="80"/>
      <c r="AN39" s="80"/>
      <c r="AO39" s="80"/>
      <c r="AP39" s="80"/>
      <c r="AQ39" s="80" t="s">
        <v>268</v>
      </c>
      <c r="AR39" s="80"/>
      <c r="AS39" s="80"/>
      <c r="AT39" s="80"/>
      <c r="AU39" s="80"/>
      <c r="AV39" s="80"/>
      <c r="AW39" s="80"/>
    </row>
    <row r="40" spans="1:49" ht="22.5">
      <c r="A40" s="75"/>
      <c r="B40" s="82" t="s">
        <v>761</v>
      </c>
      <c r="C40" s="58"/>
      <c r="D40" s="82"/>
      <c r="E40" s="82"/>
      <c r="F40" s="83"/>
      <c r="G40" s="82"/>
      <c r="H40" s="85"/>
      <c r="I40" s="86"/>
      <c r="J40" s="82"/>
      <c r="K40" s="82"/>
      <c r="L40" s="82"/>
      <c r="M40" s="129"/>
      <c r="N40" s="246"/>
      <c r="O40" s="246"/>
      <c r="P40" s="129"/>
      <c r="Q40" s="129"/>
      <c r="R40" s="129"/>
      <c r="S40" s="129"/>
      <c r="T40" s="129"/>
      <c r="U40" s="129"/>
      <c r="V40" s="129"/>
      <c r="W40" s="129"/>
      <c r="X40" s="129"/>
      <c r="Y40" s="129"/>
      <c r="Z40" s="129"/>
      <c r="AA40" s="129"/>
      <c r="AB40" s="129"/>
      <c r="AC40" s="129"/>
      <c r="AD40" s="129"/>
      <c r="AE40" s="129"/>
      <c r="AF40" s="129"/>
      <c r="AG40" s="129"/>
      <c r="AH40" s="129"/>
      <c r="AI40" s="129"/>
      <c r="AJ40" s="129"/>
      <c r="AK40" s="129"/>
      <c r="AL40" s="129"/>
      <c r="AM40" s="129"/>
      <c r="AN40" s="129"/>
      <c r="AO40" s="129"/>
      <c r="AP40" s="129"/>
      <c r="AQ40" s="129" t="s">
        <v>268</v>
      </c>
      <c r="AR40" s="129"/>
      <c r="AS40" s="129"/>
      <c r="AT40" s="129"/>
      <c r="AU40" s="129"/>
      <c r="AV40" s="129"/>
      <c r="AW40" s="129"/>
    </row>
    <row r="41" spans="1:49" ht="135">
      <c r="A41" s="75"/>
      <c r="B41" s="82"/>
      <c r="C41" s="71" t="s">
        <v>994</v>
      </c>
      <c r="D41" s="90" t="s">
        <v>274</v>
      </c>
      <c r="E41" s="91" t="str">
        <f>'インフラ(自社DC)'!E37</f>
        <v xml:space="preserve">本番環境やプレ本環境にアクセス出来るエリアは、ゾーニングエリアを設置し、入室管理・端末利用管理・持ち込み／持ち出し管理を徹底しているか。
・本番環境 ：本番検証室の端末もしくはひとり一台端末を利用
・プレ本環境　 ：プレ本検証室の端末を利用
</v>
      </c>
      <c r="F41" s="99" t="s">
        <v>995</v>
      </c>
      <c r="G41" s="110" t="s">
        <v>254</v>
      </c>
      <c r="H41" s="181"/>
      <c r="I41" s="98"/>
      <c r="J41" s="93"/>
      <c r="K41" s="93"/>
      <c r="L41" s="93"/>
      <c r="M41" s="94"/>
      <c r="N41" s="247"/>
      <c r="O41" s="111" cm="1">
        <f t="array" ref="O41">IF(AQ41=TRUE,_xlfn.IFS(M41=1,2,M41="",IF(N41="",1,2)),0)</f>
        <v>0</v>
      </c>
      <c r="P41" s="95" t="s">
        <v>255</v>
      </c>
      <c r="Q41" s="95" t="s">
        <v>183</v>
      </c>
      <c r="R41" s="95" t="s">
        <v>183</v>
      </c>
      <c r="S41" s="95" t="s">
        <v>183</v>
      </c>
      <c r="T41" s="96" t="s">
        <v>183</v>
      </c>
      <c r="U41" s="96"/>
      <c r="V41" s="96"/>
      <c r="W41" s="96"/>
      <c r="X41" s="96" t="s">
        <v>448</v>
      </c>
      <c r="Y41" s="95"/>
      <c r="Z41" s="95"/>
      <c r="AA41" s="95"/>
      <c r="AB41" s="96"/>
      <c r="AC41" s="96"/>
      <c r="AD41" s="96"/>
      <c r="AE41" s="95" t="s">
        <v>183</v>
      </c>
      <c r="AF41" s="95" t="s">
        <v>183</v>
      </c>
      <c r="AG41" s="95" t="s">
        <v>255</v>
      </c>
      <c r="AH41" s="95"/>
      <c r="AI41" s="106" t="s">
        <v>183</v>
      </c>
      <c r="AJ41" s="106" t="s">
        <v>183</v>
      </c>
      <c r="AK41" s="106" t="s">
        <v>183</v>
      </c>
      <c r="AL41" s="106" t="s">
        <v>183</v>
      </c>
      <c r="AM41" s="106" t="s">
        <v>255</v>
      </c>
      <c r="AN41" s="106" t="s">
        <v>255</v>
      </c>
      <c r="AO41" s="106" t="s">
        <v>255</v>
      </c>
      <c r="AP41" s="106" t="s">
        <v>255</v>
      </c>
      <c r="AQ41" s="91" t="b">
        <f>AND(AND(OR(AND($P$6=TRUE,$P41&lt;&gt;""),AND($Q$6=TRUE,$Q41&lt;&gt;""),AND($R$6=TRUE,$R41&lt;&gt;"")),AND($S$6=TRUE,$S41&lt;&gt;""),OR(AND($T$6=TRUE,$T41&lt;&gt;""),AND($U$6=TRUE,$U41&lt;&gt;""),AND($V$6=TRUE,$V41&lt;&gt;""),AND($W$6=TRUE,$W41&lt;&gt;""),AND($X$6=TRUE,$X41&lt;&gt;""),AND($Y$6=TRUE,$Y41&lt;&gt;""),AND($Z$6=TRUE,$Z41&lt;&gt;""),AND($AA$6=TRUE,$AA41&lt;&gt;""),AND($AB$6=TRUE,$AB41&lt;&gt;""),AND($AC$6=TRUE,$AC41&lt;&gt;""),AND($AD$6=TRUE,$AD41&lt;&gt;""))),OR(AND($AE$6=TRUE,$AE41&lt;&gt;""),AND($AF$6=TRUE,$AF41&lt;&gt;""),AND($AG$6=TRUE,$AG41&lt;&gt;""),AND($AH$6=TRUE,$AH41&lt;&gt;"")),NOT(AND(NOT(AND($AI$6=FALSE,$AK$6=FALSE,$AM$6=FALSE,$AO$6=FALSE)),OR($AI$6=FALSE,AND($AI$6=TRUE,$AI41&lt;&gt;"",$AJ41&lt;&gt;"")),OR($AK$6=FALSE,AND($AK$6=TRUE,$AK41&lt;&gt;"",$AL41&lt;&gt;"")),OR($AM$6=FALSE,AND($AM$6=TRUE,$AM41&lt;&gt;"",$AN41&lt;&gt;"")),OR($AO$6=FALSE,AND($AO$6=TRUE,$AO41&lt;&gt;"",$AP41&lt;&gt;"")))))</f>
        <v>0</v>
      </c>
      <c r="AR41" s="108" t="s">
        <v>183</v>
      </c>
      <c r="AS41" s="108"/>
      <c r="AT41" s="108"/>
      <c r="AU41" s="108" t="s">
        <v>183</v>
      </c>
      <c r="AV41" s="170" t="str">
        <f>IF(AR41&lt;&gt;"","セキュリティ管理/","")&amp;IF(AS41&lt;&gt;"","マルウェア/","")&amp;IF(AT41&lt;&gt;"","クラウド/","")&amp;IF(AU41&lt;&gt;"","別表1,2,3","")</f>
        <v>セキュリティ管理/別表1,2,3</v>
      </c>
      <c r="AW41" s="108"/>
    </row>
    <row r="42" spans="1:49" ht="337.5">
      <c r="A42" s="109"/>
      <c r="B42" s="101"/>
      <c r="C42" s="71" t="s">
        <v>996</v>
      </c>
      <c r="D42" s="90" t="s">
        <v>277</v>
      </c>
      <c r="E42" s="91" t="str">
        <f>'インフラ(自社DC)'!E38</f>
        <v xml:space="preserve">本番サーバへのログインは、専用のセグメントに設置した運用管理専用の端末（TMNFにおいてはセキュア環境）（※)を経由しているか。
また、直接特権ＩＤでログインせずに、個人ＩＤでログイン後に特権ＩＤへ切り替える等、作業者を特定できるようにしているか
※以下を満たす本番環境接続時の環境を指す。
　・社内LAN接続不可
　・インターネットアクセスおよびメール送受信不可
　　(セキュリティパッチ適用やウィルスパターンファイル更新も社内の運用管理サーバ経由で適用することが好ましい）
　・印刷不可
　・踏み台環境より外（操作元のPCなど）へのデータ持ち出しやカット＆ペースト不可
　・環境内での操作記録
　・サーバやNW機器の認証情報を端末内に残さない
</v>
      </c>
      <c r="F42" s="91" t="s">
        <v>997</v>
      </c>
      <c r="G42" s="93" t="s">
        <v>254</v>
      </c>
      <c r="H42" s="181"/>
      <c r="I42" s="98"/>
      <c r="J42" s="93"/>
      <c r="K42" s="93"/>
      <c r="L42" s="93"/>
      <c r="M42" s="94"/>
      <c r="N42" s="247"/>
      <c r="O42" s="111" cm="1">
        <f t="array" ref="O42">IF(AQ42=TRUE,_xlfn.IFS(M42=1,2,M42="",IF(N42="",1,2)),0)</f>
        <v>0</v>
      </c>
      <c r="P42" s="95" t="s">
        <v>255</v>
      </c>
      <c r="Q42" s="95" t="s">
        <v>183</v>
      </c>
      <c r="R42" s="95" t="s">
        <v>183</v>
      </c>
      <c r="S42" s="95" t="s">
        <v>183</v>
      </c>
      <c r="T42" s="96" t="s">
        <v>183</v>
      </c>
      <c r="U42" s="96"/>
      <c r="V42" s="96"/>
      <c r="W42" s="96"/>
      <c r="X42" s="96" t="s">
        <v>448</v>
      </c>
      <c r="Y42" s="95"/>
      <c r="Z42" s="95"/>
      <c r="AA42" s="95"/>
      <c r="AB42" s="96"/>
      <c r="AC42" s="96"/>
      <c r="AD42" s="96"/>
      <c r="AE42" s="95" t="s">
        <v>183</v>
      </c>
      <c r="AF42" s="95" t="s">
        <v>183</v>
      </c>
      <c r="AG42" s="95" t="s">
        <v>255</v>
      </c>
      <c r="AH42" s="95"/>
      <c r="AI42" s="106" t="s">
        <v>255</v>
      </c>
      <c r="AJ42" s="106" t="s">
        <v>183</v>
      </c>
      <c r="AK42" s="106" t="s">
        <v>183</v>
      </c>
      <c r="AL42" s="106" t="s">
        <v>183</v>
      </c>
      <c r="AM42" s="106" t="s">
        <v>255</v>
      </c>
      <c r="AN42" s="106" t="s">
        <v>255</v>
      </c>
      <c r="AO42" s="106" t="s">
        <v>255</v>
      </c>
      <c r="AP42" s="106" t="s">
        <v>255</v>
      </c>
      <c r="AQ42" s="91" t="b">
        <f>AND(AND(OR(AND($P$6=TRUE,$P42&lt;&gt;""),AND($Q$6=TRUE,$Q42&lt;&gt;""),AND($R$6=TRUE,$R42&lt;&gt;"")),AND($S$6=TRUE,$S42&lt;&gt;""),OR(AND($T$6=TRUE,$T42&lt;&gt;""),AND($U$6=TRUE,$U42&lt;&gt;""),AND($V$6=TRUE,$V42&lt;&gt;""),AND($W$6=TRUE,$W42&lt;&gt;""),AND($X$6=TRUE,$X42&lt;&gt;""),AND($Y$6=TRUE,$Y42&lt;&gt;""),AND($Z$6=TRUE,$Z42&lt;&gt;""),AND($AA$6=TRUE,$AA42&lt;&gt;""),AND($AB$6=TRUE,$AB42&lt;&gt;""),AND($AC$6=TRUE,$AC42&lt;&gt;""),AND($AD$6=TRUE,$AD42&lt;&gt;""))),OR(AND($AE$6=TRUE,$AE42&lt;&gt;""),AND($AF$6=TRUE,$AF42&lt;&gt;""),AND($AG$6=TRUE,$AG42&lt;&gt;""),AND($AH$6=TRUE,$AH42&lt;&gt;"")),NOT(AND(NOT(AND($AI$6=FALSE,$AK$6=FALSE,$AM$6=FALSE,$AO$6=FALSE)),OR($AI$6=FALSE,AND($AI$6=TRUE,$AI42&lt;&gt;"",$AJ42&lt;&gt;"")),OR($AK$6=FALSE,AND($AK$6=TRUE,$AK42&lt;&gt;"",$AL42&lt;&gt;"")),OR($AM$6=FALSE,AND($AM$6=TRUE,$AM42&lt;&gt;"",$AN42&lt;&gt;"")),OR($AO$6=FALSE,AND($AO$6=TRUE,$AO42&lt;&gt;"",$AP42&lt;&gt;"")))))</f>
        <v>0</v>
      </c>
      <c r="AR42" s="108" t="s">
        <v>183</v>
      </c>
      <c r="AS42" s="108" t="s">
        <v>183</v>
      </c>
      <c r="AT42" s="108"/>
      <c r="AU42" s="108" t="s">
        <v>183</v>
      </c>
      <c r="AV42" s="170" t="str">
        <f>IF(AR42&lt;&gt;"","セキュリティ管理/","")&amp;IF(AS42&lt;&gt;"","マルウェア/","")&amp;IF(AT42&lt;&gt;"","クラウド/","")&amp;IF(AU42&lt;&gt;"","別表1,2,3","")</f>
        <v>セキュリティ管理/マルウェア/別表1,2,3</v>
      </c>
      <c r="AW42" s="108" t="s">
        <v>954</v>
      </c>
    </row>
    <row r="43" spans="1:49" ht="67.5">
      <c r="A43" s="75"/>
      <c r="B43" s="82"/>
      <c r="C43" s="71" t="s">
        <v>998</v>
      </c>
      <c r="D43" s="90" t="s">
        <v>280</v>
      </c>
      <c r="E43" s="91" t="str">
        <f>'インフラ(自社DC)'!E39</f>
        <v>通信回線装置やサーバの時刻は、常にUTCを基準とした時刻と同期を取っているか</v>
      </c>
      <c r="F43" s="91" t="s">
        <v>999</v>
      </c>
      <c r="G43" s="92" t="s">
        <v>361</v>
      </c>
      <c r="H43" s="181"/>
      <c r="I43" s="98"/>
      <c r="J43" s="93"/>
      <c r="K43" s="93"/>
      <c r="L43" s="93"/>
      <c r="M43" s="94"/>
      <c r="N43" s="247"/>
      <c r="O43" s="111" cm="1">
        <f t="array" ref="O43">IF(AQ43=TRUE,_xlfn.IFS(M43=1,2,M43="",IF(N43="",1,2)),0)</f>
        <v>0</v>
      </c>
      <c r="P43" s="95" t="s">
        <v>255</v>
      </c>
      <c r="Q43" s="95" t="s">
        <v>183</v>
      </c>
      <c r="R43" s="95" t="s">
        <v>183</v>
      </c>
      <c r="S43" s="95" t="s">
        <v>183</v>
      </c>
      <c r="T43" s="96" t="s">
        <v>183</v>
      </c>
      <c r="U43" s="96"/>
      <c r="V43" s="96"/>
      <c r="W43" s="96"/>
      <c r="X43" s="96" t="s">
        <v>448</v>
      </c>
      <c r="Y43" s="95"/>
      <c r="Z43" s="95"/>
      <c r="AA43" s="95"/>
      <c r="AB43" s="96"/>
      <c r="AC43" s="96"/>
      <c r="AD43" s="96"/>
      <c r="AE43" s="95" t="s">
        <v>183</v>
      </c>
      <c r="AF43" s="95" t="s">
        <v>183</v>
      </c>
      <c r="AG43" s="95"/>
      <c r="AH43" s="95"/>
      <c r="AI43" s="106" t="s">
        <v>183</v>
      </c>
      <c r="AJ43" s="106" t="s">
        <v>183</v>
      </c>
      <c r="AK43" s="106" t="s">
        <v>183</v>
      </c>
      <c r="AL43" s="106" t="s">
        <v>183</v>
      </c>
      <c r="AM43" s="106" t="s">
        <v>255</v>
      </c>
      <c r="AN43" s="106" t="s">
        <v>255</v>
      </c>
      <c r="AO43" s="106" t="s">
        <v>255</v>
      </c>
      <c r="AP43" s="106" t="s">
        <v>255</v>
      </c>
      <c r="AQ43" s="91" t="b">
        <f>AND(AND(OR(AND($P$6=TRUE,$P43&lt;&gt;""),AND($Q$6=TRUE,$Q43&lt;&gt;""),AND($R$6=TRUE,$R43&lt;&gt;"")),AND($S$6=TRUE,$S43&lt;&gt;""),OR(AND($T$6=TRUE,$T43&lt;&gt;""),AND($U$6=TRUE,$U43&lt;&gt;""),AND($V$6=TRUE,$V43&lt;&gt;""),AND($W$6=TRUE,$W43&lt;&gt;""),AND($X$6=TRUE,$X43&lt;&gt;""),AND($Y$6=TRUE,$Y43&lt;&gt;""),AND($Z$6=TRUE,$Z43&lt;&gt;""),AND($AA$6=TRUE,$AA43&lt;&gt;""),AND($AB$6=TRUE,$AB43&lt;&gt;""),AND($AC$6=TRUE,$AC43&lt;&gt;""),AND($AD$6=TRUE,$AD43&lt;&gt;""))),OR(AND($AE$6=TRUE,$AE43&lt;&gt;""),AND($AF$6=TRUE,$AF43&lt;&gt;""),AND($AG$6=TRUE,$AG43&lt;&gt;""),AND($AH$6=TRUE,$AH43&lt;&gt;"")),NOT(AND(NOT(AND($AI$6=FALSE,$AK$6=FALSE,$AM$6=FALSE,$AO$6=FALSE)),OR($AI$6=FALSE,AND($AI$6=TRUE,$AI43&lt;&gt;"",$AJ43&lt;&gt;"")),OR($AK$6=FALSE,AND($AK$6=TRUE,$AK43&lt;&gt;"",$AL43&lt;&gt;"")),OR($AM$6=FALSE,AND($AM$6=TRUE,$AM43&lt;&gt;"",$AN43&lt;&gt;"")),OR($AO$6=FALSE,AND($AO$6=TRUE,$AO43&lt;&gt;"",$AP43&lt;&gt;"")))))</f>
        <v>0</v>
      </c>
      <c r="AR43" s="108"/>
      <c r="AS43" s="108"/>
      <c r="AT43" s="108"/>
      <c r="AU43" s="108"/>
      <c r="AV43" s="170" t="str">
        <f>IF(AR43&lt;&gt;"","セキュリティ管理/","")&amp;IF(AS43&lt;&gt;"","マルウェア/","")&amp;IF(AT43&lt;&gt;"","クラウド/","")&amp;IF(AU43&lt;&gt;"","別表1,2,3","")</f>
        <v/>
      </c>
      <c r="AW43" s="108"/>
    </row>
    <row r="44" spans="1:49" ht="180">
      <c r="A44" s="75"/>
      <c r="B44" s="82"/>
      <c r="C44" s="71" t="s">
        <v>1000</v>
      </c>
      <c r="D44" s="90" t="s">
        <v>577</v>
      </c>
      <c r="E44" s="91" t="str">
        <f>'インフラ(自社DC)'!E40</f>
        <v>マイナンバー（法人番号は含まない）を保管するシステムは以下の要件を全て満たしているか。
・参照・登録を行うＷｅｂアプリケーションサーバ（以下Ｗｅｂサーバ）と、データを保管するデータベースサーバ（以下ＤＢサーバ）で構成する
・マイナンバーはＤＢサーバにのみ保管する
・ＤＢサーバに対する通信は、特定の機器からのみ可能とする制御を行う
・ひとり一台端末からの業務利用を前提とし、インターネットからのアクセスを不可とする</v>
      </c>
      <c r="F44" s="99" t="s">
        <v>995</v>
      </c>
      <c r="G44" s="92" t="s">
        <v>361</v>
      </c>
      <c r="H44" s="181"/>
      <c r="I44" s="98"/>
      <c r="J44" s="93"/>
      <c r="K44" s="93"/>
      <c r="L44" s="93"/>
      <c r="M44" s="94"/>
      <c r="N44" s="247"/>
      <c r="O44" s="111" cm="1">
        <f t="array" ref="O44">IF(AQ44=TRUE,_xlfn.IFS(M44=1,2,M44="",IF(N44="",1,2)),0)</f>
        <v>0</v>
      </c>
      <c r="P44" s="95" t="s">
        <v>255</v>
      </c>
      <c r="Q44" s="95" t="s">
        <v>183</v>
      </c>
      <c r="R44" s="95" t="s">
        <v>183</v>
      </c>
      <c r="S44" s="95" t="s">
        <v>183</v>
      </c>
      <c r="U44" s="96"/>
      <c r="V44" s="96"/>
      <c r="W44" s="96"/>
      <c r="X44" s="96" t="s">
        <v>448</v>
      </c>
      <c r="Y44" s="95"/>
      <c r="Z44" s="95"/>
      <c r="AA44" s="95"/>
      <c r="AB44" s="96"/>
      <c r="AC44" s="96" t="s">
        <v>183</v>
      </c>
      <c r="AD44" s="96"/>
      <c r="AE44" s="95" t="s">
        <v>183</v>
      </c>
      <c r="AF44" s="95" t="s">
        <v>183</v>
      </c>
      <c r="AG44" s="95"/>
      <c r="AH44" s="95"/>
      <c r="AI44" s="106"/>
      <c r="AJ44" s="106" t="s">
        <v>183</v>
      </c>
      <c r="AK44" s="106"/>
      <c r="AL44" s="106" t="s">
        <v>183</v>
      </c>
      <c r="AM44" s="106"/>
      <c r="AN44" s="106" t="s">
        <v>255</v>
      </c>
      <c r="AO44" s="106"/>
      <c r="AP44" s="106" t="s">
        <v>255</v>
      </c>
      <c r="AQ44" s="91" t="b">
        <f>AND(AND(OR(AND($P$6=TRUE,$P44&lt;&gt;""),AND($Q$6=TRUE,$Q44&lt;&gt;""),AND($R$6=TRUE,$R44&lt;&gt;"")),AND($S$6=TRUE,$S44&lt;&gt;""),OR(AND($T$6=TRUE,$T44&lt;&gt;""),AND($U$6=TRUE,$U44&lt;&gt;""),AND($V$6=TRUE,$V44&lt;&gt;""),AND($W$6=TRUE,$W44&lt;&gt;""),AND($X$6=TRUE,$X44&lt;&gt;""),AND($Y$6=TRUE,$Y44&lt;&gt;""),AND($Z$6=TRUE,$Z44&lt;&gt;""),AND($AA$6=TRUE,$AA44&lt;&gt;""),AND($AB$6=TRUE,$AB44&lt;&gt;""),AND($AC$6=TRUE,$AC44&lt;&gt;""),AND($AD$6=TRUE,$AD44&lt;&gt;""))),OR(AND($AE$6=TRUE,$AE44&lt;&gt;""),AND($AF$6=TRUE,$AF44&lt;&gt;""),AND($AG$6=TRUE,$AG44&lt;&gt;""),AND($AH$6=TRUE,$AH44&lt;&gt;"")),NOT(AND(NOT(AND($AI$6=FALSE,$AK$6=FALSE,$AM$6=FALSE,$AO$6=FALSE)),OR($AI$6=FALSE,AND($AI$6=TRUE,$AI44&lt;&gt;"",$AJ44&lt;&gt;"")),OR($AK$6=FALSE,AND($AK$6=TRUE,$AK44&lt;&gt;"",$AL44&lt;&gt;"")),OR($AM$6=FALSE,AND($AM$6=TRUE,$AM44&lt;&gt;"",$AN44&lt;&gt;"")),OR($AO$6=FALSE,AND($AO$6=TRUE,$AO44&lt;&gt;"",$AP44&lt;&gt;"")))))</f>
        <v>0</v>
      </c>
      <c r="AR44" s="108"/>
      <c r="AS44" s="108"/>
      <c r="AT44" s="108"/>
      <c r="AU44" s="108"/>
      <c r="AV44" s="170" t="str">
        <f>IF(AR44&lt;&gt;"","セキュリティ管理/","")&amp;IF(AS44&lt;&gt;"","マルウェア/","")&amp;IF(AT44&lt;&gt;"","クラウド/","")&amp;IF(AU44&lt;&gt;"","別表1,2,3","")</f>
        <v/>
      </c>
      <c r="AW44" s="108" t="s">
        <v>768</v>
      </c>
    </row>
    <row r="45" spans="1:49" ht="202.5">
      <c r="A45" s="75"/>
      <c r="B45" s="82"/>
      <c r="C45" s="71" t="s">
        <v>1001</v>
      </c>
      <c r="D45" s="90" t="s">
        <v>581</v>
      </c>
      <c r="E45" s="107" t="str">
        <f>'インフラ(自社DC)'!E41</f>
        <v>対応ランクAシステムは、セキュリティインシデントによりサーバが停止した（あるいは停止せざるを得ない）場合に備えて、同一サーバ以外の環境からユーザにサービス停止の旨を案内するSorryページを用意しているか。
同一サーバ以外とは、例えば別のサーバやクラウド環境が挙げられる。
なお、オンプレセキュアドGWを通る環境については、共通的なSorryページの仕組みを構築している。実装にあたっては、以下キャビネに掲載の方法を参照願う。
https://cc.tm.millea.co.jp/fw/dfw/SFDCLI/common/Login?startURL=https%3A%2F%2Ftokiomarine--c.vf.force.com%2Fa091000007009KAAAY</v>
      </c>
      <c r="F45" s="126" t="s">
        <v>995</v>
      </c>
      <c r="G45" s="92" t="s">
        <v>361</v>
      </c>
      <c r="H45" s="181"/>
      <c r="I45" s="98"/>
      <c r="J45" s="93"/>
      <c r="K45" s="93"/>
      <c r="L45" s="93"/>
      <c r="M45" s="94"/>
      <c r="N45" s="247"/>
      <c r="O45" s="111" cm="1">
        <f t="array" ref="O45">IF(AQ45=TRUE,_xlfn.IFS(M45=1,2,M45="",IF(N45="",1,2)),0)</f>
        <v>0</v>
      </c>
      <c r="P45" s="95" t="s">
        <v>255</v>
      </c>
      <c r="Q45" s="95" t="s">
        <v>183</v>
      </c>
      <c r="R45" s="95" t="s">
        <v>183</v>
      </c>
      <c r="S45" s="95" t="s">
        <v>183</v>
      </c>
      <c r="U45" s="96"/>
      <c r="V45" s="96"/>
      <c r="W45" s="96"/>
      <c r="X45" s="96" t="s">
        <v>448</v>
      </c>
      <c r="Y45" s="95"/>
      <c r="Z45" s="95"/>
      <c r="AA45" s="95"/>
      <c r="AB45" s="96"/>
      <c r="AC45" s="96"/>
      <c r="AD45" s="96" t="s">
        <v>183</v>
      </c>
      <c r="AE45" s="95" t="s">
        <v>183</v>
      </c>
      <c r="AF45" s="95" t="s">
        <v>183</v>
      </c>
      <c r="AG45" s="95"/>
      <c r="AH45" s="95"/>
      <c r="AI45" s="106"/>
      <c r="AJ45" s="106"/>
      <c r="AK45" s="106"/>
      <c r="AL45" s="106"/>
      <c r="AM45" s="106"/>
      <c r="AN45" s="106"/>
      <c r="AO45" s="106"/>
      <c r="AP45" s="106"/>
      <c r="AQ45" s="91" t="b">
        <f>AND(AND(OR(AND($P$6=TRUE,$P45&lt;&gt;""),AND($Q$6=TRUE,$Q45&lt;&gt;""),AND($R$6=TRUE,$R45&lt;&gt;"")),AND($S$6=TRUE,$S45&lt;&gt;""),OR(AND($T$6=TRUE,$T45&lt;&gt;""),AND($U$6=TRUE,$U45&lt;&gt;""),AND($V$6=TRUE,$V45&lt;&gt;""),AND($W$6=TRUE,$W45&lt;&gt;""),AND($X$6=TRUE,$X45&lt;&gt;""),AND($Y$6=TRUE,$Y45&lt;&gt;""),AND($Z$6=TRUE,$Z45&lt;&gt;""),AND($AA$6=TRUE,$AA45&lt;&gt;""),AND($AB$6=TRUE,$AB45&lt;&gt;""),AND($AC$6=TRUE,$AC45&lt;&gt;""),AND($AD$6=TRUE,$AD45&lt;&gt;""))),OR(AND($AE$6=TRUE,$AE45&lt;&gt;""),AND($AF$6=TRUE,$AF45&lt;&gt;""),AND($AG$6=TRUE,$AG45&lt;&gt;""),AND($AH$6=TRUE,$AH45&lt;&gt;"")),NOT(AND(NOT(AND($AI$6=FALSE,$AK$6=FALSE,$AM$6=FALSE,$AO$6=FALSE)),OR($AI$6=FALSE,AND($AI$6=TRUE,$AI45&lt;&gt;"",$AJ45&lt;&gt;"")),OR($AK$6=FALSE,AND($AK$6=TRUE,$AK45&lt;&gt;"",$AL45&lt;&gt;"")),OR($AM$6=FALSE,AND($AM$6=TRUE,$AM45&lt;&gt;"",$AN45&lt;&gt;"")),OR($AO$6=FALSE,AND($AO$6=TRUE,$AO45&lt;&gt;"",$AP45&lt;&gt;"")))))</f>
        <v>0</v>
      </c>
      <c r="AR45" s="108"/>
      <c r="AS45" s="108"/>
      <c r="AT45" s="108"/>
      <c r="AU45" s="108"/>
      <c r="AV45" s="170" t="str">
        <f>IF(AR45&lt;&gt;"","セキュリティ管理/","")&amp;IF(AS45&lt;&gt;"","マルウェア/","")&amp;IF(AT45&lt;&gt;"","クラウド/","")&amp;IF(AU45&lt;&gt;"","別表1,2,3","")</f>
        <v/>
      </c>
      <c r="AW45" s="108" t="s">
        <v>575</v>
      </c>
    </row>
    <row r="46" spans="1:49" ht="22.5">
      <c r="A46" s="75"/>
      <c r="B46" s="82" t="s">
        <v>771</v>
      </c>
      <c r="C46" s="58"/>
      <c r="D46" s="82"/>
      <c r="E46" s="82"/>
      <c r="F46" s="83"/>
      <c r="G46" s="82"/>
      <c r="H46" s="85"/>
      <c r="I46" s="86"/>
      <c r="J46" s="82"/>
      <c r="K46" s="82"/>
      <c r="L46" s="82"/>
      <c r="M46" s="129"/>
      <c r="N46" s="246"/>
      <c r="O46" s="246"/>
      <c r="P46" s="129"/>
      <c r="Q46" s="129"/>
      <c r="R46" s="129"/>
      <c r="S46" s="129"/>
      <c r="T46" s="129"/>
      <c r="U46" s="129"/>
      <c r="V46" s="129"/>
      <c r="W46" s="129"/>
      <c r="X46" s="129"/>
      <c r="Y46" s="129"/>
      <c r="Z46" s="129"/>
      <c r="AA46" s="129"/>
      <c r="AB46" s="129"/>
      <c r="AC46" s="129"/>
      <c r="AD46" s="129"/>
      <c r="AE46" s="129"/>
      <c r="AF46" s="129"/>
      <c r="AG46" s="129"/>
      <c r="AH46" s="129"/>
      <c r="AI46" s="129"/>
      <c r="AJ46" s="129"/>
      <c r="AK46" s="129"/>
      <c r="AL46" s="129"/>
      <c r="AM46" s="129"/>
      <c r="AN46" s="129"/>
      <c r="AO46" s="129"/>
      <c r="AP46" s="129"/>
      <c r="AQ46" s="129" t="s">
        <v>268</v>
      </c>
      <c r="AR46" s="129"/>
      <c r="AS46" s="129"/>
      <c r="AT46" s="129"/>
      <c r="AU46" s="129"/>
      <c r="AV46" s="129"/>
      <c r="AW46" s="129"/>
    </row>
    <row r="47" spans="1:49" ht="45">
      <c r="A47" s="75"/>
      <c r="B47" s="82"/>
      <c r="C47" s="71" t="s">
        <v>1002</v>
      </c>
      <c r="D47" s="90" t="s">
        <v>772</v>
      </c>
      <c r="E47" s="91" t="str">
        <f>'インフラ(自社DC)'!E43</f>
        <v>本番運用に用いる端末、サーバ等へのログオン後、端末操作が最長で１０分間ない場合は、画面を自動的にログオフし、再ログオンが必要となるよう設定にしているか</v>
      </c>
      <c r="F47" s="91" t="s">
        <v>1003</v>
      </c>
      <c r="G47" s="92" t="s">
        <v>254</v>
      </c>
      <c r="H47" s="181"/>
      <c r="I47" s="98"/>
      <c r="J47" s="93"/>
      <c r="K47" s="93"/>
      <c r="L47" s="93"/>
      <c r="M47" s="94"/>
      <c r="N47" s="247"/>
      <c r="O47" s="111" cm="1">
        <f t="array" ref="O47">IF(AQ47=TRUE,_xlfn.IFS(M47=1,2,M47="",IF(N47="",1,2)),0)</f>
        <v>0</v>
      </c>
      <c r="P47" s="95" t="s">
        <v>255</v>
      </c>
      <c r="Q47" s="95" t="s">
        <v>183</v>
      </c>
      <c r="R47" s="95" t="s">
        <v>183</v>
      </c>
      <c r="S47" s="95" t="s">
        <v>183</v>
      </c>
      <c r="T47" s="96" t="s">
        <v>183</v>
      </c>
      <c r="U47" s="96"/>
      <c r="V47" s="96"/>
      <c r="W47" s="96"/>
      <c r="X47" s="96" t="s">
        <v>448</v>
      </c>
      <c r="Y47" s="95"/>
      <c r="Z47" s="95"/>
      <c r="AA47" s="95"/>
      <c r="AB47" s="96"/>
      <c r="AC47" s="96"/>
      <c r="AD47" s="96"/>
      <c r="AE47" s="95" t="s">
        <v>183</v>
      </c>
      <c r="AF47" s="95" t="s">
        <v>183</v>
      </c>
      <c r="AG47" s="95"/>
      <c r="AH47" s="95"/>
      <c r="AI47" s="106" t="s">
        <v>183</v>
      </c>
      <c r="AJ47" s="106" t="s">
        <v>183</v>
      </c>
      <c r="AK47" s="106" t="s">
        <v>183</v>
      </c>
      <c r="AL47" s="106" t="s">
        <v>183</v>
      </c>
      <c r="AM47" s="106" t="s">
        <v>255</v>
      </c>
      <c r="AN47" s="106" t="s">
        <v>255</v>
      </c>
      <c r="AO47" s="106" t="s">
        <v>255</v>
      </c>
      <c r="AP47" s="106" t="s">
        <v>255</v>
      </c>
      <c r="AQ47" s="91" t="b">
        <f>AND(AND(OR(AND($P$6=TRUE,$P47&lt;&gt;""),AND($Q$6=TRUE,$Q47&lt;&gt;""),AND($R$6=TRUE,$R47&lt;&gt;"")),AND($S$6=TRUE,$S47&lt;&gt;""),OR(AND($T$6=TRUE,$T47&lt;&gt;""),AND($U$6=TRUE,$U47&lt;&gt;""),AND($V$6=TRUE,$V47&lt;&gt;""),AND($W$6=TRUE,$W47&lt;&gt;""),AND($X$6=TRUE,$X47&lt;&gt;""),AND($Y$6=TRUE,$Y47&lt;&gt;""),AND($Z$6=TRUE,$Z47&lt;&gt;""),AND($AA$6=TRUE,$AA47&lt;&gt;""),AND($AB$6=TRUE,$AB47&lt;&gt;""),AND($AC$6=TRUE,$AC47&lt;&gt;""),AND($AD$6=TRUE,$AD47&lt;&gt;""))),OR(AND($AE$6=TRUE,$AE47&lt;&gt;""),AND($AF$6=TRUE,$AF47&lt;&gt;""),AND($AG$6=TRUE,$AG47&lt;&gt;""),AND($AH$6=TRUE,$AH47&lt;&gt;"")),NOT(AND(NOT(AND($AI$6=FALSE,$AK$6=FALSE,$AM$6=FALSE,$AO$6=FALSE)),OR($AI$6=FALSE,AND($AI$6=TRUE,$AI47&lt;&gt;"",$AJ47&lt;&gt;"")),OR($AK$6=FALSE,AND($AK$6=TRUE,$AK47&lt;&gt;"",$AL47&lt;&gt;"")),OR($AM$6=FALSE,AND($AM$6=TRUE,$AM47&lt;&gt;"",$AN47&lt;&gt;"")),OR($AO$6=FALSE,AND($AO$6=TRUE,$AO47&lt;&gt;"",$AP47&lt;&gt;"")))))</f>
        <v>0</v>
      </c>
      <c r="AR47" s="108"/>
      <c r="AS47" s="108"/>
      <c r="AT47" s="108"/>
      <c r="AU47" s="108"/>
      <c r="AV47" s="170" t="str">
        <f>IF(AR47&lt;&gt;"","セキュリティ管理/","")&amp;IF(AS47&lt;&gt;"","マルウェア/","")&amp;IF(AT47&lt;&gt;"","クラウド/","")&amp;IF(AU47&lt;&gt;"","別表1,2,3","")</f>
        <v/>
      </c>
      <c r="AW47" s="108" t="s">
        <v>2198</v>
      </c>
    </row>
    <row r="48" spans="1:49" ht="409.5">
      <c r="A48" s="75"/>
      <c r="B48" s="82"/>
      <c r="C48" s="71" t="s">
        <v>1004</v>
      </c>
      <c r="D48" s="71" t="s">
        <v>773</v>
      </c>
      <c r="E48" s="107" t="str">
        <f>'インフラ(自社DC)'!E44</f>
        <v>（注意）本セルは、記載が多く表示に収まっていないため、セル末尾の★★★ここまで★★★まで確認すること
本要件は、以下の●全てを満たす場合に回答すること。
●構築または改修対象が社内向けシステム(※)である
●上記システムへのテレワークによるリモートアクセスが想定される
　※「ひとり一台端末」等の社内業務端末も社内向けシステムの定義に含む
上記の条件を満たす場合、テレワークの際にリモートアクセス元となる端末（手元端末）は、以下の全ての要件を満たしているか。
なお、既にリモートアクセスを行っている手元端末(ひとり一台の手元端末やIntune管理されたスマートフォン)の場合は、既に下記を満たしているため「YES」と回答願う。
・手元端末にログインする際のパスワードは3種12桁以上もしくは4種10桁以上を設定する
・アンチウイルスソフトやOS 等のファイアウォール機能の有効化を行うよう利用者に周知徹底する
・アクセス時は業務上必要のない機能を無効化するよう利用者に周知徹底する
・公衆無線LAN 等のネットワークは使用しないよう利用者に周知徹底する
・個人所有ネットワーク機器から社内端末へのアクセスを許可する場合は、同一のネットワークに接続する別の端末や機器についてのセキュリティ対策を定義し、必要な対策を利用者に周知徹底する
・無線LANルータを利用する場合は、WPA2（Wi-Fi Protected Access 2）またはWPA3（Wi-Fi Protected Access 3）方式を採用し、暗号化のためのパスワード及び無線LAN ルータの管理者パスワードを第三者に推測されにくいものにするよう利用者に周知徹底する
・手元端末を廃棄する場合はデータが完全に復元不可能な状態となる措置を講ずる
・手元端末の紛失・盗難に備え、MDM（Mobile Device Management）ソリューション等を導入し、遠隔制御でのデータ・アカウント初期化、ログイン時のパスワード認証の強制、HDD やSSD の暗号化等の機能を有効化する
・手元端末が社内ネットワークを経由せずにインターネットに接続できる構成を採用する場合は、クラウドプロキシサービス等の外部の通信制御を行うサービスを利用する
・手元端末へのデータ保存を制限する
★★★ここまで★★★</v>
      </c>
      <c r="F48" s="99" t="s">
        <v>995</v>
      </c>
      <c r="G48" s="92" t="s">
        <v>254</v>
      </c>
      <c r="H48" s="181"/>
      <c r="I48" s="98"/>
      <c r="J48" s="93"/>
      <c r="K48" s="93"/>
      <c r="L48" s="93"/>
      <c r="M48" s="94"/>
      <c r="N48" s="247"/>
      <c r="O48" s="111" cm="1">
        <f t="array" ref="O48">IF(AQ48=TRUE,_xlfn.IFS(M48=1,2,M48="",IF(N48="",1,2)),0)</f>
        <v>0</v>
      </c>
      <c r="P48" s="95" t="s">
        <v>255</v>
      </c>
      <c r="Q48" s="95" t="s">
        <v>183</v>
      </c>
      <c r="R48" s="95" t="s">
        <v>183</v>
      </c>
      <c r="S48" s="95" t="s">
        <v>183</v>
      </c>
      <c r="T48" s="96" t="s">
        <v>183</v>
      </c>
      <c r="U48" s="96"/>
      <c r="V48" s="96"/>
      <c r="W48" s="96"/>
      <c r="X48" s="96" t="s">
        <v>448</v>
      </c>
      <c r="Y48" s="95"/>
      <c r="Z48" s="95"/>
      <c r="AA48" s="95"/>
      <c r="AB48" s="96"/>
      <c r="AC48" s="96"/>
      <c r="AD48" s="96"/>
      <c r="AE48" s="95" t="s">
        <v>183</v>
      </c>
      <c r="AF48" s="95" t="s">
        <v>183</v>
      </c>
      <c r="AG48" s="95"/>
      <c r="AH48" s="95"/>
      <c r="AI48" s="106"/>
      <c r="AJ48" s="106"/>
      <c r="AK48" s="106"/>
      <c r="AL48" s="106"/>
      <c r="AM48" s="106"/>
      <c r="AN48" s="106"/>
      <c r="AO48" s="106"/>
      <c r="AP48" s="106"/>
      <c r="AQ48" s="91" t="b">
        <f>AND(AND(OR(AND($P$6=TRUE,$P48&lt;&gt;""),AND($Q$6=TRUE,$Q48&lt;&gt;""),AND($R$6=TRUE,$R48&lt;&gt;"")),AND($S$6=TRUE,$S48&lt;&gt;""),OR(AND($T$6=TRUE,$T48&lt;&gt;""),AND($U$6=TRUE,$U48&lt;&gt;""),AND($V$6=TRUE,$V48&lt;&gt;""),AND($W$6=TRUE,$W48&lt;&gt;""),AND($X$6=TRUE,$X48&lt;&gt;""),AND($Y$6=TRUE,$Y48&lt;&gt;""),AND($Z$6=TRUE,$Z48&lt;&gt;""),AND($AA$6=TRUE,$AA48&lt;&gt;""),AND($AB$6=TRUE,$AB48&lt;&gt;""),AND($AC$6=TRUE,$AC48&lt;&gt;""),AND($AD$6=TRUE,$AD48&lt;&gt;""))),OR(AND($AE$6=TRUE,$AE48&lt;&gt;""),AND($AF$6=TRUE,$AF48&lt;&gt;""),AND($AG$6=TRUE,$AG48&lt;&gt;""),AND($AH$6=TRUE,$AH48&lt;&gt;"")),NOT(AND(NOT(AND($AI$6=FALSE,$AK$6=FALSE,$AM$6=FALSE,$AO$6=FALSE)),OR($AI$6=FALSE,AND($AI$6=TRUE,$AI48&lt;&gt;"",$AJ48&lt;&gt;"")),OR($AK$6=FALSE,AND($AK$6=TRUE,$AK48&lt;&gt;"",$AL48&lt;&gt;"")),OR($AM$6=FALSE,AND($AM$6=TRUE,$AM48&lt;&gt;"",$AN48&lt;&gt;"")),OR($AO$6=FALSE,AND($AO$6=TRUE,$AO48&lt;&gt;"",$AP48&lt;&gt;"")))))</f>
        <v>0</v>
      </c>
      <c r="AR48" s="108"/>
      <c r="AS48" s="108"/>
      <c r="AT48" s="108"/>
      <c r="AU48" s="108"/>
      <c r="AV48" s="170" t="str">
        <f>IF(AR48&lt;&gt;"","セキュリティ管理/","")&amp;IF(AS48&lt;&gt;"","マルウェア/","")&amp;IF(AT48&lt;&gt;"","クラウド/","")&amp;IF(AU48&lt;&gt;"","別表1,2,3","")</f>
        <v/>
      </c>
      <c r="AW48" s="108" t="s">
        <v>575</v>
      </c>
    </row>
    <row r="49" spans="1:49" ht="22.5">
      <c r="A49" s="75"/>
      <c r="B49" s="82" t="s">
        <v>775</v>
      </c>
      <c r="C49" s="58"/>
      <c r="D49" s="82"/>
      <c r="E49" s="82"/>
      <c r="F49" s="83"/>
      <c r="G49" s="82"/>
      <c r="H49" s="85"/>
      <c r="I49" s="86"/>
      <c r="J49" s="82"/>
      <c r="K49" s="82"/>
      <c r="L49" s="82"/>
      <c r="M49" s="129"/>
      <c r="N49" s="246"/>
      <c r="O49" s="246"/>
      <c r="P49" s="129"/>
      <c r="Q49" s="129"/>
      <c r="R49" s="129"/>
      <c r="S49" s="129"/>
      <c r="T49" s="129"/>
      <c r="U49" s="129"/>
      <c r="V49" s="129"/>
      <c r="W49" s="129"/>
      <c r="X49" s="129"/>
      <c r="Y49" s="129"/>
      <c r="Z49" s="129"/>
      <c r="AA49" s="129"/>
      <c r="AB49" s="129"/>
      <c r="AC49" s="129"/>
      <c r="AD49" s="129"/>
      <c r="AE49" s="129"/>
      <c r="AF49" s="129"/>
      <c r="AG49" s="129"/>
      <c r="AH49" s="129"/>
      <c r="AI49" s="129"/>
      <c r="AJ49" s="129"/>
      <c r="AK49" s="129"/>
      <c r="AL49" s="129"/>
      <c r="AM49" s="129"/>
      <c r="AN49" s="129"/>
      <c r="AO49" s="129"/>
      <c r="AP49" s="129"/>
      <c r="AQ49" s="129" t="s">
        <v>268</v>
      </c>
      <c r="AR49" s="129"/>
      <c r="AS49" s="129"/>
      <c r="AT49" s="129"/>
      <c r="AU49" s="129"/>
      <c r="AV49" s="129"/>
      <c r="AW49" s="129"/>
    </row>
    <row r="50" spans="1:49" ht="135">
      <c r="A50" s="75"/>
      <c r="B50" s="82"/>
      <c r="C50" s="71" t="s">
        <v>1005</v>
      </c>
      <c r="D50" s="90" t="s">
        <v>776</v>
      </c>
      <c r="E50" s="107" t="str">
        <f>'インフラ(自社DC)'!E46</f>
        <v>業務データを扱う機器、電子媒体および書類等については、以下の盗難・紛失防止策を講じているか。
例：
・施錠できるキャビネット・書庫等への保管
・機器盗難防止のためのセキュリティワイヤーによる固定</v>
      </c>
      <c r="F50" s="91" t="s">
        <v>1006</v>
      </c>
      <c r="G50" s="92" t="s">
        <v>254</v>
      </c>
      <c r="H50" s="181"/>
      <c r="I50" s="98"/>
      <c r="J50" s="93"/>
      <c r="K50" s="93"/>
      <c r="L50" s="93"/>
      <c r="M50" s="94"/>
      <c r="N50" s="247"/>
      <c r="O50" s="111" cm="1">
        <f t="array" ref="O50">IF(AQ50=TRUE,_xlfn.IFS(M50=1,2,M50="",IF(N50="",1,2)),0)</f>
        <v>0</v>
      </c>
      <c r="P50" s="95" t="s">
        <v>255</v>
      </c>
      <c r="Q50" s="95" t="s">
        <v>255</v>
      </c>
      <c r="R50" s="95" t="s">
        <v>255</v>
      </c>
      <c r="S50" s="95" t="s">
        <v>255</v>
      </c>
      <c r="T50" s="96"/>
      <c r="U50" s="96"/>
      <c r="V50" s="96"/>
      <c r="W50" s="96"/>
      <c r="X50" s="96" t="s">
        <v>448</v>
      </c>
      <c r="Y50" s="95"/>
      <c r="Z50" s="95"/>
      <c r="AA50" s="95"/>
      <c r="AB50" s="96"/>
      <c r="AC50" s="96"/>
      <c r="AD50" s="96"/>
      <c r="AE50" s="95" t="s">
        <v>183</v>
      </c>
      <c r="AF50" s="95" t="s">
        <v>183</v>
      </c>
      <c r="AG50" s="95"/>
      <c r="AH50" s="95"/>
      <c r="AI50" s="106" t="s">
        <v>183</v>
      </c>
      <c r="AJ50" s="106" t="s">
        <v>183</v>
      </c>
      <c r="AK50" s="106" t="s">
        <v>183</v>
      </c>
      <c r="AL50" s="106" t="s">
        <v>183</v>
      </c>
      <c r="AM50" s="106"/>
      <c r="AN50" s="106"/>
      <c r="AO50" s="106"/>
      <c r="AP50" s="106"/>
      <c r="AQ50" s="91" t="b">
        <f>AND(AND(OR(AND($P$6=TRUE,$P50&lt;&gt;""),AND($Q$6=TRUE,$Q50&lt;&gt;""),AND($R$6=TRUE,$R50&lt;&gt;"")),AND($S$6=TRUE,$S50&lt;&gt;""),OR(AND($T$6=TRUE,$T50&lt;&gt;""),AND($U$6=TRUE,$U50&lt;&gt;""),AND($V$6=TRUE,$V50&lt;&gt;""),AND($W$6=TRUE,$W50&lt;&gt;""),AND($X$6=TRUE,$X50&lt;&gt;""),AND($Y$6=TRUE,$Y50&lt;&gt;""),AND($Z$6=TRUE,$Z50&lt;&gt;""),AND($AA$6=TRUE,$AA50&lt;&gt;""),AND($AB$6=TRUE,$AB50&lt;&gt;""),AND($AC$6=TRUE,$AC50&lt;&gt;""),AND($AD$6=TRUE,$AD50&lt;&gt;""))),OR(AND($AE$6=TRUE,$AE50&lt;&gt;""),AND($AF$6=TRUE,$AF50&lt;&gt;""),AND($AG$6=TRUE,$AG50&lt;&gt;""),AND($AH$6=TRUE,$AH50&lt;&gt;"")),NOT(AND(NOT(AND($AI$6=FALSE,$AK$6=FALSE,$AM$6=FALSE,$AO$6=FALSE)),OR($AI$6=FALSE,AND($AI$6=TRUE,$AI50&lt;&gt;"",$AJ50&lt;&gt;"")),OR($AK$6=FALSE,AND($AK$6=TRUE,$AK50&lt;&gt;"",$AL50&lt;&gt;"")),OR($AM$6=FALSE,AND($AM$6=TRUE,$AM50&lt;&gt;"",$AN50&lt;&gt;"")),OR($AO$6=FALSE,AND($AO$6=TRUE,$AO50&lt;&gt;"",$AP50&lt;&gt;"")))))</f>
        <v>0</v>
      </c>
      <c r="AR50" s="108"/>
      <c r="AS50" s="108"/>
      <c r="AT50" s="108"/>
      <c r="AU50" s="108"/>
      <c r="AV50" s="170" t="str">
        <f>IF(AR50&lt;&gt;"","セキュリティ管理/","")&amp;IF(AS50&lt;&gt;"","マルウェア/","")&amp;IF(AT50&lt;&gt;"","クラウド/","")&amp;IF(AU50&lt;&gt;"","別表1,2,3","")</f>
        <v/>
      </c>
      <c r="AW50" s="108" t="s">
        <v>359</v>
      </c>
    </row>
    <row r="51" spans="1:49" ht="22.5">
      <c r="A51" s="75" t="s">
        <v>778</v>
      </c>
      <c r="B51" s="75"/>
      <c r="C51" s="113"/>
      <c r="D51" s="76"/>
      <c r="E51" s="77"/>
      <c r="F51" s="77"/>
      <c r="G51" s="78"/>
      <c r="H51" s="78"/>
      <c r="I51" s="79"/>
      <c r="J51" s="78"/>
      <c r="K51" s="78"/>
      <c r="L51" s="78"/>
      <c r="M51" s="80"/>
      <c r="N51" s="245"/>
      <c r="O51" s="245"/>
      <c r="P51" s="80"/>
      <c r="Q51" s="80"/>
      <c r="R51" s="80"/>
      <c r="S51" s="80"/>
      <c r="T51" s="80"/>
      <c r="U51" s="80"/>
      <c r="V51" s="80"/>
      <c r="W51" s="80"/>
      <c r="X51" s="80"/>
      <c r="Y51" s="80"/>
      <c r="Z51" s="80"/>
      <c r="AA51" s="80"/>
      <c r="AB51" s="80"/>
      <c r="AC51" s="80"/>
      <c r="AD51" s="80"/>
      <c r="AE51" s="80"/>
      <c r="AF51" s="80"/>
      <c r="AG51" s="80"/>
      <c r="AH51" s="80"/>
      <c r="AI51" s="80"/>
      <c r="AJ51" s="80"/>
      <c r="AK51" s="80"/>
      <c r="AL51" s="80"/>
      <c r="AM51" s="80"/>
      <c r="AN51" s="80"/>
      <c r="AO51" s="80"/>
      <c r="AP51" s="80"/>
      <c r="AQ51" s="80" t="s">
        <v>268</v>
      </c>
      <c r="AR51" s="80"/>
      <c r="AS51" s="80"/>
      <c r="AT51" s="80"/>
      <c r="AU51" s="80"/>
      <c r="AV51" s="80"/>
      <c r="AW51" s="80"/>
    </row>
    <row r="52" spans="1:49" ht="22.5">
      <c r="A52" s="75"/>
      <c r="B52" s="82" t="s">
        <v>779</v>
      </c>
      <c r="C52" s="115"/>
      <c r="D52" s="83"/>
      <c r="E52" s="84"/>
      <c r="F52" s="84"/>
      <c r="G52" s="85"/>
      <c r="H52" s="85"/>
      <c r="I52" s="86"/>
      <c r="J52" s="85"/>
      <c r="K52" s="85"/>
      <c r="L52" s="85"/>
      <c r="M52" s="87"/>
      <c r="N52" s="246"/>
      <c r="O52" s="246"/>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t="s">
        <v>268</v>
      </c>
      <c r="AR52" s="87"/>
      <c r="AS52" s="87"/>
      <c r="AT52" s="87"/>
      <c r="AU52" s="87"/>
      <c r="AV52" s="87"/>
      <c r="AW52" s="87"/>
    </row>
    <row r="53" spans="1:49" ht="409.15" customHeight="1">
      <c r="A53" s="75"/>
      <c r="B53" s="82"/>
      <c r="C53" s="71" t="s">
        <v>1007</v>
      </c>
      <c r="D53" s="90" t="s">
        <v>284</v>
      </c>
      <c r="E53" s="91" t="str">
        <f>'インフラ(自社DC)'!E49</f>
        <v>（注意）本セルは、記載が多く表示に収まっていないため、セル末尾の★★★ここまで★★★まで確認すること
（回答で「YES」を選択した場合でも、OSの種別と台数を備考欄に記入する。）
システムの開発、運用、管理に用いる全てのWindows PC、Windowsサーバ、および外部からのファイルの流入が発生し得るWindows”以外”のサーバにアンチウイルスソフトを導入し、以下の対応を行っているか。
「外部からのファイルの流入」とは、当社のガバナンス外で作られたファイルの流入を指し、例えば以下のようなケースが挙げられる。
・システムのエンドユーザ(当社管理外の利用者)がファイルをアップロードする（POST）
・当社システムが、管理外のシステムやサイトからファイルを入手する（GET）
アンチウイルスソフトとは、パターンマッチングとヒューリスティック(振舞検知)機能を持つものを指す。
当社WindowsサーバにおいてはTrendmicro社 ServerProtectが標準である。
・アンチウイルスソフトの検索モジュールとパターンファイルの自動更新（難しい場合は少なくとも週 1 回更新）
・リアルタイムスキャンの常時有効化
・定期的なフルスキャンの実施
・スキャン結果を監査ログとして出力
・サービス稼働に必要なコンポーネントの監視除外
　(アンチウイルスソフトの誤遮断による障害リスクの低減)
★★★ここまで★★★</v>
      </c>
      <c r="F53" s="91" t="s">
        <v>1008</v>
      </c>
      <c r="G53" s="92" t="s">
        <v>254</v>
      </c>
      <c r="H53" s="181"/>
      <c r="I53" s="107" t="s">
        <v>1009</v>
      </c>
      <c r="J53" s="93" t="s">
        <v>730</v>
      </c>
      <c r="K53" s="93"/>
      <c r="L53" s="93"/>
      <c r="M53" s="94"/>
      <c r="N53" s="247"/>
      <c r="O53" s="111" cm="1">
        <f t="array" ref="O53">IF(AQ53=TRUE,_xlfn.IFS(M53=1,2,M53="",IF(N53="",1,2)),0)</f>
        <v>0</v>
      </c>
      <c r="P53" s="95" t="s">
        <v>255</v>
      </c>
      <c r="Q53" s="95" t="s">
        <v>183</v>
      </c>
      <c r="R53" s="95" t="s">
        <v>183</v>
      </c>
      <c r="S53" s="95" t="s">
        <v>183</v>
      </c>
      <c r="T53" s="96" t="s">
        <v>183</v>
      </c>
      <c r="U53" s="96"/>
      <c r="V53" s="96"/>
      <c r="W53" s="96"/>
      <c r="X53" s="96" t="s">
        <v>448</v>
      </c>
      <c r="Y53" s="95"/>
      <c r="Z53" s="95"/>
      <c r="AA53" s="95"/>
      <c r="AB53" s="96"/>
      <c r="AC53" s="96"/>
      <c r="AD53" s="96"/>
      <c r="AE53" s="95" t="s">
        <v>183</v>
      </c>
      <c r="AF53" s="95" t="s">
        <v>183</v>
      </c>
      <c r="AG53" s="95" t="s">
        <v>255</v>
      </c>
      <c r="AH53" s="95"/>
      <c r="AI53" s="106" t="s">
        <v>448</v>
      </c>
      <c r="AJ53" s="106" t="s">
        <v>448</v>
      </c>
      <c r="AK53" s="106" t="s">
        <v>448</v>
      </c>
      <c r="AL53" s="106" t="s">
        <v>448</v>
      </c>
      <c r="AM53" s="106" t="s">
        <v>183</v>
      </c>
      <c r="AN53" s="106"/>
      <c r="AO53" s="106" t="s">
        <v>183</v>
      </c>
      <c r="AP53" s="106"/>
      <c r="AQ53" s="91" t="b">
        <f>AND(AND(OR(AND($P$6=TRUE,$P53&lt;&gt;""),AND($Q$6=TRUE,$Q53&lt;&gt;""),AND($R$6=TRUE,$R53&lt;&gt;"")),AND($S$6=TRUE,$S53&lt;&gt;""),OR(AND($T$6=TRUE,$T53&lt;&gt;""),AND($U$6=TRUE,$U53&lt;&gt;""),AND($V$6=TRUE,$V53&lt;&gt;""),AND($W$6=TRUE,$W53&lt;&gt;""),AND($X$6=TRUE,$X53&lt;&gt;""),AND($Y$6=TRUE,$Y53&lt;&gt;""),AND($Z$6=TRUE,$Z53&lt;&gt;""),AND($AA$6=TRUE,$AA53&lt;&gt;""),AND($AB$6=TRUE,$AB53&lt;&gt;""),AND($AC$6=TRUE,$AC53&lt;&gt;""),AND($AD$6=TRUE,$AD53&lt;&gt;""))),OR(AND($AE$6=TRUE,$AE53&lt;&gt;""),AND($AF$6=TRUE,$AF53&lt;&gt;""),AND($AG$6=TRUE,$AG53&lt;&gt;""),AND($AH$6=TRUE,$AH53&lt;&gt;"")),NOT(AND(NOT(AND($AI$6=FALSE,$AK$6=FALSE,$AM$6=FALSE,$AO$6=FALSE)),OR($AI$6=FALSE,AND($AI$6=TRUE,$AI53&lt;&gt;"",$AJ53&lt;&gt;"")),OR($AK$6=FALSE,AND($AK$6=TRUE,$AK53&lt;&gt;"",$AL53&lt;&gt;"")),OR($AM$6=FALSE,AND($AM$6=TRUE,$AM53&lt;&gt;"",$AN53&lt;&gt;"")),OR($AO$6=FALSE,AND($AO$6=TRUE,$AO53&lt;&gt;"",$AP53&lt;&gt;"")))))</f>
        <v>0</v>
      </c>
      <c r="AR53" s="108" t="s">
        <v>183</v>
      </c>
      <c r="AS53" s="108" t="s">
        <v>183</v>
      </c>
      <c r="AT53" s="108"/>
      <c r="AU53" s="108"/>
      <c r="AV53" s="170" t="str">
        <f>IF(AR53&lt;&gt;"","セキュリティ管理/","")&amp;IF(AS53&lt;&gt;"","マルウェア/","")&amp;IF(AT53&lt;&gt;"","クラウド/","")&amp;IF(AU53&lt;&gt;"","別表1,2,3","")</f>
        <v>セキュリティ管理/マルウェア/</v>
      </c>
      <c r="AW53" s="108" t="s">
        <v>916</v>
      </c>
    </row>
    <row r="54" spans="1:49" ht="135">
      <c r="A54" s="75"/>
      <c r="B54" s="82"/>
      <c r="C54" s="71" t="s">
        <v>1010</v>
      </c>
      <c r="D54" s="90" t="s">
        <v>287</v>
      </c>
      <c r="E54" s="91" t="str">
        <f>'インフラ(自社DC)'!E50</f>
        <v xml:space="preserve">Windowsのサーバや端末を構築する場合、リモート実行機能を有するタスクスケジューラ、PsExec、PowerShell等を不要であれば使用不可としているか。
利用する場合はイベントログを出力する設定にし、タスクの追加やサービスの起動を監視する設計としているか。
</v>
      </c>
      <c r="F54" s="105" t="s">
        <v>995</v>
      </c>
      <c r="G54" s="93" t="s">
        <v>254</v>
      </c>
      <c r="H54" s="181"/>
      <c r="I54" s="98"/>
      <c r="J54" s="93"/>
      <c r="K54" s="93"/>
      <c r="L54" s="93"/>
      <c r="M54" s="94"/>
      <c r="N54" s="247"/>
      <c r="O54" s="111" cm="1">
        <f t="array" ref="O54">IF(AQ54=TRUE,_xlfn.IFS(M54=1,2,M54="",IF(N54="",1,2)),0)</f>
        <v>0</v>
      </c>
      <c r="P54" s="95" t="s">
        <v>255</v>
      </c>
      <c r="Q54" s="95" t="s">
        <v>183</v>
      </c>
      <c r="R54" s="95" t="s">
        <v>183</v>
      </c>
      <c r="S54" s="95" t="s">
        <v>183</v>
      </c>
      <c r="T54" s="95" t="s">
        <v>183</v>
      </c>
      <c r="U54" s="95"/>
      <c r="V54" s="95"/>
      <c r="W54" s="95"/>
      <c r="X54" s="96" t="s">
        <v>448</v>
      </c>
      <c r="Y54" s="95"/>
      <c r="Z54" s="95"/>
      <c r="AA54" s="95"/>
      <c r="AB54" s="96"/>
      <c r="AC54" s="96"/>
      <c r="AD54" s="96"/>
      <c r="AE54" s="95" t="s">
        <v>183</v>
      </c>
      <c r="AF54" s="95" t="s">
        <v>183</v>
      </c>
      <c r="AG54" s="95"/>
      <c r="AH54" s="95"/>
      <c r="AI54" s="106" t="s">
        <v>448</v>
      </c>
      <c r="AJ54" s="106" t="s">
        <v>183</v>
      </c>
      <c r="AK54" s="106" t="s">
        <v>448</v>
      </c>
      <c r="AL54" s="106" t="s">
        <v>183</v>
      </c>
      <c r="AM54" s="106" t="s">
        <v>255</v>
      </c>
      <c r="AN54" s="106" t="s">
        <v>255</v>
      </c>
      <c r="AO54" s="106" t="s">
        <v>255</v>
      </c>
      <c r="AP54" s="106" t="s">
        <v>255</v>
      </c>
      <c r="AQ54" s="91" t="b">
        <f>AND(AND(OR(AND($P$6=TRUE,$P54&lt;&gt;""),AND($Q$6=TRUE,$Q54&lt;&gt;""),AND($R$6=TRUE,$R54&lt;&gt;"")),AND($S$6=TRUE,$S54&lt;&gt;""),OR(AND($T$6=TRUE,$T54&lt;&gt;""),AND($U$6=TRUE,$U54&lt;&gt;""),AND($V$6=TRUE,$V54&lt;&gt;""),AND($W$6=TRUE,$W54&lt;&gt;""),AND($X$6=TRUE,$X54&lt;&gt;""),AND($Y$6=TRUE,$Y54&lt;&gt;""),AND($Z$6=TRUE,$Z54&lt;&gt;""),AND($AA$6=TRUE,$AA54&lt;&gt;""),AND($AB$6=TRUE,$AB54&lt;&gt;""),AND($AC$6=TRUE,$AC54&lt;&gt;""),AND($AD$6=TRUE,$AD54&lt;&gt;""))),OR(AND($AE$6=TRUE,$AE54&lt;&gt;""),AND($AF$6=TRUE,$AF54&lt;&gt;""),AND($AG$6=TRUE,$AG54&lt;&gt;""),AND($AH$6=TRUE,$AH54&lt;&gt;"")),NOT(AND(NOT(AND($AI$6=FALSE,$AK$6=FALSE,$AM$6=FALSE,$AO$6=FALSE)),OR($AI$6=FALSE,AND($AI$6=TRUE,$AI54&lt;&gt;"",$AJ54&lt;&gt;"")),OR($AK$6=FALSE,AND($AK$6=TRUE,$AK54&lt;&gt;"",$AL54&lt;&gt;"")),OR($AM$6=FALSE,AND($AM$6=TRUE,$AM54&lt;&gt;"",$AN54&lt;&gt;"")),OR($AO$6=FALSE,AND($AO$6=TRUE,$AO54&lt;&gt;"",$AP54&lt;&gt;"")))))</f>
        <v>0</v>
      </c>
      <c r="AR54" s="108"/>
      <c r="AS54" s="108"/>
      <c r="AT54" s="108"/>
      <c r="AU54" s="108"/>
      <c r="AV54" s="170" t="str">
        <f>IF(AR54&lt;&gt;"","セキュリティ管理/","")&amp;IF(AS54&lt;&gt;"","マルウェア/","")&amp;IF(AT54&lt;&gt;"","クラウド/","")&amp;IF(AU54&lt;&gt;"","別表1,2,3","")</f>
        <v/>
      </c>
      <c r="AW54" s="108"/>
    </row>
    <row r="55" spans="1:49" ht="180">
      <c r="A55" s="75"/>
      <c r="B55" s="82"/>
      <c r="C55" s="71" t="s">
        <v>1011</v>
      </c>
      <c r="D55" s="90" t="s">
        <v>783</v>
      </c>
      <c r="E55" s="91" t="str">
        <f>'インフラ(自社DC)'!E51</f>
        <v>未知の脅威に備え、不審な挙動の検知、侵入経路や感染端末、影響範囲を特定するための対策ソフト（EDR※）を構築対象システムの全てのサーバや端末に導入しているか。
外部委託先が管理運用するシステムやサービスについてもEDRを導入することが望ましいが、実現が困難な場合は他のマルウェア対策要件を満たすことで見送り可能とする。
その場合回答はNOを選択し、備考欄に導入不可である理由と対策内容を記載すること。
※当社内環境や当社の責任・管理範囲のサーバ・端末については、EDR共通基盤の利用を前提とする。</v>
      </c>
      <c r="F55" s="105" t="s">
        <v>995</v>
      </c>
      <c r="G55" s="93" t="s">
        <v>254</v>
      </c>
      <c r="H55" s="181"/>
      <c r="I55" s="91"/>
      <c r="J55" s="93"/>
      <c r="K55" s="93"/>
      <c r="L55" s="93"/>
      <c r="M55" s="94"/>
      <c r="N55" s="247"/>
      <c r="O55" s="111" cm="1">
        <f t="array" ref="O55">IF(AQ55=TRUE,_xlfn.IFS(M55=1,2,M55="",IF(N55="",1,2)),0)</f>
        <v>0</v>
      </c>
      <c r="P55" s="95" t="s">
        <v>255</v>
      </c>
      <c r="Q55" s="95" t="s">
        <v>183</v>
      </c>
      <c r="R55" s="95" t="s">
        <v>183</v>
      </c>
      <c r="S55" s="95" t="s">
        <v>183</v>
      </c>
      <c r="T55" s="95" t="s">
        <v>183</v>
      </c>
      <c r="U55" s="95"/>
      <c r="V55" s="95"/>
      <c r="W55" s="95"/>
      <c r="X55" s="96" t="s">
        <v>448</v>
      </c>
      <c r="Y55" s="95"/>
      <c r="Z55" s="95"/>
      <c r="AA55" s="95"/>
      <c r="AB55" s="96"/>
      <c r="AC55" s="96"/>
      <c r="AD55" s="96"/>
      <c r="AE55" s="95" t="s">
        <v>183</v>
      </c>
      <c r="AF55" s="95" t="s">
        <v>183</v>
      </c>
      <c r="AG55" s="95"/>
      <c r="AH55" s="95"/>
      <c r="AI55" s="106"/>
      <c r="AJ55" s="106"/>
      <c r="AK55" s="106"/>
      <c r="AL55" s="106"/>
      <c r="AM55" s="106"/>
      <c r="AN55" s="106"/>
      <c r="AO55" s="106"/>
      <c r="AP55" s="106"/>
      <c r="AQ55" s="91" t="b">
        <f>AND(AND(OR(AND($P$6=TRUE,$P55&lt;&gt;""),AND($Q$6=TRUE,$Q55&lt;&gt;""),AND($R$6=TRUE,$R55&lt;&gt;"")),AND($S$6=TRUE,$S55&lt;&gt;""),OR(AND($T$6=TRUE,$T55&lt;&gt;""),AND($U$6=TRUE,$U55&lt;&gt;""),AND($V$6=TRUE,$V55&lt;&gt;""),AND($W$6=TRUE,$W55&lt;&gt;""),AND($X$6=TRUE,$X55&lt;&gt;""),AND($Y$6=TRUE,$Y55&lt;&gt;""),AND($Z$6=TRUE,$Z55&lt;&gt;""),AND($AA$6=TRUE,$AA55&lt;&gt;""),AND($AB$6=TRUE,$AB55&lt;&gt;""),AND($AC$6=TRUE,$AC55&lt;&gt;""),AND($AD$6=TRUE,$AD55&lt;&gt;""))),OR(AND($AE$6=TRUE,$AE55&lt;&gt;""),AND($AF$6=TRUE,$AF55&lt;&gt;""),AND($AG$6=TRUE,$AG55&lt;&gt;""),AND($AH$6=TRUE,$AH55&lt;&gt;"")),NOT(AND(NOT(AND($AI$6=FALSE,$AK$6=FALSE,$AM$6=FALSE,$AO$6=FALSE)),OR($AI$6=FALSE,AND($AI$6=TRUE,$AI55&lt;&gt;"",$AJ55&lt;&gt;"")),OR($AK$6=FALSE,AND($AK$6=TRUE,$AK55&lt;&gt;"",$AL55&lt;&gt;"")),OR($AM$6=FALSE,AND($AM$6=TRUE,$AM55&lt;&gt;"",$AN55&lt;&gt;"")),OR($AO$6=FALSE,AND($AO$6=TRUE,$AO55&lt;&gt;"",$AP55&lt;&gt;"")))))</f>
        <v>0</v>
      </c>
      <c r="AR55" s="108"/>
      <c r="AS55" s="108"/>
      <c r="AT55" s="108"/>
      <c r="AU55" s="108"/>
      <c r="AV55" s="170" t="str">
        <f>IF(AR55&lt;&gt;"","セキュリティ管理/","")&amp;IF(AS55&lt;&gt;"","マルウェア/","")&amp;IF(AT55&lt;&gt;"","クラウド/","")&amp;IF(AU55&lt;&gt;"","別表1,2,3","")</f>
        <v/>
      </c>
      <c r="AW55" s="108" t="s">
        <v>2279</v>
      </c>
    </row>
    <row r="56" spans="1:49" ht="22.5">
      <c r="A56" s="75"/>
      <c r="B56" s="82" t="s">
        <v>784</v>
      </c>
      <c r="C56" s="115"/>
      <c r="D56" s="83"/>
      <c r="E56" s="84"/>
      <c r="F56" s="84"/>
      <c r="G56" s="85"/>
      <c r="H56" s="85"/>
      <c r="I56" s="86"/>
      <c r="J56" s="85"/>
      <c r="K56" s="85"/>
      <c r="L56" s="85"/>
      <c r="M56" s="87"/>
      <c r="N56" s="246"/>
      <c r="O56" s="246"/>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t="s">
        <v>268</v>
      </c>
      <c r="AR56" s="87"/>
      <c r="AS56" s="87"/>
      <c r="AT56" s="87"/>
      <c r="AU56" s="87"/>
      <c r="AV56" s="87"/>
      <c r="AW56" s="87"/>
    </row>
    <row r="57" spans="1:49" ht="112.5">
      <c r="A57" s="75"/>
      <c r="B57" s="82"/>
      <c r="C57" s="71" t="s">
        <v>1012</v>
      </c>
      <c r="D57" s="71" t="s">
        <v>785</v>
      </c>
      <c r="E57" s="107" t="str">
        <f>'インフラ(自社DC)'!E53</f>
        <v>システム障害やランサムウェアによりデータおよびシステム領域が破壊された場合に備えて、以下について定期的にバックアップを取得しているか。
　a. 業務データ
　b. プログラム
　c. ドキュメント（システム設計書、操作手順書、復旧手順書）</v>
      </c>
      <c r="F57" s="126" t="s">
        <v>995</v>
      </c>
      <c r="G57" s="93" t="s">
        <v>254</v>
      </c>
      <c r="H57" s="181"/>
      <c r="I57" s="98"/>
      <c r="J57" s="93"/>
      <c r="K57" s="93"/>
      <c r="L57" s="93"/>
      <c r="M57" s="94"/>
      <c r="N57" s="247"/>
      <c r="O57" s="111" cm="1">
        <f t="array" ref="O57">IF(AQ57=TRUE,_xlfn.IFS(M57=1,2,M57="",IF(N57="",1,2)),0)</f>
        <v>0</v>
      </c>
      <c r="P57" s="95" t="s">
        <v>255</v>
      </c>
      <c r="Q57" s="95" t="s">
        <v>183</v>
      </c>
      <c r="R57" s="95" t="s">
        <v>183</v>
      </c>
      <c r="S57" s="95" t="s">
        <v>183</v>
      </c>
      <c r="T57" s="96" t="s">
        <v>183</v>
      </c>
      <c r="U57" s="96"/>
      <c r="V57" s="96"/>
      <c r="W57" s="96"/>
      <c r="X57" s="96" t="s">
        <v>448</v>
      </c>
      <c r="Y57" s="95"/>
      <c r="Z57" s="95"/>
      <c r="AA57" s="95"/>
      <c r="AB57" s="96"/>
      <c r="AC57" s="96"/>
      <c r="AD57" s="96"/>
      <c r="AE57" s="95" t="s">
        <v>183</v>
      </c>
      <c r="AF57" s="95" t="s">
        <v>183</v>
      </c>
      <c r="AG57" s="95"/>
      <c r="AH57" s="95"/>
      <c r="AI57" s="106"/>
      <c r="AJ57" s="106"/>
      <c r="AK57" s="106"/>
      <c r="AL57" s="106" t="s">
        <v>448</v>
      </c>
      <c r="AM57" s="106"/>
      <c r="AN57" s="106"/>
      <c r="AO57" s="106"/>
      <c r="AP57" s="106"/>
      <c r="AQ57" s="91" t="b">
        <f t="shared" ref="AQ57:AQ62" si="6">AND(AND(OR(AND($P$6=TRUE,$P57&lt;&gt;""),AND($Q$6=TRUE,$Q57&lt;&gt;""),AND($R$6=TRUE,$R57&lt;&gt;"")),AND($S$6=TRUE,$S57&lt;&gt;""),OR(AND($T$6=TRUE,$T57&lt;&gt;""),AND($U$6=TRUE,$U57&lt;&gt;""),AND($V$6=TRUE,$V57&lt;&gt;""),AND($W$6=TRUE,$W57&lt;&gt;""),AND($X$6=TRUE,$X57&lt;&gt;""),AND($Y$6=TRUE,$Y57&lt;&gt;""),AND($Z$6=TRUE,$Z57&lt;&gt;""),AND($AA$6=TRUE,$AA57&lt;&gt;""),AND($AB$6=TRUE,$AB57&lt;&gt;""),AND($AC$6=TRUE,$AC57&lt;&gt;""),AND($AD$6=TRUE,$AD57&lt;&gt;""))),OR(AND($AE$6=TRUE,$AE57&lt;&gt;""),AND($AF$6=TRUE,$AF57&lt;&gt;""),AND($AG$6=TRUE,$AG57&lt;&gt;""),AND($AH$6=TRUE,$AH57&lt;&gt;"")),NOT(AND(NOT(AND($AI$6=FALSE,$AK$6=FALSE,$AM$6=FALSE,$AO$6=FALSE)),OR($AI$6=FALSE,AND($AI$6=TRUE,$AI57&lt;&gt;"",$AJ57&lt;&gt;"")),OR($AK$6=FALSE,AND($AK$6=TRUE,$AK57&lt;&gt;"",$AL57&lt;&gt;"")),OR($AM$6=FALSE,AND($AM$6=TRUE,$AM57&lt;&gt;"",$AN57&lt;&gt;"")),OR($AO$6=FALSE,AND($AO$6=TRUE,$AO57&lt;&gt;"",$AP57&lt;&gt;"")))))</f>
        <v>0</v>
      </c>
      <c r="AR57" s="108"/>
      <c r="AS57" s="108"/>
      <c r="AT57" s="108"/>
      <c r="AU57" s="108"/>
      <c r="AV57" s="170" t="str">
        <f t="shared" ref="AV57:AV62" si="7">IF(AR57&lt;&gt;"","セキュリティ管理/","")&amp;IF(AS57&lt;&gt;"","マルウェア/","")&amp;IF(AT57&lt;&gt;"","クラウド/","")&amp;IF(AU57&lt;&gt;"","別表1,2,3","")</f>
        <v/>
      </c>
      <c r="AW57" s="108" t="s">
        <v>575</v>
      </c>
    </row>
    <row r="58" spans="1:49" ht="135">
      <c r="A58" s="75"/>
      <c r="B58" s="82"/>
      <c r="C58" s="71" t="s">
        <v>1013</v>
      </c>
      <c r="D58" s="90" t="s">
        <v>787</v>
      </c>
      <c r="E58" s="91" t="str">
        <f>'インフラ(自社DC)'!E54</f>
        <v>サービスレベルを満たす適切なバックアップ方式（全または差分）と、バックアップの保存サイクル、保存世代数が決められ実装されているか
また、バックアップは正副を取得しているか</v>
      </c>
      <c r="F58" s="91" t="s">
        <v>1014</v>
      </c>
      <c r="G58" s="93" t="s">
        <v>254</v>
      </c>
      <c r="H58" s="181"/>
      <c r="I58" s="98"/>
      <c r="J58" s="93"/>
      <c r="K58" s="93"/>
      <c r="L58" s="93"/>
      <c r="M58" s="94"/>
      <c r="N58" s="247"/>
      <c r="O58" s="111" cm="1">
        <f t="array" ref="O58">IF(AQ58=TRUE,_xlfn.IFS(M58=1,2,M58="",IF(N58="",1,2)),0)</f>
        <v>0</v>
      </c>
      <c r="P58" s="95" t="s">
        <v>255</v>
      </c>
      <c r="Q58" s="95" t="s">
        <v>183</v>
      </c>
      <c r="R58" s="95" t="s">
        <v>183</v>
      </c>
      <c r="S58" s="95" t="s">
        <v>183</v>
      </c>
      <c r="T58" s="96" t="s">
        <v>183</v>
      </c>
      <c r="U58" s="96"/>
      <c r="V58" s="96"/>
      <c r="W58" s="96"/>
      <c r="X58" s="96" t="s">
        <v>448</v>
      </c>
      <c r="Y58" s="95"/>
      <c r="Z58" s="95"/>
      <c r="AA58" s="95"/>
      <c r="AB58" s="96"/>
      <c r="AC58" s="96"/>
      <c r="AD58" s="96"/>
      <c r="AE58" s="95" t="s">
        <v>183</v>
      </c>
      <c r="AF58" s="95" t="s">
        <v>183</v>
      </c>
      <c r="AG58" s="95"/>
      <c r="AH58" s="95"/>
      <c r="AI58" s="106"/>
      <c r="AJ58" s="106"/>
      <c r="AK58" s="106"/>
      <c r="AL58" s="106" t="s">
        <v>448</v>
      </c>
      <c r="AM58" s="106"/>
      <c r="AN58" s="106"/>
      <c r="AO58" s="106"/>
      <c r="AP58" s="106"/>
      <c r="AQ58" s="91" t="b">
        <f t="shared" si="6"/>
        <v>0</v>
      </c>
      <c r="AR58" s="108"/>
      <c r="AS58" s="108"/>
      <c r="AT58" s="108"/>
      <c r="AU58" s="108"/>
      <c r="AV58" s="170" t="str">
        <f t="shared" si="7"/>
        <v/>
      </c>
      <c r="AW58" s="108"/>
    </row>
    <row r="59" spans="1:49" ht="337.5">
      <c r="A59" s="75"/>
      <c r="B59" s="82"/>
      <c r="C59" s="71" t="s">
        <v>1015</v>
      </c>
      <c r="D59" s="90" t="s">
        <v>790</v>
      </c>
      <c r="E59" s="91" t="str">
        <f>'インフラ(自社DC)'!E55</f>
        <v xml:space="preserve">ランサムウェア等によるデータおよびシステム領域の破壊が行われた場合に備えて、ランサムウェア対応分類A,Bのシステムについては、インシデントに気づけるタイミング(※)を想定した上で、十分なバックアップの保持期間を決めているか。
(最後に取得したバックアップの保持期間を過ぎてからインシデントに気づき、リストアできないような事態を避ける）
なお、TMNFオンプレの仮想化基盤が提供する標準機能のバックアップを使用している場合は、自動的に本要件を満たしているためYESと回答する。
※以下のようにシステムごとに気づけるまでの時間が異なるため、それを考慮したバックアップの保持が必要。
例1：24365システムであれば常時稼働しているため、システムエラー等によりインシデントをすぐに検知できる。夜間や休日を含めても遅くともX時間以内にはFFAを開催できる
例2：システム稼働時間が限られているため、連休などを考慮すると最長でX営業日はインシデントに気づかない可能性がある
</v>
      </c>
      <c r="F59" s="91" t="s">
        <v>1016</v>
      </c>
      <c r="G59" s="93" t="s">
        <v>254</v>
      </c>
      <c r="H59" s="181"/>
      <c r="I59" s="98"/>
      <c r="J59" s="93"/>
      <c r="K59" s="93"/>
      <c r="L59" s="93"/>
      <c r="M59" s="94"/>
      <c r="N59" s="247"/>
      <c r="O59" s="111" cm="1">
        <f t="array" ref="O59">IF(AQ59=TRUE,_xlfn.IFS(M59=1,2,M59="",IF(N59="",1,2)),0)</f>
        <v>0</v>
      </c>
      <c r="P59" s="95" t="s">
        <v>255</v>
      </c>
      <c r="Q59" s="95" t="s">
        <v>183</v>
      </c>
      <c r="R59" s="95" t="s">
        <v>183</v>
      </c>
      <c r="S59" s="95" t="s">
        <v>183</v>
      </c>
      <c r="T59" s="96"/>
      <c r="U59" s="96" t="s">
        <v>183</v>
      </c>
      <c r="V59" s="118" t="s">
        <v>183</v>
      </c>
      <c r="W59" s="96"/>
      <c r="X59" s="96" t="s">
        <v>448</v>
      </c>
      <c r="Y59" s="95"/>
      <c r="Z59" s="95"/>
      <c r="AA59" s="95"/>
      <c r="AB59" s="96"/>
      <c r="AC59" s="96"/>
      <c r="AD59" s="96"/>
      <c r="AE59" s="95" t="s">
        <v>183</v>
      </c>
      <c r="AF59" s="95" t="s">
        <v>183</v>
      </c>
      <c r="AG59" s="95"/>
      <c r="AH59" s="95"/>
      <c r="AI59" s="106" t="s">
        <v>183</v>
      </c>
      <c r="AJ59" s="106" t="s">
        <v>183</v>
      </c>
      <c r="AK59" s="106"/>
      <c r="AL59" s="106" t="s">
        <v>448</v>
      </c>
      <c r="AM59" s="106" t="s">
        <v>255</v>
      </c>
      <c r="AN59" s="106" t="s">
        <v>255</v>
      </c>
      <c r="AO59" s="106" t="s">
        <v>255</v>
      </c>
      <c r="AP59" s="106" t="s">
        <v>255</v>
      </c>
      <c r="AQ59" s="91" t="b">
        <f t="shared" si="6"/>
        <v>0</v>
      </c>
      <c r="AR59" s="108"/>
      <c r="AS59" s="108"/>
      <c r="AT59" s="108"/>
      <c r="AU59" s="108"/>
      <c r="AV59" s="170" t="str">
        <f t="shared" si="7"/>
        <v/>
      </c>
      <c r="AW59" s="108" t="s">
        <v>504</v>
      </c>
    </row>
    <row r="60" spans="1:49" ht="112.5">
      <c r="A60" s="75"/>
      <c r="B60" s="82"/>
      <c r="C60" s="71" t="s">
        <v>1017</v>
      </c>
      <c r="D60" s="90" t="s">
        <v>794</v>
      </c>
      <c r="E60" s="91" t="str">
        <f>'インフラ(自社DC)'!E56</f>
        <v>ランサムウェア等によるデータおよびシステム領域の破壊が行われた場合に備えて、ランサムウェア対応分類A,Bのシステムについては、バックアップを最低2世代取得する設計としているか。
また、必要世代以前の古いバックアップについて、上述のバックアップの保持期間を迎える前に削除されないよう考慮した上で、削除タイミングを設計しているか。</v>
      </c>
      <c r="F60" s="91" t="s">
        <v>1018</v>
      </c>
      <c r="G60" s="93" t="s">
        <v>254</v>
      </c>
      <c r="H60" s="181"/>
      <c r="I60" s="98"/>
      <c r="J60" s="93"/>
      <c r="K60" s="93"/>
      <c r="L60" s="93"/>
      <c r="M60" s="94"/>
      <c r="N60" s="247"/>
      <c r="O60" s="111" cm="1">
        <f t="array" ref="O60">IF(AQ60=TRUE,_xlfn.IFS(M60=1,2,M60="",IF(N60="",1,2)),0)</f>
        <v>0</v>
      </c>
      <c r="P60" s="95" t="s">
        <v>255</v>
      </c>
      <c r="Q60" s="95" t="s">
        <v>183</v>
      </c>
      <c r="R60" s="95" t="s">
        <v>183</v>
      </c>
      <c r="S60" s="95" t="s">
        <v>183</v>
      </c>
      <c r="T60" s="118"/>
      <c r="U60" s="118" t="s">
        <v>183</v>
      </c>
      <c r="V60" s="118" t="s">
        <v>183</v>
      </c>
      <c r="W60" s="96"/>
      <c r="X60" s="96" t="s">
        <v>448</v>
      </c>
      <c r="Y60" s="95"/>
      <c r="Z60" s="95"/>
      <c r="AA60" s="95"/>
      <c r="AB60" s="96"/>
      <c r="AC60" s="96"/>
      <c r="AD60" s="96"/>
      <c r="AE60" s="95" t="s">
        <v>183</v>
      </c>
      <c r="AF60" s="95" t="s">
        <v>183</v>
      </c>
      <c r="AG60" s="95"/>
      <c r="AH60" s="95"/>
      <c r="AI60" s="106" t="s">
        <v>183</v>
      </c>
      <c r="AJ60" s="106" t="s">
        <v>183</v>
      </c>
      <c r="AK60" s="106"/>
      <c r="AL60" s="106" t="s">
        <v>448</v>
      </c>
      <c r="AM60" s="106" t="s">
        <v>255</v>
      </c>
      <c r="AN60" s="106" t="s">
        <v>255</v>
      </c>
      <c r="AO60" s="106" t="s">
        <v>255</v>
      </c>
      <c r="AP60" s="106" t="s">
        <v>255</v>
      </c>
      <c r="AQ60" s="91" t="b">
        <f t="shared" si="6"/>
        <v>0</v>
      </c>
      <c r="AR60" s="108"/>
      <c r="AS60" s="108"/>
      <c r="AT60" s="108"/>
      <c r="AU60" s="108"/>
      <c r="AV60" s="170" t="str">
        <f t="shared" si="7"/>
        <v/>
      </c>
      <c r="AW60" s="108" t="s">
        <v>487</v>
      </c>
    </row>
    <row r="61" spans="1:49" ht="409.5">
      <c r="A61" s="75"/>
      <c r="B61" s="82"/>
      <c r="C61" s="71" t="s">
        <v>1019</v>
      </c>
      <c r="D61" s="90" t="s">
        <v>798</v>
      </c>
      <c r="E61" s="91" t="str">
        <f>'インフラ(自社DC)'!E57</f>
        <v>（注意）本セルは、記載が多く表示に収まっていないため、セル末尾の★★★ここまで★★★まで確認すること
ランサムウェア等によりバックアップ自体が破壊されることを防ぐために、ランサムウェア対応分類A,Bのシステムについては、バックアップを業務サービス(サーバOSやネットワーク)からオフラインの環境で保護しているか。
例：
・テープなどに保存し、都度オフラインする
・ストレージ機能でのバックアップ取得を実施し、管理コンソールおよび取得領域には業務LANからは隔離された管理LANからしかアクセスできないようにする（業務LAN・管理LAN両方にアクセス可能なOSは存在しないことが重要）
なお、ランサムウェア対応分類Bのシステムについては、以下の2つの対策をともに満たすことで、上記のオフライン化の代替策として認める。以下はバックアップデータに対する高権限ID（OSのAdmin/rootや、サービスを管理するIDなど）を悪用した変更・破壊の試みを阻止する対策である。
・「バックアップ対象システム」と、「バックアップシステム（専用ソフトウェア、別サーバなど）」および「取得したバックアップデータ」のアクセス権を分離する。
分離とは、バックアップ対象システムの高権限IDを用いて、「バックアップシステムや取得したバックアップデータを変更できない」ことと「バックアップシステムのID管理作業（パスワードリセットやID作成等）ができない」状態を指す。
・バックアップシステムのIDおよびパスワードを推測できないもの（Admin/rootや、ホスト名、システム名およびこれらが含まれるものも不可）にする。可能であれば、2要素認証を導入する。
★★★ここまで★★★</v>
      </c>
      <c r="F61" s="91" t="s">
        <v>1020</v>
      </c>
      <c r="G61" s="93" t="s">
        <v>254</v>
      </c>
      <c r="H61" s="181"/>
      <c r="I61" s="98"/>
      <c r="J61" s="93"/>
      <c r="K61" s="93"/>
      <c r="L61" s="93"/>
      <c r="M61" s="94"/>
      <c r="N61" s="247"/>
      <c r="O61" s="111" cm="1">
        <f t="array" ref="O61">IF(AQ61=TRUE,_xlfn.IFS(M61=1,2,M61="",IF(N61="",1,2)),0)</f>
        <v>0</v>
      </c>
      <c r="P61" s="95" t="s">
        <v>255</v>
      </c>
      <c r="Q61" s="95" t="s">
        <v>183</v>
      </c>
      <c r="R61" s="95" t="s">
        <v>183</v>
      </c>
      <c r="S61" s="95" t="s">
        <v>183</v>
      </c>
      <c r="T61" s="96"/>
      <c r="U61" s="96" t="s">
        <v>183</v>
      </c>
      <c r="V61" s="118" t="s">
        <v>183</v>
      </c>
      <c r="W61" s="96"/>
      <c r="X61" s="96" t="s">
        <v>448</v>
      </c>
      <c r="Y61" s="95"/>
      <c r="Z61" s="95"/>
      <c r="AA61" s="95"/>
      <c r="AB61" s="96"/>
      <c r="AC61" s="96"/>
      <c r="AD61" s="96"/>
      <c r="AE61" s="95" t="s">
        <v>183</v>
      </c>
      <c r="AF61" s="95" t="s">
        <v>183</v>
      </c>
      <c r="AG61" s="95"/>
      <c r="AH61" s="95"/>
      <c r="AI61" s="106" t="s">
        <v>183</v>
      </c>
      <c r="AJ61" s="106" t="s">
        <v>183</v>
      </c>
      <c r="AK61" s="106" t="s">
        <v>183</v>
      </c>
      <c r="AL61" s="106" t="s">
        <v>183</v>
      </c>
      <c r="AM61" s="106" t="s">
        <v>255</v>
      </c>
      <c r="AN61" s="106" t="s">
        <v>255</v>
      </c>
      <c r="AO61" s="106" t="s">
        <v>255</v>
      </c>
      <c r="AP61" s="106" t="s">
        <v>255</v>
      </c>
      <c r="AQ61" s="91" t="b">
        <f t="shared" si="6"/>
        <v>0</v>
      </c>
      <c r="AR61" s="108"/>
      <c r="AS61" s="108"/>
      <c r="AT61" s="108"/>
      <c r="AU61" s="108"/>
      <c r="AV61" s="170" t="str">
        <f t="shared" si="7"/>
        <v/>
      </c>
      <c r="AW61" s="108" t="s">
        <v>1021</v>
      </c>
    </row>
    <row r="62" spans="1:49" ht="135">
      <c r="A62" s="75"/>
      <c r="B62" s="82"/>
      <c r="C62" s="71" t="s">
        <v>1022</v>
      </c>
      <c r="D62" s="90" t="s">
        <v>801</v>
      </c>
      <c r="E62" s="91" t="str">
        <f>'インフラ(自社DC)'!E58</f>
        <v>ランサムウェア感染時の対策として、ランサムウェア対応分類A,Bのシステムについては、(システム障害時の一部分の戻しだけでなく）バックアップデータからの全リストアを想定したRTO,RPOを定義しているか。
また、ランサムウェア対応分類Aのシステムについては、サービスイン後のリストアテストの実施を想定した環境（テストが可能な開発・プレ本環境の構築、もしくは本番環境でテストできるような非機能要件の設計）を準備しているか。</v>
      </c>
      <c r="F62" s="99" t="s">
        <v>995</v>
      </c>
      <c r="G62" s="93" t="s">
        <v>254</v>
      </c>
      <c r="H62" s="181"/>
      <c r="I62" s="98"/>
      <c r="J62" s="93"/>
      <c r="K62" s="93"/>
      <c r="L62" s="93"/>
      <c r="M62" s="94"/>
      <c r="N62" s="247"/>
      <c r="O62" s="111" cm="1">
        <f t="array" ref="O62">IF(AQ62=TRUE,_xlfn.IFS(M62=1,2,M62="",IF(N62="",1,2)),0)</f>
        <v>0</v>
      </c>
      <c r="P62" s="95" t="s">
        <v>255</v>
      </c>
      <c r="Q62" s="95" t="s">
        <v>183</v>
      </c>
      <c r="R62" s="95" t="s">
        <v>183</v>
      </c>
      <c r="S62" s="95" t="s">
        <v>183</v>
      </c>
      <c r="T62" s="96"/>
      <c r="U62" s="96" t="s">
        <v>183</v>
      </c>
      <c r="V62" s="118" t="s">
        <v>183</v>
      </c>
      <c r="W62" s="96"/>
      <c r="X62" s="96" t="s">
        <v>448</v>
      </c>
      <c r="Y62" s="95"/>
      <c r="Z62" s="95"/>
      <c r="AA62" s="95"/>
      <c r="AB62" s="96"/>
      <c r="AC62" s="96"/>
      <c r="AD62" s="96"/>
      <c r="AE62" s="95" t="s">
        <v>183</v>
      </c>
      <c r="AF62" s="95" t="s">
        <v>183</v>
      </c>
      <c r="AG62" s="95"/>
      <c r="AH62" s="95"/>
      <c r="AI62" s="106"/>
      <c r="AJ62" s="106"/>
      <c r="AK62" s="106"/>
      <c r="AL62" s="106" t="s">
        <v>448</v>
      </c>
      <c r="AM62" s="106" t="s">
        <v>255</v>
      </c>
      <c r="AN62" s="106" t="s">
        <v>255</v>
      </c>
      <c r="AO62" s="106" t="s">
        <v>255</v>
      </c>
      <c r="AP62" s="106" t="s">
        <v>255</v>
      </c>
      <c r="AQ62" s="91" t="b">
        <f t="shared" si="6"/>
        <v>0</v>
      </c>
      <c r="AR62" s="108"/>
      <c r="AS62" s="108"/>
      <c r="AT62" s="108"/>
      <c r="AU62" s="108"/>
      <c r="AV62" s="170" t="str">
        <f t="shared" si="7"/>
        <v/>
      </c>
      <c r="AW62" s="108" t="s">
        <v>487</v>
      </c>
    </row>
    <row r="63" spans="1:49" ht="22.5">
      <c r="A63" s="75"/>
      <c r="B63" s="82" t="s">
        <v>803</v>
      </c>
      <c r="C63" s="115"/>
      <c r="D63" s="83"/>
      <c r="E63" s="84"/>
      <c r="F63" s="84"/>
      <c r="G63" s="85"/>
      <c r="H63" s="85"/>
      <c r="I63" s="86"/>
      <c r="J63" s="85"/>
      <c r="K63" s="85"/>
      <c r="L63" s="85"/>
      <c r="M63" s="87"/>
      <c r="N63" s="246"/>
      <c r="O63" s="246"/>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t="s">
        <v>268</v>
      </c>
      <c r="AR63" s="87"/>
      <c r="AS63" s="87"/>
      <c r="AT63" s="87"/>
      <c r="AU63" s="87"/>
      <c r="AV63" s="87"/>
      <c r="AW63" s="87"/>
    </row>
    <row r="64" spans="1:49" ht="409.5">
      <c r="A64" s="75"/>
      <c r="B64" s="82"/>
      <c r="C64" s="71" t="s">
        <v>1023</v>
      </c>
      <c r="D64" s="90" t="s">
        <v>804</v>
      </c>
      <c r="E64" s="91" t="s">
        <v>940</v>
      </c>
      <c r="F64" s="91" t="s">
        <v>2214</v>
      </c>
      <c r="G64" s="92" t="s">
        <v>254</v>
      </c>
      <c r="H64" s="181"/>
      <c r="I64" s="98"/>
      <c r="J64" s="93"/>
      <c r="K64" s="93"/>
      <c r="L64" s="93"/>
      <c r="M64" s="94"/>
      <c r="N64" s="247"/>
      <c r="O64" s="111" cm="1">
        <f t="array" ref="O64">IF(AQ64=TRUE,_xlfn.IFS(M64=1,2,M64="",IF(N64="",1,2)),0)</f>
        <v>0</v>
      </c>
      <c r="P64" s="95" t="s">
        <v>255</v>
      </c>
      <c r="Q64" s="95" t="s">
        <v>255</v>
      </c>
      <c r="R64" s="95" t="s">
        <v>255</v>
      </c>
      <c r="S64" s="95" t="s">
        <v>183</v>
      </c>
      <c r="T64" s="96" t="s">
        <v>255</v>
      </c>
      <c r="U64" s="96"/>
      <c r="V64" s="96"/>
      <c r="W64" s="96"/>
      <c r="X64" s="96"/>
      <c r="Y64" s="95"/>
      <c r="Z64" s="95"/>
      <c r="AA64" s="95"/>
      <c r="AB64" s="96"/>
      <c r="AC64" s="96"/>
      <c r="AD64" s="96"/>
      <c r="AE64" s="95" t="s">
        <v>183</v>
      </c>
      <c r="AF64" s="95" t="s">
        <v>183</v>
      </c>
      <c r="AG64" s="95"/>
      <c r="AH64" s="95"/>
      <c r="AI64" s="106" t="s">
        <v>183</v>
      </c>
      <c r="AJ64" s="106" t="s">
        <v>183</v>
      </c>
      <c r="AK64" s="106" t="s">
        <v>183</v>
      </c>
      <c r="AL64" s="106" t="s">
        <v>183</v>
      </c>
      <c r="AM64" s="106" t="s">
        <v>255</v>
      </c>
      <c r="AN64" s="106" t="s">
        <v>255</v>
      </c>
      <c r="AO64" s="106" t="s">
        <v>255</v>
      </c>
      <c r="AP64" s="106" t="s">
        <v>255</v>
      </c>
      <c r="AQ64" s="91" t="b">
        <f t="shared" ref="AQ64:AQ71" si="8">AND(AND(OR(AND($P$6=TRUE,$P64&lt;&gt;""),AND($Q$6=TRUE,$Q64&lt;&gt;""),AND($R$6=TRUE,$R64&lt;&gt;"")),AND($S$6=TRUE,$S64&lt;&gt;""),OR(AND($T$6=TRUE,$T64&lt;&gt;""),AND($U$6=TRUE,$U64&lt;&gt;""),AND($V$6=TRUE,$V64&lt;&gt;""),AND($W$6=TRUE,$W64&lt;&gt;""),AND($X$6=TRUE,$X64&lt;&gt;""),AND($Y$6=TRUE,$Y64&lt;&gt;""),AND($Z$6=TRUE,$Z64&lt;&gt;""),AND($AA$6=TRUE,$AA64&lt;&gt;""),AND($AB$6=TRUE,$AB64&lt;&gt;""),AND($AC$6=TRUE,$AC64&lt;&gt;""),AND($AD$6=TRUE,$AD64&lt;&gt;""))),OR(AND($AE$6=TRUE,$AE64&lt;&gt;""),AND($AF$6=TRUE,$AF64&lt;&gt;""),AND($AG$6=TRUE,$AG64&lt;&gt;""),AND($AH$6=TRUE,$AH64&lt;&gt;"")),NOT(AND(NOT(AND($AI$6=FALSE,$AK$6=FALSE,$AM$6=FALSE,$AO$6=FALSE)),OR($AI$6=FALSE,AND($AI$6=TRUE,$AI64&lt;&gt;"",$AJ64&lt;&gt;"")),OR($AK$6=FALSE,AND($AK$6=TRUE,$AK64&lt;&gt;"",$AL64&lt;&gt;"")),OR($AM$6=FALSE,AND($AM$6=TRUE,$AM64&lt;&gt;"",$AN64&lt;&gt;"")),OR($AO$6=FALSE,AND($AO$6=TRUE,$AO64&lt;&gt;"",$AP64&lt;&gt;"")))))</f>
        <v>0</v>
      </c>
      <c r="AR64" s="108"/>
      <c r="AS64" s="108"/>
      <c r="AT64" s="108"/>
      <c r="AU64" s="108"/>
      <c r="AV64" s="170" t="str">
        <f t="shared" ref="AV64:AV70" si="9">IF(AR64&lt;&gt;"","セキュリティ管理/","")&amp;IF(AS64&lt;&gt;"","マルウェア/","")&amp;IF(AT64&lt;&gt;"","クラウド/","")&amp;IF(AU64&lt;&gt;"","別表1,2,3","")</f>
        <v/>
      </c>
      <c r="AW64" s="108" t="s">
        <v>2215</v>
      </c>
    </row>
    <row r="65" spans="1:49" ht="157.5">
      <c r="A65" s="75"/>
      <c r="B65" s="82"/>
      <c r="C65" s="71" t="s">
        <v>1024</v>
      </c>
      <c r="D65" s="194" t="s">
        <v>806</v>
      </c>
      <c r="E65" s="91" t="s">
        <v>1025</v>
      </c>
      <c r="F65" s="91" t="s">
        <v>1026</v>
      </c>
      <c r="G65" s="92" t="s">
        <v>254</v>
      </c>
      <c r="H65" s="181"/>
      <c r="I65" s="98"/>
      <c r="J65" s="93"/>
      <c r="K65" s="93"/>
      <c r="L65" s="93"/>
      <c r="M65" s="94"/>
      <c r="N65" s="247"/>
      <c r="O65" s="111" cm="1">
        <f t="array" ref="O65">IF(AQ65=TRUE,_xlfn.IFS(M65=1,2,M65="",IF(N65="",1,2)),0)</f>
        <v>0</v>
      </c>
      <c r="P65" s="95" t="s">
        <v>255</v>
      </c>
      <c r="Q65" s="95" t="s">
        <v>255</v>
      </c>
      <c r="R65" s="95" t="s">
        <v>255</v>
      </c>
      <c r="S65" s="95" t="s">
        <v>183</v>
      </c>
      <c r="T65" s="96" t="s">
        <v>255</v>
      </c>
      <c r="U65" s="96"/>
      <c r="V65" s="96"/>
      <c r="W65" s="96"/>
      <c r="X65" s="96"/>
      <c r="Y65" s="95"/>
      <c r="Z65" s="95"/>
      <c r="AA65" s="95"/>
      <c r="AB65" s="96"/>
      <c r="AC65" s="96"/>
      <c r="AD65" s="96"/>
      <c r="AE65" s="95" t="s">
        <v>183</v>
      </c>
      <c r="AF65" s="95" t="s">
        <v>183</v>
      </c>
      <c r="AG65" s="95"/>
      <c r="AH65" s="95"/>
      <c r="AI65" s="106" t="s">
        <v>183</v>
      </c>
      <c r="AJ65" s="106" t="s">
        <v>183</v>
      </c>
      <c r="AK65" s="106" t="s">
        <v>183</v>
      </c>
      <c r="AL65" s="106" t="s">
        <v>183</v>
      </c>
      <c r="AM65" s="106" t="s">
        <v>255</v>
      </c>
      <c r="AN65" s="106" t="s">
        <v>255</v>
      </c>
      <c r="AO65" s="106" t="s">
        <v>255</v>
      </c>
      <c r="AP65" s="106" t="s">
        <v>255</v>
      </c>
      <c r="AQ65" s="91" t="b">
        <f t="shared" si="8"/>
        <v>0</v>
      </c>
      <c r="AR65" s="108"/>
      <c r="AS65" s="108"/>
      <c r="AT65" s="108"/>
      <c r="AU65" s="108"/>
      <c r="AV65" s="170" t="str">
        <f t="shared" si="9"/>
        <v/>
      </c>
      <c r="AW65" s="108" t="s">
        <v>322</v>
      </c>
    </row>
    <row r="66" spans="1:49" ht="45">
      <c r="A66" s="75"/>
      <c r="B66" s="82"/>
      <c r="C66" s="71" t="s">
        <v>1027</v>
      </c>
      <c r="D66" s="196" t="s">
        <v>1028</v>
      </c>
      <c r="E66" s="91" t="s">
        <v>1025</v>
      </c>
      <c r="F66" s="91" t="s">
        <v>1029</v>
      </c>
      <c r="G66" s="92" t="s">
        <v>254</v>
      </c>
      <c r="H66" s="181"/>
      <c r="I66" s="98"/>
      <c r="J66" s="93"/>
      <c r="K66" s="93"/>
      <c r="L66" s="93"/>
      <c r="M66" s="94"/>
      <c r="N66" s="247"/>
      <c r="O66" s="111" cm="1">
        <f t="array" ref="O66">IF(AQ66=TRUE,_xlfn.IFS(M66=1,2,M66="",IF(N66="",1,2)),0)</f>
        <v>0</v>
      </c>
      <c r="P66" s="95" t="s">
        <v>255</v>
      </c>
      <c r="Q66" s="95" t="s">
        <v>255</v>
      </c>
      <c r="R66" s="95" t="s">
        <v>255</v>
      </c>
      <c r="S66" s="95" t="s">
        <v>183</v>
      </c>
      <c r="T66" s="96" t="s">
        <v>255</v>
      </c>
      <c r="U66" s="96"/>
      <c r="V66" s="96"/>
      <c r="W66" s="96"/>
      <c r="X66" s="96"/>
      <c r="Y66" s="95"/>
      <c r="Z66" s="95"/>
      <c r="AA66" s="95"/>
      <c r="AB66" s="96"/>
      <c r="AC66" s="96"/>
      <c r="AD66" s="96"/>
      <c r="AE66" s="95" t="s">
        <v>183</v>
      </c>
      <c r="AF66" s="95" t="s">
        <v>183</v>
      </c>
      <c r="AG66" s="95"/>
      <c r="AH66" s="95"/>
      <c r="AI66" s="106" t="s">
        <v>183</v>
      </c>
      <c r="AJ66" s="106" t="s">
        <v>183</v>
      </c>
      <c r="AK66" s="106" t="s">
        <v>183</v>
      </c>
      <c r="AL66" s="106" t="s">
        <v>183</v>
      </c>
      <c r="AM66" s="106" t="s">
        <v>255</v>
      </c>
      <c r="AN66" s="106" t="s">
        <v>255</v>
      </c>
      <c r="AO66" s="106" t="s">
        <v>255</v>
      </c>
      <c r="AP66" s="106" t="s">
        <v>255</v>
      </c>
      <c r="AQ66" s="91" t="b">
        <f t="shared" si="8"/>
        <v>0</v>
      </c>
      <c r="AR66" s="108"/>
      <c r="AS66" s="108"/>
      <c r="AT66" s="108"/>
      <c r="AU66" s="108"/>
      <c r="AV66" s="170" t="str">
        <f t="shared" si="9"/>
        <v/>
      </c>
      <c r="AW66" s="108" t="s">
        <v>322</v>
      </c>
    </row>
    <row r="67" spans="1:49" ht="409.5">
      <c r="A67" s="75"/>
      <c r="B67" s="82"/>
      <c r="C67" s="71" t="s">
        <v>1030</v>
      </c>
      <c r="D67" s="196" t="s">
        <v>1031</v>
      </c>
      <c r="E67" s="91" t="s">
        <v>940</v>
      </c>
      <c r="F67" s="107" t="s">
        <v>2050</v>
      </c>
      <c r="G67" s="92" t="s">
        <v>254</v>
      </c>
      <c r="H67" s="181"/>
      <c r="I67" s="98"/>
      <c r="J67" s="93"/>
      <c r="K67" s="93"/>
      <c r="L67" s="93"/>
      <c r="M67" s="94"/>
      <c r="N67" s="247"/>
      <c r="O67" s="111" cm="1">
        <f t="array" ref="O67">IF(AQ67=TRUE,_xlfn.IFS(M67=1,2,M67="",IF(N67="",1,2)),0)</f>
        <v>0</v>
      </c>
      <c r="P67" s="95" t="s">
        <v>255</v>
      </c>
      <c r="Q67" s="95" t="s">
        <v>255</v>
      </c>
      <c r="R67" s="95" t="s">
        <v>255</v>
      </c>
      <c r="S67" s="95" t="s">
        <v>183</v>
      </c>
      <c r="T67" s="96" t="s">
        <v>255</v>
      </c>
      <c r="U67" s="96"/>
      <c r="V67" s="96"/>
      <c r="W67" s="96"/>
      <c r="X67" s="96"/>
      <c r="Y67" s="95"/>
      <c r="Z67" s="95"/>
      <c r="AA67" s="95"/>
      <c r="AB67" s="96"/>
      <c r="AC67" s="96"/>
      <c r="AD67" s="96"/>
      <c r="AE67" s="95" t="s">
        <v>183</v>
      </c>
      <c r="AF67" s="95" t="s">
        <v>183</v>
      </c>
      <c r="AG67" s="95"/>
      <c r="AH67" s="95"/>
      <c r="AI67" s="106" t="s">
        <v>183</v>
      </c>
      <c r="AJ67" s="106" t="s">
        <v>183</v>
      </c>
      <c r="AK67" s="106"/>
      <c r="AL67" s="106"/>
      <c r="AM67" s="106" t="s">
        <v>255</v>
      </c>
      <c r="AN67" s="106" t="s">
        <v>255</v>
      </c>
      <c r="AO67" s="106" t="s">
        <v>255</v>
      </c>
      <c r="AP67" s="106" t="s">
        <v>255</v>
      </c>
      <c r="AQ67" s="91" t="b">
        <f t="shared" si="8"/>
        <v>0</v>
      </c>
      <c r="AR67" s="108"/>
      <c r="AS67" s="108"/>
      <c r="AT67" s="108"/>
      <c r="AU67" s="108"/>
      <c r="AV67" s="170" t="str">
        <f t="shared" si="9"/>
        <v/>
      </c>
      <c r="AW67" s="108" t="s">
        <v>2198</v>
      </c>
    </row>
    <row r="68" spans="1:49" ht="135">
      <c r="A68" s="75"/>
      <c r="B68" s="82"/>
      <c r="C68" s="71" t="s">
        <v>1032</v>
      </c>
      <c r="D68" s="196" t="s">
        <v>1033</v>
      </c>
      <c r="E68" s="91" t="str">
        <f>'インフラ(自社DC)'!E60</f>
        <v>ソフトウェアおよび機器（以下、製品）を採用する際は、多くの脆弱性が報告される傾向にあるプロダクト（Apache Struts、Word Press等）を避け、提供元（ベンダー、オープンソースプロジェクト運営団体等）がサポートするバージョンの製品を選定しているか
また製品の利用にあたっては、セキュリティ設定を正しく行うため、各製品の提供元が発信する推奨設定情報やセキュリティパッチに関する情報を参考に設定を行っているか。</v>
      </c>
      <c r="F68" s="91" t="s">
        <v>1034</v>
      </c>
      <c r="G68" s="92" t="s">
        <v>254</v>
      </c>
      <c r="H68" s="181"/>
      <c r="I68" s="98"/>
      <c r="J68" s="93" t="s">
        <v>730</v>
      </c>
      <c r="K68" s="93"/>
      <c r="L68" s="93"/>
      <c r="M68" s="94"/>
      <c r="N68" s="247"/>
      <c r="O68" s="111" cm="1">
        <f t="array" ref="O68">IF(AQ68=TRUE,_xlfn.IFS(M68=1,2,M68="",IF(N68="",1,2)),0)</f>
        <v>0</v>
      </c>
      <c r="P68" s="95" t="s">
        <v>255</v>
      </c>
      <c r="Q68" s="95" t="s">
        <v>255</v>
      </c>
      <c r="R68" s="95" t="s">
        <v>255</v>
      </c>
      <c r="S68" s="95" t="s">
        <v>183</v>
      </c>
      <c r="T68" s="96" t="s">
        <v>255</v>
      </c>
      <c r="U68" s="96"/>
      <c r="V68" s="96"/>
      <c r="W68" s="96"/>
      <c r="X68" s="96" t="s">
        <v>448</v>
      </c>
      <c r="Y68" s="95"/>
      <c r="Z68" s="95"/>
      <c r="AA68" s="95"/>
      <c r="AB68" s="96"/>
      <c r="AC68" s="96"/>
      <c r="AD68" s="96"/>
      <c r="AE68" s="95" t="s">
        <v>183</v>
      </c>
      <c r="AF68" s="95" t="s">
        <v>183</v>
      </c>
      <c r="AG68" s="95" t="s">
        <v>255</v>
      </c>
      <c r="AH68" s="95"/>
      <c r="AI68" s="106" t="s">
        <v>448</v>
      </c>
      <c r="AJ68" s="106" t="s">
        <v>448</v>
      </c>
      <c r="AK68" s="106" t="s">
        <v>448</v>
      </c>
      <c r="AL68" s="106" t="s">
        <v>183</v>
      </c>
      <c r="AM68" s="106"/>
      <c r="AN68" s="106" t="s">
        <v>255</v>
      </c>
      <c r="AO68" s="106"/>
      <c r="AP68" s="106" t="s">
        <v>255</v>
      </c>
      <c r="AQ68" s="91" t="b">
        <f t="shared" si="8"/>
        <v>0</v>
      </c>
      <c r="AR68" s="108" t="s">
        <v>183</v>
      </c>
      <c r="AS68" s="108"/>
      <c r="AT68" s="108"/>
      <c r="AU68" s="108"/>
      <c r="AV68" s="170" t="str">
        <f t="shared" si="9"/>
        <v>セキュリティ管理/</v>
      </c>
      <c r="AW68" s="108"/>
    </row>
    <row r="69" spans="1:49" ht="45">
      <c r="A69" s="75"/>
      <c r="B69" s="82"/>
      <c r="C69" s="71" t="s">
        <v>1035</v>
      </c>
      <c r="D69" s="196" t="s">
        <v>1036</v>
      </c>
      <c r="E69" s="91" t="str">
        <f>'インフラ(自社DC)'!E61</f>
        <v>サーバや端末、ネットワーク機器の未使用又は不必要なデーモン／サービス／エージェントが全て停止又は削除される設計がされているか</v>
      </c>
      <c r="F69" s="91" t="s">
        <v>1037</v>
      </c>
      <c r="G69" s="92" t="s">
        <v>361</v>
      </c>
      <c r="H69" s="181"/>
      <c r="I69" s="98"/>
      <c r="J69" s="93"/>
      <c r="K69" s="93"/>
      <c r="L69" s="93"/>
      <c r="M69" s="94"/>
      <c r="N69" s="247"/>
      <c r="O69" s="111" cm="1">
        <f t="array" ref="O69">IF(AQ69=TRUE,_xlfn.IFS(M69=1,2,M69="",IF(N69="",1,2)),0)</f>
        <v>0</v>
      </c>
      <c r="P69" s="95" t="s">
        <v>255</v>
      </c>
      <c r="Q69" s="95" t="s">
        <v>183</v>
      </c>
      <c r="R69" s="95" t="s">
        <v>183</v>
      </c>
      <c r="S69" s="95" t="s">
        <v>183</v>
      </c>
      <c r="T69" s="96" t="s">
        <v>183</v>
      </c>
      <c r="U69" s="96"/>
      <c r="V69" s="96"/>
      <c r="W69" s="96"/>
      <c r="X69" s="96" t="s">
        <v>448</v>
      </c>
      <c r="Y69" s="95"/>
      <c r="Z69" s="95"/>
      <c r="AA69" s="95"/>
      <c r="AB69" s="96"/>
      <c r="AC69" s="96"/>
      <c r="AD69" s="96"/>
      <c r="AE69" s="95" t="s">
        <v>183</v>
      </c>
      <c r="AF69" s="95" t="s">
        <v>183</v>
      </c>
      <c r="AG69" s="95"/>
      <c r="AH69" s="95"/>
      <c r="AI69" s="106" t="s">
        <v>448</v>
      </c>
      <c r="AJ69" s="106" t="s">
        <v>183</v>
      </c>
      <c r="AK69" s="106" t="s">
        <v>448</v>
      </c>
      <c r="AL69" s="106" t="s">
        <v>448</v>
      </c>
      <c r="AM69" s="106" t="s">
        <v>255</v>
      </c>
      <c r="AN69" s="106" t="s">
        <v>255</v>
      </c>
      <c r="AO69" s="106" t="s">
        <v>255</v>
      </c>
      <c r="AP69" s="106" t="s">
        <v>255</v>
      </c>
      <c r="AQ69" s="91" t="b">
        <f t="shared" si="8"/>
        <v>0</v>
      </c>
      <c r="AR69" s="108"/>
      <c r="AS69" s="108"/>
      <c r="AT69" s="108"/>
      <c r="AU69" s="108"/>
      <c r="AV69" s="170" t="str">
        <f t="shared" si="9"/>
        <v/>
      </c>
      <c r="AW69" s="108"/>
    </row>
    <row r="70" spans="1:49" ht="67.5">
      <c r="A70" s="75"/>
      <c r="B70" s="82"/>
      <c r="C70" s="71" t="s">
        <v>1038</v>
      </c>
      <c r="D70" s="196" t="s">
        <v>1039</v>
      </c>
      <c r="E70" s="91" t="str">
        <f>'インフラ(自社DC)'!E62</f>
        <v>インターネットへ公開されているサービスについて、利用している製品の種類・バージョン情報等のシステム構成情報（バナー情報）がHTTPレスポンスヘッダに含まれないようにしているか</v>
      </c>
      <c r="F70" s="99" t="s">
        <v>978</v>
      </c>
      <c r="G70" s="92" t="s">
        <v>503</v>
      </c>
      <c r="H70" s="181"/>
      <c r="I70" s="98"/>
      <c r="J70" s="93"/>
      <c r="K70" s="93"/>
      <c r="L70" s="93"/>
      <c r="M70" s="94"/>
      <c r="N70" s="247"/>
      <c r="O70" s="111" cm="1">
        <f t="array" ref="O70">IF(AQ70=TRUE,_xlfn.IFS(M70=1,2,M70="",IF(N70="",1,2)),0)</f>
        <v>0</v>
      </c>
      <c r="P70" s="95" t="s">
        <v>255</v>
      </c>
      <c r="Q70" s="95" t="s">
        <v>183</v>
      </c>
      <c r="R70" s="95" t="s">
        <v>183</v>
      </c>
      <c r="S70" s="95" t="s">
        <v>183</v>
      </c>
      <c r="T70" s="96"/>
      <c r="U70" s="96"/>
      <c r="V70" s="96"/>
      <c r="W70" s="96"/>
      <c r="X70" s="96"/>
      <c r="Y70" s="95"/>
      <c r="Z70" s="95"/>
      <c r="AA70" s="95"/>
      <c r="AB70" s="96"/>
      <c r="AC70" s="96"/>
      <c r="AD70" s="96" t="s">
        <v>255</v>
      </c>
      <c r="AE70" s="95" t="s">
        <v>183</v>
      </c>
      <c r="AF70" s="95" t="s">
        <v>183</v>
      </c>
      <c r="AG70" s="95"/>
      <c r="AH70" s="95"/>
      <c r="AI70" s="106"/>
      <c r="AJ70" s="106"/>
      <c r="AK70" s="106"/>
      <c r="AL70" s="106"/>
      <c r="AM70" s="106"/>
      <c r="AN70" s="106" t="s">
        <v>255</v>
      </c>
      <c r="AO70" s="106"/>
      <c r="AP70" s="106" t="s">
        <v>255</v>
      </c>
      <c r="AQ70" s="91" t="b">
        <f t="shared" si="8"/>
        <v>0</v>
      </c>
      <c r="AR70" s="108"/>
      <c r="AS70" s="108"/>
      <c r="AT70" s="108"/>
      <c r="AU70" s="108"/>
      <c r="AV70" s="170" t="str">
        <f t="shared" si="9"/>
        <v/>
      </c>
      <c r="AW70" s="108"/>
    </row>
    <row r="71" spans="1:49" ht="270">
      <c r="A71" s="75"/>
      <c r="B71" s="82"/>
      <c r="C71" s="71" t="s">
        <v>1040</v>
      </c>
      <c r="D71" s="196" t="s">
        <v>1041</v>
      </c>
      <c r="E71" s="91" t="s">
        <v>1042</v>
      </c>
      <c r="F71" s="107" t="s">
        <v>1043</v>
      </c>
      <c r="G71" s="92" t="s">
        <v>361</v>
      </c>
      <c r="H71" s="181"/>
      <c r="I71" s="98"/>
      <c r="J71" s="93"/>
      <c r="K71" s="93"/>
      <c r="L71" s="93"/>
      <c r="M71" s="94"/>
      <c r="N71" s="247"/>
      <c r="O71" s="111" cm="1">
        <f t="array" ref="O71">IF(AQ71=TRUE,_xlfn.IFS(M71=1,2,M71="",IF(N71="",1,2)),0)</f>
        <v>0</v>
      </c>
      <c r="P71" s="95" t="s">
        <v>255</v>
      </c>
      <c r="Q71" s="95" t="s">
        <v>183</v>
      </c>
      <c r="R71" s="95" t="s">
        <v>183</v>
      </c>
      <c r="S71" s="95" t="s">
        <v>183</v>
      </c>
      <c r="T71" s="96" t="s">
        <v>183</v>
      </c>
      <c r="U71" s="96"/>
      <c r="V71" s="96"/>
      <c r="W71" s="96"/>
      <c r="X71" s="96"/>
      <c r="Y71" s="95"/>
      <c r="Z71" s="95"/>
      <c r="AA71" s="95"/>
      <c r="AB71" s="96"/>
      <c r="AC71" s="96"/>
      <c r="AD71" s="96"/>
      <c r="AE71" s="95" t="s">
        <v>183</v>
      </c>
      <c r="AF71" s="95" t="s">
        <v>183</v>
      </c>
      <c r="AG71" s="95"/>
      <c r="AH71" s="95"/>
      <c r="AI71" s="106" t="s">
        <v>183</v>
      </c>
      <c r="AJ71" s="106" t="s">
        <v>183</v>
      </c>
      <c r="AK71" s="106"/>
      <c r="AL71" s="106"/>
      <c r="AM71" s="95" t="s">
        <v>255</v>
      </c>
      <c r="AN71" s="95" t="s">
        <v>255</v>
      </c>
      <c r="AO71" s="95" t="s">
        <v>255</v>
      </c>
      <c r="AP71" s="95" t="s">
        <v>255</v>
      </c>
      <c r="AQ71" s="91" t="b">
        <f t="shared" si="8"/>
        <v>0</v>
      </c>
      <c r="AR71" s="108"/>
      <c r="AS71" s="108"/>
      <c r="AT71" s="108"/>
      <c r="AU71" s="108"/>
      <c r="AV71" s="170" t="str">
        <f t="shared" ref="AV71" si="10">IF(AR71&lt;&gt;"","セキュリティ管理/","")&amp;IF(AS71&lt;&gt;"","マルウェア/","")&amp;IF(AT71&lt;&gt;"","クラウド/","")&amp;IF(AU71&lt;&gt;"","別表1,2,3","")</f>
        <v/>
      </c>
      <c r="AW71" s="108" t="s">
        <v>1044</v>
      </c>
    </row>
    <row r="72" spans="1:49" ht="22.5">
      <c r="A72" s="75" t="s">
        <v>810</v>
      </c>
      <c r="B72" s="75"/>
      <c r="C72" s="113"/>
      <c r="D72" s="76"/>
      <c r="E72" s="77"/>
      <c r="F72" s="77"/>
      <c r="G72" s="78"/>
      <c r="H72" s="78"/>
      <c r="I72" s="79"/>
      <c r="J72" s="78"/>
      <c r="K72" s="78"/>
      <c r="L72" s="78"/>
      <c r="M72" s="80"/>
      <c r="N72" s="245"/>
      <c r="O72" s="245"/>
      <c r="P72" s="80"/>
      <c r="Q72" s="80"/>
      <c r="R72" s="80"/>
      <c r="S72" s="80"/>
      <c r="T72" s="80"/>
      <c r="U72" s="80"/>
      <c r="V72" s="80"/>
      <c r="W72" s="80"/>
      <c r="X72" s="80"/>
      <c r="Y72" s="80"/>
      <c r="Z72" s="80"/>
      <c r="AA72" s="80"/>
      <c r="AB72" s="80"/>
      <c r="AC72" s="80"/>
      <c r="AD72" s="80"/>
      <c r="AE72" s="80"/>
      <c r="AF72" s="80"/>
      <c r="AG72" s="80"/>
      <c r="AH72" s="80"/>
      <c r="AI72" s="80"/>
      <c r="AJ72" s="80"/>
      <c r="AK72" s="80"/>
      <c r="AL72" s="80"/>
      <c r="AM72" s="80"/>
      <c r="AN72" s="80"/>
      <c r="AO72" s="80"/>
      <c r="AP72" s="80"/>
      <c r="AQ72" s="80" t="s">
        <v>268</v>
      </c>
      <c r="AR72" s="80"/>
      <c r="AS72" s="80"/>
      <c r="AT72" s="80"/>
      <c r="AU72" s="80"/>
      <c r="AV72" s="80"/>
      <c r="AW72" s="80"/>
    </row>
    <row r="73" spans="1:49" ht="22.5">
      <c r="A73" s="75"/>
      <c r="B73" s="82"/>
      <c r="C73" s="58"/>
      <c r="D73" s="82"/>
      <c r="E73" s="82"/>
      <c r="F73" s="83"/>
      <c r="G73" s="82"/>
      <c r="H73" s="85"/>
      <c r="I73" s="86"/>
      <c r="J73" s="82"/>
      <c r="K73" s="82"/>
      <c r="L73" s="82"/>
      <c r="M73" s="129"/>
      <c r="N73" s="246"/>
      <c r="O73" s="246"/>
      <c r="P73" s="129"/>
      <c r="Q73" s="129"/>
      <c r="R73" s="129"/>
      <c r="S73" s="129"/>
      <c r="T73" s="129"/>
      <c r="U73" s="129"/>
      <c r="V73" s="129"/>
      <c r="W73" s="129"/>
      <c r="X73" s="129"/>
      <c r="Y73" s="129"/>
      <c r="Z73" s="129"/>
      <c r="AA73" s="129"/>
      <c r="AB73" s="129"/>
      <c r="AC73" s="129"/>
      <c r="AD73" s="129"/>
      <c r="AE73" s="129"/>
      <c r="AF73" s="129"/>
      <c r="AG73" s="129"/>
      <c r="AH73" s="129"/>
      <c r="AI73" s="129"/>
      <c r="AJ73" s="129"/>
      <c r="AK73" s="129"/>
      <c r="AL73" s="129"/>
      <c r="AM73" s="129"/>
      <c r="AN73" s="129"/>
      <c r="AO73" s="129"/>
      <c r="AP73" s="129"/>
      <c r="AQ73" s="129" t="s">
        <v>268</v>
      </c>
      <c r="AR73" s="129"/>
      <c r="AS73" s="129"/>
      <c r="AT73" s="129"/>
      <c r="AU73" s="129"/>
      <c r="AV73" s="129"/>
      <c r="AW73" s="129"/>
    </row>
    <row r="74" spans="1:49" ht="180">
      <c r="A74" s="75"/>
      <c r="B74" s="82"/>
      <c r="C74" s="71" t="s">
        <v>1045</v>
      </c>
      <c r="D74" s="90" t="s">
        <v>436</v>
      </c>
      <c r="E74" s="91" t="s">
        <v>940</v>
      </c>
      <c r="F74" s="91" t="s">
        <v>1046</v>
      </c>
      <c r="G74" s="92" t="s">
        <v>254</v>
      </c>
      <c r="H74" s="181"/>
      <c r="I74" s="98"/>
      <c r="J74" s="93"/>
      <c r="K74" s="93"/>
      <c r="L74" s="93"/>
      <c r="M74" s="94"/>
      <c r="N74" s="247"/>
      <c r="O74" s="111" cm="1">
        <f t="array" ref="O74">IF(AQ74=TRUE,_xlfn.IFS(M74=1,2,M74="",IF(N74="",1,2)),0)</f>
        <v>0</v>
      </c>
      <c r="P74" s="95" t="s">
        <v>255</v>
      </c>
      <c r="Q74" s="95" t="s">
        <v>255</v>
      </c>
      <c r="R74" s="95" t="s">
        <v>255</v>
      </c>
      <c r="S74" s="95" t="s">
        <v>183</v>
      </c>
      <c r="T74" s="96" t="s">
        <v>255</v>
      </c>
      <c r="U74" s="96"/>
      <c r="V74" s="96"/>
      <c r="W74" s="96"/>
      <c r="X74" s="96"/>
      <c r="Y74" s="95"/>
      <c r="Z74" s="95"/>
      <c r="AA74" s="95"/>
      <c r="AB74" s="96"/>
      <c r="AC74" s="96"/>
      <c r="AD74" s="96"/>
      <c r="AE74" s="95" t="s">
        <v>183</v>
      </c>
      <c r="AF74" s="95" t="s">
        <v>183</v>
      </c>
      <c r="AG74" s="95" t="s">
        <v>255</v>
      </c>
      <c r="AH74" s="95"/>
      <c r="AI74" s="106" t="s">
        <v>183</v>
      </c>
      <c r="AJ74" s="106" t="s">
        <v>183</v>
      </c>
      <c r="AK74" s="106" t="s">
        <v>183</v>
      </c>
      <c r="AL74" s="106" t="s">
        <v>183</v>
      </c>
      <c r="AM74" s="106" t="s">
        <v>255</v>
      </c>
      <c r="AN74" s="106" t="s">
        <v>255</v>
      </c>
      <c r="AO74" s="106" t="s">
        <v>255</v>
      </c>
      <c r="AP74" s="106" t="s">
        <v>255</v>
      </c>
      <c r="AQ74" s="91" t="b">
        <f t="shared" ref="AQ74:AQ89" si="11">AND(AND(OR(AND($P$6=TRUE,$P74&lt;&gt;""),AND($Q$6=TRUE,$Q74&lt;&gt;""),AND($R$6=TRUE,$R74&lt;&gt;"")),AND($S$6=TRUE,$S74&lt;&gt;""),OR(AND($T$6=TRUE,$T74&lt;&gt;""),AND($U$6=TRUE,$U74&lt;&gt;""),AND($V$6=TRUE,$V74&lt;&gt;""),AND($W$6=TRUE,$W74&lt;&gt;""),AND($X$6=TRUE,$X74&lt;&gt;""),AND($Y$6=TRUE,$Y74&lt;&gt;""),AND($Z$6=TRUE,$Z74&lt;&gt;""),AND($AA$6=TRUE,$AA74&lt;&gt;""),AND($AB$6=TRUE,$AB74&lt;&gt;""),AND($AC$6=TRUE,$AC74&lt;&gt;""),AND($AD$6=TRUE,$AD74&lt;&gt;""))),OR(AND($AE$6=TRUE,$AE74&lt;&gt;""),AND($AF$6=TRUE,$AF74&lt;&gt;""),AND($AG$6=TRUE,$AG74&lt;&gt;""),AND($AH$6=TRUE,$AH74&lt;&gt;"")),NOT(AND(NOT(AND($AI$6=FALSE,$AK$6=FALSE,$AM$6=FALSE,$AO$6=FALSE)),OR($AI$6=FALSE,AND($AI$6=TRUE,$AI74&lt;&gt;"",$AJ74&lt;&gt;"")),OR($AK$6=FALSE,AND($AK$6=TRUE,$AK74&lt;&gt;"",$AL74&lt;&gt;"")),OR($AM$6=FALSE,AND($AM$6=TRUE,$AM74&lt;&gt;"",$AN74&lt;&gt;"")),OR($AO$6=FALSE,AND($AO$6=TRUE,$AO74&lt;&gt;"",$AP74&lt;&gt;"")))))</f>
        <v>0</v>
      </c>
      <c r="AR74" s="108"/>
      <c r="AS74" s="108"/>
      <c r="AT74" s="108"/>
      <c r="AU74" s="108"/>
      <c r="AV74" s="170" t="str">
        <f t="shared" ref="AV74:AV86" si="12">IF(AR74&lt;&gt;"","セキュリティ管理/","")&amp;IF(AS74&lt;&gt;"","マルウェア/","")&amp;IF(AT74&lt;&gt;"","クラウド/","")&amp;IF(AU74&lt;&gt;"","別表1,2,3","")</f>
        <v/>
      </c>
      <c r="AW74" s="108"/>
    </row>
    <row r="75" spans="1:49" ht="45">
      <c r="A75" s="75"/>
      <c r="B75" s="82"/>
      <c r="C75" s="71" t="s">
        <v>1047</v>
      </c>
      <c r="D75" s="90" t="s">
        <v>439</v>
      </c>
      <c r="E75" s="91" t="s">
        <v>940</v>
      </c>
      <c r="F75" s="91" t="s">
        <v>1048</v>
      </c>
      <c r="G75" s="92" t="s">
        <v>254</v>
      </c>
      <c r="H75" s="181"/>
      <c r="I75" s="98"/>
      <c r="J75" s="93"/>
      <c r="K75" s="93"/>
      <c r="L75" s="93"/>
      <c r="M75" s="94"/>
      <c r="N75" s="247"/>
      <c r="O75" s="111" cm="1">
        <f t="array" ref="O75">IF(AQ75=TRUE,_xlfn.IFS(M75=1,2,M75="",IF(N75="",1,2)),0)</f>
        <v>0</v>
      </c>
      <c r="P75" s="95" t="s">
        <v>255</v>
      </c>
      <c r="Q75" s="95" t="s">
        <v>255</v>
      </c>
      <c r="R75" s="95" t="s">
        <v>255</v>
      </c>
      <c r="S75" s="95" t="s">
        <v>255</v>
      </c>
      <c r="T75" s="95" t="s">
        <v>255</v>
      </c>
      <c r="U75" s="95"/>
      <c r="V75" s="95"/>
      <c r="W75" s="95"/>
      <c r="X75" s="96"/>
      <c r="Y75" s="95"/>
      <c r="Z75" s="95"/>
      <c r="AA75" s="95"/>
      <c r="AB75" s="96"/>
      <c r="AC75" s="96"/>
      <c r="AD75" s="96"/>
      <c r="AE75" s="95" t="s">
        <v>183</v>
      </c>
      <c r="AF75" s="95" t="s">
        <v>183</v>
      </c>
      <c r="AG75" s="95" t="s">
        <v>255</v>
      </c>
      <c r="AH75" s="95"/>
      <c r="AI75" s="106"/>
      <c r="AJ75" s="106"/>
      <c r="AK75" s="106"/>
      <c r="AL75" s="106"/>
      <c r="AM75" s="106" t="s">
        <v>255</v>
      </c>
      <c r="AN75" s="106" t="s">
        <v>255</v>
      </c>
      <c r="AO75" s="106" t="s">
        <v>255</v>
      </c>
      <c r="AP75" s="106" t="s">
        <v>255</v>
      </c>
      <c r="AQ75" s="91" t="b">
        <f t="shared" si="11"/>
        <v>0</v>
      </c>
      <c r="AR75" s="108"/>
      <c r="AS75" s="108"/>
      <c r="AT75" s="108"/>
      <c r="AU75" s="108"/>
      <c r="AV75" s="170" t="str">
        <f t="shared" si="12"/>
        <v/>
      </c>
      <c r="AW75" s="108"/>
    </row>
    <row r="76" spans="1:49" ht="409.6" customHeight="1">
      <c r="A76" s="75"/>
      <c r="B76" s="82"/>
      <c r="C76" s="71" t="s">
        <v>1049</v>
      </c>
      <c r="D76" s="90" t="s">
        <v>441</v>
      </c>
      <c r="E76" s="91" t="str">
        <f>'インフラ(自社DC)'!E65</f>
        <v>NWセグメントを、業務内容や取り扱う情報区分ごとに分離（サーバセグメント、運用管理セグメント、ユーザセグメント（必要に応じ部署毎）等）しているか。
また、サーバセグメントの中でも、サービスの種類や重要度に合わせて更に分離し、セグメント間の通信を最小限のサービスのみに制限しているか。</v>
      </c>
      <c r="F76" s="91" t="s">
        <v>1050</v>
      </c>
      <c r="G76" s="92" t="s">
        <v>254</v>
      </c>
      <c r="H76" s="181"/>
      <c r="I76" s="98"/>
      <c r="J76" s="93"/>
      <c r="K76" s="93"/>
      <c r="L76" s="93"/>
      <c r="M76" s="94"/>
      <c r="N76" s="247"/>
      <c r="O76" s="111" cm="1">
        <f t="array" ref="O76">IF(AQ76=TRUE,_xlfn.IFS(M76=1,2,M76="",IF(N76="",1,2)),0)</f>
        <v>0</v>
      </c>
      <c r="P76" s="95" t="s">
        <v>255</v>
      </c>
      <c r="Q76" s="95" t="s">
        <v>255</v>
      </c>
      <c r="R76" s="95" t="s">
        <v>255</v>
      </c>
      <c r="S76" s="95" t="s">
        <v>183</v>
      </c>
      <c r="T76" s="96" t="s">
        <v>255</v>
      </c>
      <c r="U76" s="96"/>
      <c r="V76" s="96"/>
      <c r="W76" s="96"/>
      <c r="X76" s="96" t="s">
        <v>448</v>
      </c>
      <c r="Y76" s="95"/>
      <c r="Z76" s="95"/>
      <c r="AA76" s="95"/>
      <c r="AB76" s="96"/>
      <c r="AC76" s="96"/>
      <c r="AD76" s="96"/>
      <c r="AE76" s="95" t="s">
        <v>183</v>
      </c>
      <c r="AF76" s="95" t="s">
        <v>183</v>
      </c>
      <c r="AG76" s="95" t="s">
        <v>255</v>
      </c>
      <c r="AH76" s="95"/>
      <c r="AI76" s="106" t="s">
        <v>448</v>
      </c>
      <c r="AJ76" s="106" t="s">
        <v>183</v>
      </c>
      <c r="AK76" s="106" t="s">
        <v>183</v>
      </c>
      <c r="AL76" s="106" t="s">
        <v>183</v>
      </c>
      <c r="AM76" s="106" t="s">
        <v>255</v>
      </c>
      <c r="AN76" s="106" t="s">
        <v>255</v>
      </c>
      <c r="AO76" s="106" t="s">
        <v>255</v>
      </c>
      <c r="AP76" s="106" t="s">
        <v>255</v>
      </c>
      <c r="AQ76" s="91" t="b">
        <f t="shared" si="11"/>
        <v>0</v>
      </c>
      <c r="AR76" s="108"/>
      <c r="AS76" s="108" t="s">
        <v>183</v>
      </c>
      <c r="AT76" s="108"/>
      <c r="AU76" s="108"/>
      <c r="AV76" s="170" t="str">
        <f t="shared" si="12"/>
        <v>マルウェア/</v>
      </c>
      <c r="AW76" s="108" t="s">
        <v>504</v>
      </c>
    </row>
    <row r="77" spans="1:49" ht="315">
      <c r="A77" s="75"/>
      <c r="B77" s="82"/>
      <c r="C77" s="71" t="s">
        <v>1051</v>
      </c>
      <c r="D77" s="90" t="s">
        <v>443</v>
      </c>
      <c r="E77" s="91" t="str">
        <f>'インフラ(自社DC)'!E66</f>
        <v>インターネットからアクセスを受けるシステムに関しては、DoS、DDoS攻撃に対して、以下の通り帯域幅消費攻撃とシステム資源消費攻撃の双方の対策を行っているか。
なお、アウトソースシステムにおいては、当社へのサービス提供に直接用いていない共用箇所も含み上記の対策ができているか。（詳細は当セルのコメントを参照）
・可能な限りインターネットに近い位置での対策（オンプレよりもISPやCDN、スクラビングセンターなど）
・システム停止時の影響が大きなシステムに おいては、被害を受けた場合の影響を極小化できる構成と緩和策を導入
・無線LANを構築する場合、管理フレームを悪用した通信妨害攻撃対策（IEEE802.11w規格）などの保護対策を導入
・サービスの可用性が高い水準で要求されるシステムや、企業ブランドに関わるコーポレートサイトといった、アクセス不通時の影響が大きなシステムにおいては、DNSサーバーについてもDDos対策を実施</v>
      </c>
      <c r="F77" s="91" t="s">
        <v>1052</v>
      </c>
      <c r="G77" s="92" t="s">
        <v>254</v>
      </c>
      <c r="H77" s="181"/>
      <c r="I77" s="98"/>
      <c r="J77" s="93"/>
      <c r="K77" s="93"/>
      <c r="L77" s="93"/>
      <c r="M77" s="94"/>
      <c r="N77" s="247"/>
      <c r="O77" s="111" cm="1">
        <f t="array" ref="O77">IF(AQ77=TRUE,_xlfn.IFS(M77=1,2,M77="",IF(N77="",1,2)),0)</f>
        <v>0</v>
      </c>
      <c r="P77" s="95" t="s">
        <v>255</v>
      </c>
      <c r="Q77" s="95" t="s">
        <v>183</v>
      </c>
      <c r="R77" s="95" t="s">
        <v>183</v>
      </c>
      <c r="S77" s="95" t="s">
        <v>183</v>
      </c>
      <c r="T77" s="96" t="s">
        <v>183</v>
      </c>
      <c r="U77" s="96"/>
      <c r="V77" s="96"/>
      <c r="W77" s="96"/>
      <c r="X77" s="96" t="s">
        <v>448</v>
      </c>
      <c r="Y77" s="95"/>
      <c r="Z77" s="95"/>
      <c r="AA77" s="95"/>
      <c r="AB77" s="96"/>
      <c r="AC77" s="96"/>
      <c r="AD77" s="96"/>
      <c r="AE77" s="95"/>
      <c r="AF77" s="95" t="s">
        <v>183</v>
      </c>
      <c r="AG77" s="95"/>
      <c r="AH77" s="95"/>
      <c r="AI77" s="106" t="s">
        <v>183</v>
      </c>
      <c r="AJ77" s="106" t="s">
        <v>183</v>
      </c>
      <c r="AK77" s="106" t="s">
        <v>183</v>
      </c>
      <c r="AL77" s="106" t="s">
        <v>183</v>
      </c>
      <c r="AM77" s="106" t="s">
        <v>255</v>
      </c>
      <c r="AN77" s="106" t="s">
        <v>255</v>
      </c>
      <c r="AO77" s="106" t="s">
        <v>255</v>
      </c>
      <c r="AP77" s="106" t="s">
        <v>255</v>
      </c>
      <c r="AQ77" s="91" t="b">
        <f t="shared" si="11"/>
        <v>0</v>
      </c>
      <c r="AR77" s="108"/>
      <c r="AS77" s="108"/>
      <c r="AT77" s="108"/>
      <c r="AU77" s="108"/>
      <c r="AV77" s="170" t="str">
        <f t="shared" si="12"/>
        <v/>
      </c>
      <c r="AW77" s="108" t="s">
        <v>547</v>
      </c>
    </row>
    <row r="78" spans="1:49" ht="405">
      <c r="A78" s="75"/>
      <c r="B78" s="82"/>
      <c r="C78" s="71" t="s">
        <v>1053</v>
      </c>
      <c r="D78" s="90" t="s">
        <v>446</v>
      </c>
      <c r="E78" s="91" t="str">
        <f>'インフラ(自社DC)'!E67</f>
        <v>「対応ランクAシステム」または「対応ランクB-1システムの中でも重要情報(※1)を大量に保有もしくは通信し、かつ漏洩時の影響が甚大なシステム」は24365でSOC監視可能な「ファイアウォール、IPS、WAF(※2)」を導入(※3)するとともに、お客様へ公開する資源に対する改ざん検知機能を実装しているか。
（※1）重要情報の定義は情報セキュリティ管理マニュアルを参照すること。
（※2）WAFは以下要件を満たすものを導入すること
・インシデント検知時にSOCから担当者へ電話とメールで連絡が来る仕組みとなっている
・インシデントの内容を技術的な知見を持ったアナリストが詳細解析できる
・カスタムシグネチャを作る機能と運用体制を有している
・誤検知や誤遮断が生じた際に、URL×シグネチャベースで、検知除外のチューニングが行える
・HTTPリクエストだけでなくレスポンスも含めて監視可能
（※3）当社オンプレシステムにおいては、セキュアドGWを経由して接続すること。アウトソースシステムでは同等の仕組みの構築が必要である。外部からのHTTP/HTTPS通信を受ける場合はWAFを必須とし、その他のプロトコルの通信を受ける場合はIPS（IDSは不可）を必須とする</v>
      </c>
      <c r="F78" s="91" t="s">
        <v>1054</v>
      </c>
      <c r="G78" s="92" t="s">
        <v>254</v>
      </c>
      <c r="H78" s="181"/>
      <c r="I78" s="98"/>
      <c r="J78" s="93"/>
      <c r="K78" s="93"/>
      <c r="L78" s="93"/>
      <c r="M78" s="94"/>
      <c r="N78" s="247"/>
      <c r="O78" s="111" cm="1">
        <f t="array" ref="O78">IF(AQ78=TRUE,_xlfn.IFS(M78=1,2,M78="",IF(N78="",1,2)),0)</f>
        <v>0</v>
      </c>
      <c r="P78" s="95" t="s">
        <v>255</v>
      </c>
      <c r="Q78" s="95" t="s">
        <v>183</v>
      </c>
      <c r="R78" s="95" t="s">
        <v>183</v>
      </c>
      <c r="S78" s="95" t="s">
        <v>183</v>
      </c>
      <c r="T78" s="96" t="s">
        <v>183</v>
      </c>
      <c r="U78" s="96"/>
      <c r="V78" s="96"/>
      <c r="W78" s="96"/>
      <c r="X78" s="96" t="s">
        <v>448</v>
      </c>
      <c r="Y78" s="95"/>
      <c r="Z78" s="95"/>
      <c r="AA78" s="95"/>
      <c r="AB78" s="96"/>
      <c r="AC78" s="96"/>
      <c r="AD78" s="96"/>
      <c r="AE78" s="95"/>
      <c r="AF78" s="95" t="s">
        <v>183</v>
      </c>
      <c r="AG78" s="95"/>
      <c r="AH78" s="95"/>
      <c r="AI78" s="106" t="s">
        <v>183</v>
      </c>
      <c r="AJ78" s="106" t="s">
        <v>183</v>
      </c>
      <c r="AK78" s="106" t="s">
        <v>183</v>
      </c>
      <c r="AL78" s="106" t="s">
        <v>183</v>
      </c>
      <c r="AM78" s="106" t="s">
        <v>255</v>
      </c>
      <c r="AN78" s="106" t="s">
        <v>255</v>
      </c>
      <c r="AO78" s="106" t="s">
        <v>255</v>
      </c>
      <c r="AP78" s="106" t="s">
        <v>255</v>
      </c>
      <c r="AQ78" s="91" t="b">
        <f t="shared" si="11"/>
        <v>0</v>
      </c>
      <c r="AR78" s="108"/>
      <c r="AS78" s="108"/>
      <c r="AT78" s="108"/>
      <c r="AU78" s="108"/>
      <c r="AV78" s="170" t="str">
        <f t="shared" si="12"/>
        <v/>
      </c>
      <c r="AW78" s="108" t="s">
        <v>2204</v>
      </c>
    </row>
    <row r="79" spans="1:49" ht="67.5">
      <c r="A79" s="75"/>
      <c r="B79" s="82"/>
      <c r="C79" s="71" t="s">
        <v>1055</v>
      </c>
      <c r="D79" s="90" t="s">
        <v>817</v>
      </c>
      <c r="E79" s="91" t="str">
        <f>'インフラ(自社DC)'!E68</f>
        <v>IPS等セキュリティ機器の定義ファイル、検知ルールなどの最適化を実施しているか</v>
      </c>
      <c r="F79" s="91" t="s">
        <v>1056</v>
      </c>
      <c r="G79" s="92" t="s">
        <v>254</v>
      </c>
      <c r="H79" s="181"/>
      <c r="I79" s="98"/>
      <c r="J79" s="93"/>
      <c r="K79" s="93"/>
      <c r="L79" s="93"/>
      <c r="M79" s="94"/>
      <c r="N79" s="247"/>
      <c r="O79" s="111" cm="1">
        <f t="array" ref="O79">IF(AQ79=TRUE,_xlfn.IFS(M79=1,2,M79="",IF(N79="",1,2)),0)</f>
        <v>0</v>
      </c>
      <c r="P79" s="95" t="s">
        <v>255</v>
      </c>
      <c r="Q79" s="95" t="s">
        <v>183</v>
      </c>
      <c r="R79" s="95" t="s">
        <v>183</v>
      </c>
      <c r="S79" s="95" t="s">
        <v>183</v>
      </c>
      <c r="T79" s="96" t="s">
        <v>255</v>
      </c>
      <c r="U79" s="96"/>
      <c r="V79" s="96"/>
      <c r="W79" s="96"/>
      <c r="X79" s="96" t="s">
        <v>448</v>
      </c>
      <c r="Y79" s="95"/>
      <c r="Z79" s="95"/>
      <c r="AA79" s="95"/>
      <c r="AB79" s="96"/>
      <c r="AC79" s="96"/>
      <c r="AD79" s="96"/>
      <c r="AE79" s="95"/>
      <c r="AF79" s="95" t="s">
        <v>183</v>
      </c>
      <c r="AG79" s="95"/>
      <c r="AH79" s="95"/>
      <c r="AI79" s="106" t="s">
        <v>183</v>
      </c>
      <c r="AJ79" s="106" t="s">
        <v>183</v>
      </c>
      <c r="AK79" s="106" t="s">
        <v>183</v>
      </c>
      <c r="AL79" s="106" t="s">
        <v>183</v>
      </c>
      <c r="AM79" s="106" t="s">
        <v>255</v>
      </c>
      <c r="AN79" s="106" t="s">
        <v>255</v>
      </c>
      <c r="AO79" s="106" t="s">
        <v>255</v>
      </c>
      <c r="AP79" s="106" t="s">
        <v>255</v>
      </c>
      <c r="AQ79" s="91" t="b">
        <f t="shared" si="11"/>
        <v>0</v>
      </c>
      <c r="AR79" s="108"/>
      <c r="AS79" s="108"/>
      <c r="AT79" s="108"/>
      <c r="AU79" s="108"/>
      <c r="AV79" s="170" t="str">
        <f t="shared" si="12"/>
        <v/>
      </c>
      <c r="AW79" s="108"/>
    </row>
    <row r="80" spans="1:49" ht="157.5">
      <c r="A80" s="75"/>
      <c r="B80" s="82"/>
      <c r="C80" s="71" t="s">
        <v>1057</v>
      </c>
      <c r="D80" s="90" t="s">
        <v>820</v>
      </c>
      <c r="E80" s="91" t="str">
        <f>'インフラ(自社DC)'!E69</f>
        <v xml:space="preserve">外部から直接アクセスを受けるサーバ（公開サーバ／専用機等）をDMZに、
情報を保有するサーバ（非公開サーバ）を内部セグメントにそれぞれ配置し、インターネットとDMZの境界、およびDMZと内部セグメントの境界にファイアウォールを導入してセグメント間の通信を必要最小限に制限しているか
</v>
      </c>
      <c r="F80" s="91" t="s">
        <v>1058</v>
      </c>
      <c r="G80" s="92" t="s">
        <v>254</v>
      </c>
      <c r="H80" s="181"/>
      <c r="I80" s="98"/>
      <c r="J80" s="93"/>
      <c r="K80" s="93"/>
      <c r="L80" s="93"/>
      <c r="M80" s="94"/>
      <c r="N80" s="247"/>
      <c r="O80" s="111" cm="1">
        <f t="array" ref="O80">IF(AQ80=TRUE,_xlfn.IFS(M80=1,2,M80="",IF(N80="",1,2)),0)</f>
        <v>0</v>
      </c>
      <c r="P80" s="95" t="s">
        <v>255</v>
      </c>
      <c r="Q80" s="95" t="s">
        <v>183</v>
      </c>
      <c r="R80" s="95" t="s">
        <v>183</v>
      </c>
      <c r="S80" s="95" t="s">
        <v>183</v>
      </c>
      <c r="T80" s="96" t="s">
        <v>183</v>
      </c>
      <c r="U80" s="96"/>
      <c r="V80" s="96"/>
      <c r="W80" s="96"/>
      <c r="X80" s="96" t="s">
        <v>448</v>
      </c>
      <c r="Y80" s="95"/>
      <c r="Z80" s="95"/>
      <c r="AA80" s="95"/>
      <c r="AB80" s="95"/>
      <c r="AC80" s="95"/>
      <c r="AD80" s="95"/>
      <c r="AE80" s="95"/>
      <c r="AF80" s="69" t="s">
        <v>183</v>
      </c>
      <c r="AG80" s="95"/>
      <c r="AH80" s="95"/>
      <c r="AI80" s="106" t="s">
        <v>448</v>
      </c>
      <c r="AJ80" s="106" t="s">
        <v>183</v>
      </c>
      <c r="AK80" s="106" t="s">
        <v>448</v>
      </c>
      <c r="AL80" s="106" t="s">
        <v>448</v>
      </c>
      <c r="AM80" s="106" t="s">
        <v>255</v>
      </c>
      <c r="AN80" s="106" t="s">
        <v>255</v>
      </c>
      <c r="AO80" s="106" t="s">
        <v>255</v>
      </c>
      <c r="AP80" s="106" t="s">
        <v>255</v>
      </c>
      <c r="AQ80" s="91" t="b">
        <f t="shared" si="11"/>
        <v>0</v>
      </c>
      <c r="AR80" s="108"/>
      <c r="AS80" s="108"/>
      <c r="AT80" s="108"/>
      <c r="AU80" s="108"/>
      <c r="AV80" s="170" t="str">
        <f t="shared" si="12"/>
        <v/>
      </c>
      <c r="AW80" s="108"/>
    </row>
    <row r="81" spans="1:49" ht="270">
      <c r="A81" s="75"/>
      <c r="B81" s="82"/>
      <c r="C81" s="71" t="s">
        <v>1059</v>
      </c>
      <c r="D81" s="90" t="s">
        <v>822</v>
      </c>
      <c r="E81" s="91" t="str">
        <f>'インフラ(自社DC)'!E70</f>
        <v>顧客情報や決済情報を保管する DB サーバーへのネットワーク経由及び物理的なアクセス を、業務上必要な対象のみに制限できているか。
特に、マイナンバー（法人番号は含まない）を保管するシステムについては必須とする。</v>
      </c>
      <c r="F81" s="91" t="s">
        <v>1060</v>
      </c>
      <c r="G81" s="92" t="s">
        <v>254</v>
      </c>
      <c r="H81" s="181"/>
      <c r="I81" s="98"/>
      <c r="J81" s="93"/>
      <c r="K81" s="93"/>
      <c r="L81" s="93"/>
      <c r="M81" s="94"/>
      <c r="N81" s="247"/>
      <c r="O81" s="111" cm="1">
        <f t="array" ref="O81">IF(AQ81=TRUE,_xlfn.IFS(M81=1,2,M81="",IF(N81="",1,2)),0)</f>
        <v>0</v>
      </c>
      <c r="P81" s="95" t="s">
        <v>255</v>
      </c>
      <c r="Q81" s="95" t="s">
        <v>183</v>
      </c>
      <c r="R81" s="95" t="s">
        <v>183</v>
      </c>
      <c r="S81" s="95" t="s">
        <v>183</v>
      </c>
      <c r="T81" s="96" t="s">
        <v>183</v>
      </c>
      <c r="U81" s="96"/>
      <c r="V81" s="96"/>
      <c r="W81" s="96"/>
      <c r="X81" s="96" t="s">
        <v>448</v>
      </c>
      <c r="Y81" s="95"/>
      <c r="Z81" s="95"/>
      <c r="AA81" s="95"/>
      <c r="AB81" s="96"/>
      <c r="AC81" s="96" t="s">
        <v>183</v>
      </c>
      <c r="AD81" s="96"/>
      <c r="AE81" s="95" t="s">
        <v>183</v>
      </c>
      <c r="AF81" s="95" t="s">
        <v>183</v>
      </c>
      <c r="AG81" s="95"/>
      <c r="AH81" s="95"/>
      <c r="AI81" s="106" t="s">
        <v>448</v>
      </c>
      <c r="AJ81" s="106" t="s">
        <v>448</v>
      </c>
      <c r="AK81" s="106" t="s">
        <v>448</v>
      </c>
      <c r="AL81" s="106" t="s">
        <v>448</v>
      </c>
      <c r="AM81" s="106" t="s">
        <v>255</v>
      </c>
      <c r="AN81" s="106" t="s">
        <v>255</v>
      </c>
      <c r="AO81" s="106" t="s">
        <v>255</v>
      </c>
      <c r="AP81" s="106" t="s">
        <v>255</v>
      </c>
      <c r="AQ81" s="91" t="b">
        <f t="shared" si="11"/>
        <v>0</v>
      </c>
      <c r="AR81" s="108"/>
      <c r="AS81" s="108"/>
      <c r="AT81" s="108"/>
      <c r="AU81" s="108"/>
      <c r="AV81" s="170" t="str">
        <f t="shared" si="12"/>
        <v/>
      </c>
      <c r="AW81" s="108"/>
    </row>
    <row r="82" spans="1:49" ht="45">
      <c r="A82" s="75"/>
      <c r="B82" s="82"/>
      <c r="C82" s="71" t="s">
        <v>1063</v>
      </c>
      <c r="D82" s="90" t="s">
        <v>824</v>
      </c>
      <c r="E82" s="91" t="str">
        <f>'インフラ(自社DC)'!E73</f>
        <v>リモートアクセスサーバーにより内部セグメントに対し接続できる場合、適切なアクセス制限が設けられているか</v>
      </c>
      <c r="F82" s="91" t="s">
        <v>1061</v>
      </c>
      <c r="G82" s="92" t="s">
        <v>254</v>
      </c>
      <c r="H82" s="181"/>
      <c r="I82" s="98"/>
      <c r="J82" s="93"/>
      <c r="K82" s="93"/>
      <c r="L82" s="93"/>
      <c r="M82" s="94"/>
      <c r="N82" s="247"/>
      <c r="O82" s="111" cm="1">
        <f t="array" ref="O82">IF(AQ82=TRUE,_xlfn.IFS(M82=1,2,M82="",IF(N82="",1,2)),0)</f>
        <v>0</v>
      </c>
      <c r="P82" s="95" t="s">
        <v>255</v>
      </c>
      <c r="Q82" s="95" t="s">
        <v>183</v>
      </c>
      <c r="R82" s="95" t="s">
        <v>183</v>
      </c>
      <c r="S82" s="95" t="s">
        <v>183</v>
      </c>
      <c r="T82" s="96" t="s">
        <v>183</v>
      </c>
      <c r="U82" s="96"/>
      <c r="V82" s="96"/>
      <c r="W82" s="96"/>
      <c r="X82" s="96" t="s">
        <v>448</v>
      </c>
      <c r="Y82" s="95"/>
      <c r="Z82" s="95"/>
      <c r="AA82" s="95"/>
      <c r="AB82" s="96"/>
      <c r="AC82" s="96"/>
      <c r="AD82" s="96"/>
      <c r="AE82" s="95" t="s">
        <v>183</v>
      </c>
      <c r="AF82" s="95" t="s">
        <v>183</v>
      </c>
      <c r="AG82" s="95"/>
      <c r="AH82" s="95"/>
      <c r="AI82" s="106" t="s">
        <v>448</v>
      </c>
      <c r="AJ82" s="106" t="s">
        <v>183</v>
      </c>
      <c r="AK82" s="106" t="s">
        <v>183</v>
      </c>
      <c r="AL82" s="106" t="s">
        <v>183</v>
      </c>
      <c r="AM82" s="106" t="s">
        <v>255</v>
      </c>
      <c r="AN82" s="106" t="s">
        <v>255</v>
      </c>
      <c r="AO82" s="106" t="s">
        <v>255</v>
      </c>
      <c r="AP82" s="106" t="s">
        <v>255</v>
      </c>
      <c r="AQ82" s="91" t="b">
        <f t="shared" si="11"/>
        <v>0</v>
      </c>
      <c r="AR82" s="108"/>
      <c r="AS82" s="108"/>
      <c r="AT82" s="108"/>
      <c r="AU82" s="108"/>
      <c r="AV82" s="170" t="str">
        <f t="shared" si="12"/>
        <v/>
      </c>
      <c r="AW82" s="108"/>
    </row>
    <row r="83" spans="1:49" ht="112.5">
      <c r="A83" s="75"/>
      <c r="B83" s="82"/>
      <c r="C83" s="71" t="s">
        <v>1065</v>
      </c>
      <c r="D83" s="90" t="s">
        <v>826</v>
      </c>
      <c r="E83" s="91" t="str">
        <f>'インフラ(自社DC)'!E74</f>
        <v>データセンター間を接続するネットワークは閉域網を利用しているか</v>
      </c>
      <c r="F83" s="91" t="s">
        <v>1062</v>
      </c>
      <c r="G83" s="92" t="s">
        <v>254</v>
      </c>
      <c r="H83" s="181"/>
      <c r="I83" s="98"/>
      <c r="J83" s="93"/>
      <c r="K83" s="93"/>
      <c r="L83" s="93"/>
      <c r="M83" s="94"/>
      <c r="N83" s="247"/>
      <c r="O83" s="111" cm="1">
        <f t="array" ref="O83">IF(AQ83=TRUE,_xlfn.IFS(M83=1,2,M83="",IF(N83="",1,2)),0)</f>
        <v>0</v>
      </c>
      <c r="P83" s="95" t="s">
        <v>255</v>
      </c>
      <c r="Q83" s="95" t="s">
        <v>183</v>
      </c>
      <c r="R83" s="95" t="s">
        <v>183</v>
      </c>
      <c r="S83" s="95" t="s">
        <v>255</v>
      </c>
      <c r="T83" s="96"/>
      <c r="U83" s="96"/>
      <c r="V83" s="96"/>
      <c r="W83" s="96"/>
      <c r="X83" s="96" t="s">
        <v>448</v>
      </c>
      <c r="Y83" s="95"/>
      <c r="Z83" s="95"/>
      <c r="AA83" s="95"/>
      <c r="AB83" s="96"/>
      <c r="AC83" s="96"/>
      <c r="AD83" s="96"/>
      <c r="AE83" s="95" t="s">
        <v>183</v>
      </c>
      <c r="AF83" s="95" t="s">
        <v>183</v>
      </c>
      <c r="AG83" s="95"/>
      <c r="AH83" s="95"/>
      <c r="AI83" s="106" t="s">
        <v>183</v>
      </c>
      <c r="AJ83" s="106" t="s">
        <v>183</v>
      </c>
      <c r="AK83" s="106" t="s">
        <v>183</v>
      </c>
      <c r="AL83" s="106" t="s">
        <v>183</v>
      </c>
      <c r="AM83" s="106"/>
      <c r="AN83" s="106"/>
      <c r="AO83" s="106"/>
      <c r="AP83" s="106"/>
      <c r="AQ83" s="91" t="b">
        <f t="shared" si="11"/>
        <v>0</v>
      </c>
      <c r="AR83" s="108"/>
      <c r="AS83" s="108"/>
      <c r="AT83" s="108"/>
      <c r="AU83" s="108"/>
      <c r="AV83" s="170" t="str">
        <f t="shared" si="12"/>
        <v/>
      </c>
      <c r="AW83" s="108" t="s">
        <v>337</v>
      </c>
    </row>
    <row r="84" spans="1:49" ht="157.5">
      <c r="A84" s="75"/>
      <c r="B84" s="82"/>
      <c r="C84" s="71" t="s">
        <v>1067</v>
      </c>
      <c r="D84" s="90" t="s">
        <v>829</v>
      </c>
      <c r="E84" s="91" t="str">
        <f>'インフラ(自社DC)'!E75</f>
        <v>利用していない機能を悪用した不正アクセスを防止するため、不要な通信を遮断し、必要最小限の通信のみを許可するよう設定しているか。
特に、インターネットからアクセスを直接受けるNW機器やサーバーについては、リフレクション攻撃の踏み台にされるケースがあるため、通信要件を限定すること。
（補足：特にtelnet、FTP、HTTP、NetBIOS、Windowsファイル共有（SMB/CIFS）等のサービス、およびリフレクション攻撃に使われやすい外部からのDNSリクエストや、SNMP、NTP、SSDP等のUDP通信）</v>
      </c>
      <c r="F84" s="91" t="s">
        <v>1064</v>
      </c>
      <c r="G84" s="92" t="s">
        <v>254</v>
      </c>
      <c r="H84" s="181"/>
      <c r="I84" s="98"/>
      <c r="J84" s="93"/>
      <c r="K84" s="93"/>
      <c r="L84" s="93"/>
      <c r="M84" s="94"/>
      <c r="N84" s="247"/>
      <c r="O84" s="111" cm="1">
        <f t="array" ref="O84">IF(AQ84=TRUE,_xlfn.IFS(M84=1,2,M84="",IF(N84="",1,2)),0)</f>
        <v>0</v>
      </c>
      <c r="P84" s="95" t="s">
        <v>255</v>
      </c>
      <c r="Q84" s="95" t="s">
        <v>183</v>
      </c>
      <c r="R84" s="95" t="s">
        <v>183</v>
      </c>
      <c r="S84" s="95" t="s">
        <v>183</v>
      </c>
      <c r="T84" s="96" t="s">
        <v>183</v>
      </c>
      <c r="U84" s="96"/>
      <c r="V84" s="96"/>
      <c r="W84" s="96"/>
      <c r="X84" s="96" t="s">
        <v>448</v>
      </c>
      <c r="Y84" s="95"/>
      <c r="Z84" s="95"/>
      <c r="AA84" s="95"/>
      <c r="AB84" s="96"/>
      <c r="AC84" s="96"/>
      <c r="AD84" s="96"/>
      <c r="AE84" s="95" t="s">
        <v>183</v>
      </c>
      <c r="AF84" s="95" t="s">
        <v>183</v>
      </c>
      <c r="AG84" s="95"/>
      <c r="AH84" s="95"/>
      <c r="AI84" s="106" t="s">
        <v>448</v>
      </c>
      <c r="AJ84" s="106" t="s">
        <v>183</v>
      </c>
      <c r="AK84" s="106" t="s">
        <v>183</v>
      </c>
      <c r="AL84" s="106" t="s">
        <v>183</v>
      </c>
      <c r="AM84" s="106" t="s">
        <v>255</v>
      </c>
      <c r="AN84" s="106" t="s">
        <v>255</v>
      </c>
      <c r="AO84" s="106" t="s">
        <v>255</v>
      </c>
      <c r="AP84" s="106" t="s">
        <v>255</v>
      </c>
      <c r="AQ84" s="91" t="b">
        <f t="shared" si="11"/>
        <v>0</v>
      </c>
      <c r="AR84" s="108"/>
      <c r="AS84" s="108"/>
      <c r="AT84" s="108"/>
      <c r="AU84" s="108"/>
      <c r="AV84" s="170" t="str">
        <f t="shared" si="12"/>
        <v/>
      </c>
      <c r="AW84" s="108" t="s">
        <v>547</v>
      </c>
    </row>
    <row r="85" spans="1:49" ht="135">
      <c r="A85" s="75"/>
      <c r="B85" s="82"/>
      <c r="C85" s="71" t="s">
        <v>1068</v>
      </c>
      <c r="D85" s="90" t="s">
        <v>832</v>
      </c>
      <c r="E85" s="91" t="str">
        <f>'インフラ(自社DC)'!E76</f>
        <v>メンテナンス用ポート（SSH（Secure Shell）、RDP（Remote Desktop Protocol）、FTP（File Transfer Protocol） 等）について、外部からの通信をファイアウォールで遮断し、接続できる端末をIPアドレスやクライアント証明書等で制限しているか。
また、当該サービス自体を利用していない場合には、サービスの停止または削除を行っているか。</v>
      </c>
      <c r="F85" s="91" t="s">
        <v>1066</v>
      </c>
      <c r="G85" s="92" t="s">
        <v>254</v>
      </c>
      <c r="H85" s="181"/>
      <c r="I85" s="98"/>
      <c r="J85" s="93"/>
      <c r="K85" s="93"/>
      <c r="L85" s="93"/>
      <c r="M85" s="94"/>
      <c r="N85" s="247"/>
      <c r="O85" s="111" cm="1">
        <f t="array" ref="O85">IF(AQ85=TRUE,_xlfn.IFS(M85=1,2,M85="",IF(N85="",1,2)),0)</f>
        <v>0</v>
      </c>
      <c r="P85" s="95" t="s">
        <v>255</v>
      </c>
      <c r="Q85" s="95" t="s">
        <v>183</v>
      </c>
      <c r="R85" s="95" t="s">
        <v>183</v>
      </c>
      <c r="S85" s="95" t="s">
        <v>183</v>
      </c>
      <c r="T85" s="96" t="s">
        <v>183</v>
      </c>
      <c r="U85" s="96"/>
      <c r="V85" s="96"/>
      <c r="W85" s="96"/>
      <c r="X85" s="96" t="s">
        <v>448</v>
      </c>
      <c r="Y85" s="95"/>
      <c r="Z85" s="95"/>
      <c r="AA85" s="95"/>
      <c r="AB85" s="96"/>
      <c r="AC85" s="96"/>
      <c r="AD85" s="96"/>
      <c r="AE85" s="95" t="s">
        <v>183</v>
      </c>
      <c r="AF85" s="95" t="s">
        <v>183</v>
      </c>
      <c r="AG85" s="95"/>
      <c r="AH85" s="95"/>
      <c r="AI85" s="106" t="s">
        <v>448</v>
      </c>
      <c r="AJ85" s="106" t="s">
        <v>183</v>
      </c>
      <c r="AK85" s="106" t="s">
        <v>183</v>
      </c>
      <c r="AL85" s="106" t="s">
        <v>183</v>
      </c>
      <c r="AM85" s="106" t="s">
        <v>255</v>
      </c>
      <c r="AN85" s="106" t="s">
        <v>255</v>
      </c>
      <c r="AO85" s="106" t="s">
        <v>255</v>
      </c>
      <c r="AP85" s="106" t="s">
        <v>255</v>
      </c>
      <c r="AQ85" s="91" t="b">
        <f t="shared" si="11"/>
        <v>0</v>
      </c>
      <c r="AR85" s="108"/>
      <c r="AS85" s="108"/>
      <c r="AT85" s="108"/>
      <c r="AU85" s="108"/>
      <c r="AV85" s="170" t="str">
        <f t="shared" si="12"/>
        <v/>
      </c>
      <c r="AW85" s="108"/>
    </row>
    <row r="86" spans="1:49" ht="22.5">
      <c r="A86" s="75"/>
      <c r="B86" s="82"/>
      <c r="C86" s="71" t="s">
        <v>1071</v>
      </c>
      <c r="D86" s="90" t="s">
        <v>835</v>
      </c>
      <c r="E86" s="91" t="str">
        <f>'インフラ(自社DC)'!E77</f>
        <v>システム運用業務で利用するメールアドレスにフリーメールを利用しない設計となっているか</v>
      </c>
      <c r="F86" s="99" t="s">
        <v>995</v>
      </c>
      <c r="G86" s="92" t="s">
        <v>254</v>
      </c>
      <c r="H86" s="181"/>
      <c r="I86" s="98"/>
      <c r="J86" s="93"/>
      <c r="K86" s="93"/>
      <c r="L86" s="93"/>
      <c r="M86" s="94"/>
      <c r="N86" s="247"/>
      <c r="O86" s="111" cm="1">
        <f t="array" ref="O86">IF(AQ86=TRUE,_xlfn.IFS(M86=1,2,M86="",IF(N86="",1,2)),0)</f>
        <v>0</v>
      </c>
      <c r="P86" s="95" t="s">
        <v>255</v>
      </c>
      <c r="Q86" s="95" t="s">
        <v>183</v>
      </c>
      <c r="R86" s="95" t="s">
        <v>183</v>
      </c>
      <c r="S86" s="95" t="s">
        <v>183</v>
      </c>
      <c r="T86" s="96" t="s">
        <v>183</v>
      </c>
      <c r="U86" s="96"/>
      <c r="V86" s="96"/>
      <c r="W86" s="96"/>
      <c r="X86" s="96" t="s">
        <v>448</v>
      </c>
      <c r="Y86" s="95"/>
      <c r="Z86" s="95"/>
      <c r="AA86" s="95"/>
      <c r="AB86" s="96"/>
      <c r="AC86" s="96"/>
      <c r="AD86" s="96"/>
      <c r="AE86" s="95" t="s">
        <v>183</v>
      </c>
      <c r="AF86" s="95" t="s">
        <v>183</v>
      </c>
      <c r="AG86" s="95"/>
      <c r="AH86" s="95"/>
      <c r="AI86" s="106" t="s">
        <v>448</v>
      </c>
      <c r="AJ86" s="106" t="s">
        <v>183</v>
      </c>
      <c r="AK86" s="106" t="s">
        <v>448</v>
      </c>
      <c r="AL86" s="106" t="s">
        <v>183</v>
      </c>
      <c r="AM86" s="106"/>
      <c r="AN86" s="106" t="s">
        <v>255</v>
      </c>
      <c r="AO86" s="106"/>
      <c r="AP86" s="106" t="s">
        <v>255</v>
      </c>
      <c r="AQ86" s="91" t="b">
        <f t="shared" si="11"/>
        <v>0</v>
      </c>
      <c r="AR86" s="108"/>
      <c r="AS86" s="108"/>
      <c r="AT86" s="108"/>
      <c r="AU86" s="108"/>
      <c r="AV86" s="170" t="str">
        <f t="shared" si="12"/>
        <v/>
      </c>
      <c r="AW86" s="108"/>
    </row>
    <row r="87" spans="1:49" ht="157.5">
      <c r="A87" s="75"/>
      <c r="B87" s="82"/>
      <c r="C87" s="71" t="s">
        <v>1077</v>
      </c>
      <c r="D87" s="90" t="s">
        <v>1069</v>
      </c>
      <c r="E87" s="91" t="str">
        <f>'インフラ(自社DC)'!E80</f>
        <v>社内NWとインターネットとの境界に設置するファイアウォールにおいて、アウトバウンドの通信に対し、以下の要件を踏まえて設計・設定しているか。
・組織内プロキシからの通信のみ許可し、組織内プロキシを経由せずに直接インターネットへ向かう通信は遮断する
・利用する通信ポートを最低限のもの（TCP/443やその他業務で使用するもの等）に設定し、他は遮断する。</v>
      </c>
      <c r="F87" s="91" t="s">
        <v>1070</v>
      </c>
      <c r="G87" s="92" t="s">
        <v>254</v>
      </c>
      <c r="H87" s="181"/>
      <c r="I87" s="98"/>
      <c r="J87" s="93"/>
      <c r="K87" s="93"/>
      <c r="L87" s="93"/>
      <c r="M87" s="94"/>
      <c r="N87" s="247"/>
      <c r="O87" s="111" cm="1">
        <f t="array" ref="O87">IF(AQ87=TRUE,_xlfn.IFS(M87=1,2,M87="",IF(N87="",1,2)),0)</f>
        <v>0</v>
      </c>
      <c r="P87" s="95" t="s">
        <v>255</v>
      </c>
      <c r="Q87" s="95" t="s">
        <v>183</v>
      </c>
      <c r="R87" s="95" t="s">
        <v>183</v>
      </c>
      <c r="S87" s="95" t="s">
        <v>183</v>
      </c>
      <c r="T87" s="96" t="s">
        <v>183</v>
      </c>
      <c r="U87" s="96"/>
      <c r="V87" s="96"/>
      <c r="W87" s="96"/>
      <c r="X87" s="96" t="s">
        <v>448</v>
      </c>
      <c r="Y87" s="95"/>
      <c r="Z87" s="95"/>
      <c r="AA87" s="95"/>
      <c r="AB87" s="96"/>
      <c r="AC87" s="96"/>
      <c r="AD87" s="96"/>
      <c r="AE87" s="95" t="s">
        <v>255</v>
      </c>
      <c r="AF87" s="95" t="s">
        <v>255</v>
      </c>
      <c r="AG87" s="95"/>
      <c r="AH87" s="95"/>
      <c r="AI87" s="106" t="s">
        <v>448</v>
      </c>
      <c r="AJ87" s="106" t="s">
        <v>448</v>
      </c>
      <c r="AK87" s="106" t="s">
        <v>448</v>
      </c>
      <c r="AL87" s="106" t="s">
        <v>448</v>
      </c>
      <c r="AM87" s="106"/>
      <c r="AN87" s="106"/>
      <c r="AO87" s="106"/>
      <c r="AP87" s="106"/>
      <c r="AQ87" s="91" t="b">
        <f t="shared" si="11"/>
        <v>0</v>
      </c>
      <c r="AR87" s="108"/>
      <c r="AS87" s="108"/>
      <c r="AT87" s="108"/>
      <c r="AU87" s="108"/>
      <c r="AV87" s="170" t="str">
        <f t="shared" ref="AV87" si="13">IF(AR87&lt;&gt;"","セキュリティ管理/","")&amp;IF(AS87&lt;&gt;"","マルウェア/","")&amp;IF(AT87&lt;&gt;"","クラウド/","")&amp;IF(AU87&lt;&gt;"","別表1,2,3","")</f>
        <v/>
      </c>
      <c r="AW87" s="108" t="s">
        <v>2233</v>
      </c>
    </row>
    <row r="88" spans="1:49" ht="270">
      <c r="A88" s="75"/>
      <c r="B88" s="82"/>
      <c r="C88" s="71" t="s">
        <v>1078</v>
      </c>
      <c r="D88" s="196" t="s">
        <v>1072</v>
      </c>
      <c r="E88" s="91" t="str">
        <f>'インフラ(自社DC)'!E81</f>
        <v>構築対象のサーバや端末などの資源からのインターネットへの通信は、組織内のプロキシを使用して以下の通り制御するようにしているか。
・Webフィルタリングのホワイトリストに業務上必須のサイトを登録（万が一マルウェア感染によりインターネット経路の通信を遮断した時にも、必要なサイトの通信を継続できるようにするため）
・ カテゴリフィルタやブラックリストを用いた以下のサイトの制限
　- 業務上必要のないサイト
　- 業務利用に不適切なサイト(情報の不正な持ち出しに利用され得る、Webメールやストレージサービス等)
　- 不審なサイト(ウイルス感染のリスクが高いと思われるサイトや、マルウェアのコントロールに使われていそうなサイト等)</v>
      </c>
      <c r="F88" s="99" t="s">
        <v>2085</v>
      </c>
      <c r="G88" s="92" t="s">
        <v>254</v>
      </c>
      <c r="H88" s="181"/>
      <c r="I88" s="98"/>
      <c r="J88" s="93"/>
      <c r="K88" s="93"/>
      <c r="L88" s="93"/>
      <c r="M88" s="94"/>
      <c r="N88" s="247"/>
      <c r="O88" s="111" cm="1">
        <f t="array" ref="O88">IF(AQ88=TRUE,_xlfn.IFS(M88=1,2,M88="",IF(N88="",1,2)),0)</f>
        <v>0</v>
      </c>
      <c r="P88" s="95" t="s">
        <v>255</v>
      </c>
      <c r="Q88" s="95" t="s">
        <v>183</v>
      </c>
      <c r="R88" s="95" t="s">
        <v>183</v>
      </c>
      <c r="S88" s="95" t="s">
        <v>183</v>
      </c>
      <c r="T88" s="96" t="s">
        <v>183</v>
      </c>
      <c r="U88" s="96"/>
      <c r="V88" s="96"/>
      <c r="W88" s="96"/>
      <c r="X88" s="96" t="s">
        <v>448</v>
      </c>
      <c r="Y88" s="95"/>
      <c r="Z88" s="95"/>
      <c r="AA88" s="95"/>
      <c r="AB88" s="96"/>
      <c r="AC88" s="96"/>
      <c r="AD88" s="96"/>
      <c r="AE88" s="95" t="s">
        <v>255</v>
      </c>
      <c r="AF88" s="95" t="s">
        <v>255</v>
      </c>
      <c r="AG88" s="95"/>
      <c r="AH88" s="95"/>
      <c r="AI88" s="106" t="s">
        <v>448</v>
      </c>
      <c r="AJ88" s="106" t="s">
        <v>448</v>
      </c>
      <c r="AK88" s="106" t="s">
        <v>448</v>
      </c>
      <c r="AL88" s="106" t="s">
        <v>448</v>
      </c>
      <c r="AM88" s="106"/>
      <c r="AN88" s="106"/>
      <c r="AO88" s="106"/>
      <c r="AP88" s="106"/>
      <c r="AQ88" s="91" t="b">
        <f t="shared" si="11"/>
        <v>0</v>
      </c>
      <c r="AR88" s="108"/>
      <c r="AS88" s="108"/>
      <c r="AT88" s="108"/>
      <c r="AU88" s="108"/>
      <c r="AV88" s="170" t="str">
        <f t="shared" ref="AV88" si="14">IF(AR88&lt;&gt;"","セキュリティ管理/","")&amp;IF(AS88&lt;&gt;"","マルウェア/","")&amp;IF(AT88&lt;&gt;"","クラウド/","")&amp;IF(AU88&lt;&gt;"","別表1,2,3","")</f>
        <v/>
      </c>
      <c r="AW88" s="108" t="s">
        <v>2225</v>
      </c>
    </row>
    <row r="89" spans="1:49" ht="405">
      <c r="A89" s="75"/>
      <c r="B89" s="82"/>
      <c r="C89" s="71" t="s">
        <v>1080</v>
      </c>
      <c r="D89" s="196" t="s">
        <v>2084</v>
      </c>
      <c r="E89" s="107" t="s">
        <v>1042</v>
      </c>
      <c r="F89" s="91" t="s">
        <v>1073</v>
      </c>
      <c r="G89" s="92" t="s">
        <v>254</v>
      </c>
      <c r="H89" s="181"/>
      <c r="I89" s="98"/>
      <c r="J89" s="93"/>
      <c r="K89" s="93"/>
      <c r="L89" s="93"/>
      <c r="M89" s="94"/>
      <c r="N89" s="247"/>
      <c r="O89" s="111" cm="1">
        <f t="array" ref="O89">IF(AQ89=TRUE,_xlfn.IFS(M89=1,2,M89="",IF(N89="",1,2)),0)</f>
        <v>0</v>
      </c>
      <c r="P89" s="95" t="s">
        <v>255</v>
      </c>
      <c r="Q89" s="95" t="s">
        <v>183</v>
      </c>
      <c r="R89" s="95" t="s">
        <v>183</v>
      </c>
      <c r="S89" s="95" t="s">
        <v>183</v>
      </c>
      <c r="T89" s="96" t="s">
        <v>183</v>
      </c>
      <c r="U89" s="96"/>
      <c r="V89" s="96"/>
      <c r="W89" s="96"/>
      <c r="X89" s="96" t="s">
        <v>448</v>
      </c>
      <c r="Y89" s="95"/>
      <c r="Z89" s="95"/>
      <c r="AA89" s="95"/>
      <c r="AB89" s="96"/>
      <c r="AC89" s="96"/>
      <c r="AD89" s="96"/>
      <c r="AE89" s="95" t="s">
        <v>255</v>
      </c>
      <c r="AF89" s="95" t="s">
        <v>255</v>
      </c>
      <c r="AG89" s="95"/>
      <c r="AH89" s="95"/>
      <c r="AI89" s="106" t="s">
        <v>448</v>
      </c>
      <c r="AJ89" s="106" t="s">
        <v>448</v>
      </c>
      <c r="AK89" s="106" t="s">
        <v>448</v>
      </c>
      <c r="AL89" s="106" t="s">
        <v>448</v>
      </c>
      <c r="AM89" s="106"/>
      <c r="AN89" s="106"/>
      <c r="AO89" s="106"/>
      <c r="AP89" s="106"/>
      <c r="AQ89" s="91" t="b">
        <f t="shared" si="11"/>
        <v>0</v>
      </c>
      <c r="AR89" s="108"/>
      <c r="AS89" s="108"/>
      <c r="AT89" s="108"/>
      <c r="AU89" s="108"/>
      <c r="AV89" s="170" t="str">
        <f t="shared" ref="AV89" si="15">IF(AR89&lt;&gt;"","セキュリティ管理/","")&amp;IF(AS89&lt;&gt;"","マルウェア/","")&amp;IF(AT89&lt;&gt;"","クラウド/","")&amp;IF(AU89&lt;&gt;"","別表1,2,3","")</f>
        <v/>
      </c>
      <c r="AW89" s="108" t="s">
        <v>579</v>
      </c>
    </row>
    <row r="90" spans="1:49" ht="22.5">
      <c r="A90" s="75" t="s">
        <v>845</v>
      </c>
      <c r="B90" s="75"/>
      <c r="C90" s="113"/>
      <c r="D90" s="76"/>
      <c r="E90" s="77"/>
      <c r="F90" s="77"/>
      <c r="G90" s="78"/>
      <c r="H90" s="78"/>
      <c r="I90" s="79"/>
      <c r="J90" s="78"/>
      <c r="K90" s="78"/>
      <c r="L90" s="78"/>
      <c r="M90" s="80"/>
      <c r="N90" s="245"/>
      <c r="O90" s="245"/>
      <c r="P90" s="80"/>
      <c r="Q90" s="80"/>
      <c r="R90" s="80"/>
      <c r="S90" s="80"/>
      <c r="T90" s="80"/>
      <c r="U90" s="80"/>
      <c r="V90" s="80"/>
      <c r="W90" s="80"/>
      <c r="X90" s="80"/>
      <c r="Y90" s="80"/>
      <c r="Z90" s="80"/>
      <c r="AA90" s="80"/>
      <c r="AB90" s="80"/>
      <c r="AC90" s="80"/>
      <c r="AD90" s="80"/>
      <c r="AE90" s="80"/>
      <c r="AF90" s="80"/>
      <c r="AG90" s="80"/>
      <c r="AH90" s="80"/>
      <c r="AI90" s="80"/>
      <c r="AJ90" s="80"/>
      <c r="AK90" s="80"/>
      <c r="AL90" s="80"/>
      <c r="AM90" s="80"/>
      <c r="AN90" s="80"/>
      <c r="AO90" s="80"/>
      <c r="AP90" s="80"/>
      <c r="AQ90" s="80" t="s">
        <v>268</v>
      </c>
      <c r="AR90" s="80"/>
      <c r="AS90" s="80"/>
      <c r="AT90" s="80"/>
      <c r="AU90" s="80"/>
      <c r="AV90" s="80"/>
      <c r="AW90" s="80"/>
    </row>
    <row r="91" spans="1:49" ht="22.5">
      <c r="A91" s="75"/>
      <c r="B91" s="82"/>
      <c r="C91" s="58"/>
      <c r="D91" s="82"/>
      <c r="E91" s="82"/>
      <c r="F91" s="83"/>
      <c r="G91" s="82"/>
      <c r="H91" s="85"/>
      <c r="I91" s="86"/>
      <c r="J91" s="82"/>
      <c r="K91" s="82"/>
      <c r="L91" s="82"/>
      <c r="M91" s="129"/>
      <c r="N91" s="246"/>
      <c r="O91" s="246"/>
      <c r="P91" s="129"/>
      <c r="Q91" s="129"/>
      <c r="R91" s="129"/>
      <c r="S91" s="129"/>
      <c r="T91" s="129"/>
      <c r="U91" s="129"/>
      <c r="V91" s="129"/>
      <c r="W91" s="129"/>
      <c r="X91" s="129"/>
      <c r="Y91" s="129"/>
      <c r="Z91" s="129"/>
      <c r="AA91" s="129"/>
      <c r="AB91" s="129"/>
      <c r="AC91" s="129"/>
      <c r="AD91" s="129"/>
      <c r="AE91" s="129"/>
      <c r="AF91" s="129"/>
      <c r="AG91" s="129"/>
      <c r="AH91" s="129"/>
      <c r="AI91" s="129"/>
      <c r="AJ91" s="129"/>
      <c r="AK91" s="129"/>
      <c r="AL91" s="129"/>
      <c r="AM91" s="129"/>
      <c r="AN91" s="129"/>
      <c r="AO91" s="129"/>
      <c r="AP91" s="129"/>
      <c r="AQ91" s="129" t="s">
        <v>268</v>
      </c>
      <c r="AR91" s="129"/>
      <c r="AS91" s="129"/>
      <c r="AT91" s="129"/>
      <c r="AU91" s="129"/>
      <c r="AV91" s="129"/>
      <c r="AW91" s="129"/>
    </row>
    <row r="92" spans="1:49" ht="67.5">
      <c r="A92" s="75"/>
      <c r="B92" s="82"/>
      <c r="C92" s="71" t="s">
        <v>1081</v>
      </c>
      <c r="D92" s="90" t="s">
        <v>451</v>
      </c>
      <c r="E92" s="91" t="s">
        <v>1074</v>
      </c>
      <c r="F92" s="91" t="s">
        <v>1075</v>
      </c>
      <c r="G92" s="92" t="s">
        <v>361</v>
      </c>
      <c r="H92" s="181"/>
      <c r="I92" s="98"/>
      <c r="J92" s="93"/>
      <c r="K92" s="93"/>
      <c r="L92" s="93"/>
      <c r="M92" s="94"/>
      <c r="N92" s="247"/>
      <c r="O92" s="111" cm="1">
        <f t="array" ref="O92">IF(AQ92=TRUE,_xlfn.IFS(M92=1,2,M92="",IF(N92="",1,2)),0)</f>
        <v>0</v>
      </c>
      <c r="P92" s="95" t="s">
        <v>255</v>
      </c>
      <c r="Q92" s="95" t="s">
        <v>183</v>
      </c>
      <c r="R92" s="95" t="s">
        <v>183</v>
      </c>
      <c r="S92" s="95" t="s">
        <v>183</v>
      </c>
      <c r="T92" s="95"/>
      <c r="U92" s="95"/>
      <c r="V92" s="95"/>
      <c r="W92" s="95"/>
      <c r="X92" s="96" t="s">
        <v>448</v>
      </c>
      <c r="Y92" s="96" t="s">
        <v>255</v>
      </c>
      <c r="Z92" s="95"/>
      <c r="AA92" s="95"/>
      <c r="AB92" s="96"/>
      <c r="AC92" s="96"/>
      <c r="AD92" s="96"/>
      <c r="AE92" s="95" t="s">
        <v>183</v>
      </c>
      <c r="AF92" s="95" t="s">
        <v>183</v>
      </c>
      <c r="AG92" s="95" t="s">
        <v>255</v>
      </c>
      <c r="AH92" s="95" t="s">
        <v>255</v>
      </c>
      <c r="AI92" s="106" t="s">
        <v>448</v>
      </c>
      <c r="AJ92" s="106" t="s">
        <v>448</v>
      </c>
      <c r="AK92" s="106" t="s">
        <v>448</v>
      </c>
      <c r="AL92" s="106" t="s">
        <v>448</v>
      </c>
      <c r="AM92" s="106"/>
      <c r="AN92" s="106"/>
      <c r="AO92" s="106"/>
      <c r="AP92" s="106"/>
      <c r="AQ92" s="91" t="b">
        <f t="shared" ref="AQ92:AQ114" si="16">AND(AND(OR(AND($P$6=TRUE,$P92&lt;&gt;""),AND($Q$6=TRUE,$Q92&lt;&gt;""),AND($R$6=TRUE,$R92&lt;&gt;"")),AND($S$6=TRUE,$S92&lt;&gt;""),OR(AND($T$6=TRUE,$T92&lt;&gt;""),AND($U$6=TRUE,$U92&lt;&gt;""),AND($V$6=TRUE,$V92&lt;&gt;""),AND($W$6=TRUE,$W92&lt;&gt;""),AND($X$6=TRUE,$X92&lt;&gt;""),AND($Y$6=TRUE,$Y92&lt;&gt;""),AND($Z$6=TRUE,$Z92&lt;&gt;""),AND($AA$6=TRUE,$AA92&lt;&gt;""),AND($AB$6=TRUE,$AB92&lt;&gt;""),AND($AC$6=TRUE,$AC92&lt;&gt;""),AND($AD$6=TRUE,$AD92&lt;&gt;""))),OR(AND($AE$6=TRUE,$AE92&lt;&gt;""),AND($AF$6=TRUE,$AF92&lt;&gt;""),AND($AG$6=TRUE,$AG92&lt;&gt;""),AND($AH$6=TRUE,$AH92&lt;&gt;"")),NOT(AND(NOT(AND($AI$6=FALSE,$AK$6=FALSE,$AM$6=FALSE,$AO$6=FALSE)),OR($AI$6=FALSE,AND($AI$6=TRUE,$AI92&lt;&gt;"",$AJ92&lt;&gt;"")),OR($AK$6=FALSE,AND($AK$6=TRUE,$AK92&lt;&gt;"",$AL92&lt;&gt;"")),OR($AM$6=FALSE,AND($AM$6=TRUE,$AM92&lt;&gt;"",$AN92&lt;&gt;"")),OR($AO$6=FALSE,AND($AO$6=TRUE,$AO92&lt;&gt;"",$AP92&lt;&gt;"")))))</f>
        <v>0</v>
      </c>
      <c r="AR92" s="108"/>
      <c r="AS92" s="108"/>
      <c r="AT92" s="108"/>
      <c r="AU92" s="108"/>
      <c r="AV92" s="170" t="str">
        <f t="shared" ref="AV92:AV114" si="17">IF(AR92&lt;&gt;"","セキュリティ管理/","")&amp;IF(AS92&lt;&gt;"","マルウェア/","")&amp;IF(AT92&lt;&gt;"","クラウド/","")&amp;IF(AU92&lt;&gt;"","別表1,2,3","")</f>
        <v/>
      </c>
      <c r="AW92" s="108"/>
    </row>
    <row r="93" spans="1:49" ht="67.5">
      <c r="A93" s="75"/>
      <c r="B93" s="82"/>
      <c r="C93" s="71" t="s">
        <v>1082</v>
      </c>
      <c r="D93" s="90" t="s">
        <v>454</v>
      </c>
      <c r="E93" s="91" t="s">
        <v>1074</v>
      </c>
      <c r="F93" s="91" t="s">
        <v>1076</v>
      </c>
      <c r="G93" s="92" t="s">
        <v>361</v>
      </c>
      <c r="H93" s="181"/>
      <c r="I93" s="98"/>
      <c r="J93" s="93"/>
      <c r="K93" s="93"/>
      <c r="L93" s="93"/>
      <c r="M93" s="94"/>
      <c r="N93" s="247"/>
      <c r="O93" s="111" cm="1">
        <f t="array" ref="O93">IF(AQ93=TRUE,_xlfn.IFS(M93=1,2,M93="",IF(N93="",1,2)),0)</f>
        <v>0</v>
      </c>
      <c r="P93" s="95" t="s">
        <v>255</v>
      </c>
      <c r="Q93" s="95" t="s">
        <v>183</v>
      </c>
      <c r="R93" s="95" t="s">
        <v>183</v>
      </c>
      <c r="S93" s="95" t="s">
        <v>183</v>
      </c>
      <c r="T93" s="95"/>
      <c r="U93" s="95"/>
      <c r="V93" s="95"/>
      <c r="W93" s="95"/>
      <c r="X93" s="96" t="s">
        <v>448</v>
      </c>
      <c r="Y93" s="96"/>
      <c r="Z93" s="95"/>
      <c r="AA93" s="96" t="s">
        <v>255</v>
      </c>
      <c r="AB93" s="96"/>
      <c r="AC93" s="96"/>
      <c r="AD93" s="96"/>
      <c r="AE93" s="95" t="s">
        <v>183</v>
      </c>
      <c r="AF93" s="95" t="s">
        <v>183</v>
      </c>
      <c r="AG93" s="95" t="s">
        <v>255</v>
      </c>
      <c r="AH93" s="95" t="s">
        <v>255</v>
      </c>
      <c r="AI93" s="106" t="s">
        <v>448</v>
      </c>
      <c r="AJ93" s="106" t="s">
        <v>448</v>
      </c>
      <c r="AK93" s="106" t="s">
        <v>448</v>
      </c>
      <c r="AL93" s="106" t="s">
        <v>448</v>
      </c>
      <c r="AM93" s="106"/>
      <c r="AN93" s="106"/>
      <c r="AO93" s="106"/>
      <c r="AP93" s="106"/>
      <c r="AQ93" s="91" t="b">
        <f t="shared" si="16"/>
        <v>0</v>
      </c>
      <c r="AR93" s="108"/>
      <c r="AS93" s="108"/>
      <c r="AT93" s="108"/>
      <c r="AU93" s="108"/>
      <c r="AV93" s="170" t="str">
        <f t="shared" si="17"/>
        <v/>
      </c>
      <c r="AW93" s="108"/>
    </row>
    <row r="94" spans="1:49" ht="45">
      <c r="A94" s="75"/>
      <c r="B94" s="82"/>
      <c r="C94" s="71" t="s">
        <v>1084</v>
      </c>
      <c r="D94" s="90" t="s">
        <v>457</v>
      </c>
      <c r="E94" s="91" t="str">
        <f>'インフラ(自社DC)'!E84</f>
        <v>構築対象の端末について、常に基準となる時刻（システムリソースとの）と同期を取っているか</v>
      </c>
      <c r="F94" s="99" t="s">
        <v>995</v>
      </c>
      <c r="G94" s="92" t="s">
        <v>254</v>
      </c>
      <c r="H94" s="181"/>
      <c r="I94" s="98"/>
      <c r="J94" s="93"/>
      <c r="K94" s="93"/>
      <c r="L94" s="93"/>
      <c r="M94" s="94"/>
      <c r="N94" s="247"/>
      <c r="O94" s="111" cm="1">
        <f t="array" ref="O94">IF(AQ94=TRUE,_xlfn.IFS(M94=1,2,M94="",IF(N94="",1,2)),0)</f>
        <v>0</v>
      </c>
      <c r="P94" s="95" t="s">
        <v>255</v>
      </c>
      <c r="Q94" s="95" t="s">
        <v>255</v>
      </c>
      <c r="R94" s="95" t="s">
        <v>255</v>
      </c>
      <c r="S94" s="95" t="s">
        <v>255</v>
      </c>
      <c r="T94" s="95"/>
      <c r="U94" s="95"/>
      <c r="V94" s="95"/>
      <c r="W94" s="95"/>
      <c r="X94" s="96" t="s">
        <v>448</v>
      </c>
      <c r="Y94" s="96" t="s">
        <v>255</v>
      </c>
      <c r="Z94" s="95"/>
      <c r="AA94" s="95"/>
      <c r="AB94" s="96"/>
      <c r="AC94" s="96"/>
      <c r="AD94" s="96"/>
      <c r="AE94" s="95" t="s">
        <v>183</v>
      </c>
      <c r="AF94" s="95" t="s">
        <v>183</v>
      </c>
      <c r="AG94" s="95" t="s">
        <v>255</v>
      </c>
      <c r="AH94" s="95" t="s">
        <v>255</v>
      </c>
      <c r="AI94" s="106" t="s">
        <v>448</v>
      </c>
      <c r="AJ94" s="106" t="s">
        <v>183</v>
      </c>
      <c r="AK94" s="106" t="s">
        <v>448</v>
      </c>
      <c r="AL94" s="106" t="s">
        <v>183</v>
      </c>
      <c r="AM94" s="106"/>
      <c r="AN94" s="106"/>
      <c r="AO94" s="106"/>
      <c r="AP94" s="106"/>
      <c r="AQ94" s="91" t="b">
        <f t="shared" si="16"/>
        <v>0</v>
      </c>
      <c r="AR94" s="108"/>
      <c r="AS94" s="108"/>
      <c r="AT94" s="108"/>
      <c r="AU94" s="108"/>
      <c r="AV94" s="170" t="str">
        <f t="shared" si="17"/>
        <v/>
      </c>
      <c r="AW94" s="108"/>
    </row>
    <row r="95" spans="1:49" ht="157.5">
      <c r="A95" s="75"/>
      <c r="B95" s="82"/>
      <c r="C95" s="71" t="s">
        <v>1085</v>
      </c>
      <c r="D95" s="90" t="s">
        <v>460</v>
      </c>
      <c r="E95" s="91" t="str">
        <f>'インフラ(自社DC)'!E85</f>
        <v>構築対象の端末について、起動時および一定時間（１０分間）の無操作時は、ID・パスワードの入力を必要としているか。
（アウトソースシステムは、回答で「YES」を選択した場合、下記のうち該当する番号を備考欄に記入する。）
１．端末操作起動時および一定時間無操作時
２．端末操作起動時のみ</v>
      </c>
      <c r="F95" s="99" t="s">
        <v>1079</v>
      </c>
      <c r="G95" s="92" t="s">
        <v>254</v>
      </c>
      <c r="H95" s="181"/>
      <c r="I95" s="98"/>
      <c r="J95" s="93"/>
      <c r="K95" s="93"/>
      <c r="L95" s="93"/>
      <c r="M95" s="94"/>
      <c r="N95" s="247"/>
      <c r="O95" s="111" cm="1">
        <f t="array" ref="O95">IF(AQ95=TRUE,_xlfn.IFS(M95=1,2,M95="",IF(N95="",1,2)),0)</f>
        <v>0</v>
      </c>
      <c r="P95" s="95" t="s">
        <v>255</v>
      </c>
      <c r="Q95" s="95" t="s">
        <v>255</v>
      </c>
      <c r="R95" s="95" t="s">
        <v>255</v>
      </c>
      <c r="S95" s="95" t="s">
        <v>255</v>
      </c>
      <c r="T95" s="95"/>
      <c r="U95" s="95"/>
      <c r="V95" s="95"/>
      <c r="W95" s="95"/>
      <c r="X95" s="96"/>
      <c r="Y95" s="96" t="s">
        <v>255</v>
      </c>
      <c r="Z95" s="95"/>
      <c r="AA95" s="95"/>
      <c r="AB95" s="96"/>
      <c r="AC95" s="96"/>
      <c r="AD95" s="96"/>
      <c r="AE95" s="95" t="s">
        <v>183</v>
      </c>
      <c r="AF95" s="95" t="s">
        <v>183</v>
      </c>
      <c r="AG95" s="95" t="s">
        <v>255</v>
      </c>
      <c r="AH95" s="95" t="s">
        <v>255</v>
      </c>
      <c r="AI95" s="106" t="s">
        <v>448</v>
      </c>
      <c r="AJ95" s="106" t="s">
        <v>183</v>
      </c>
      <c r="AK95" s="106" t="s">
        <v>448</v>
      </c>
      <c r="AL95" s="106" t="s">
        <v>183</v>
      </c>
      <c r="AM95" s="106"/>
      <c r="AN95" s="106"/>
      <c r="AO95" s="106"/>
      <c r="AP95" s="106"/>
      <c r="AQ95" s="91" t="b">
        <f t="shared" si="16"/>
        <v>0</v>
      </c>
      <c r="AR95" s="108"/>
      <c r="AS95" s="108"/>
      <c r="AT95" s="108"/>
      <c r="AU95" s="108" t="s">
        <v>183</v>
      </c>
      <c r="AV95" s="170" t="str">
        <f t="shared" si="17"/>
        <v>別表1,2,3</v>
      </c>
      <c r="AW95" s="108"/>
    </row>
    <row r="96" spans="1:49" ht="360">
      <c r="A96" s="75"/>
      <c r="B96" s="82"/>
      <c r="C96" s="71" t="s">
        <v>1090</v>
      </c>
      <c r="D96" s="90" t="s">
        <v>462</v>
      </c>
      <c r="E96" s="91" t="str">
        <f>'インフラ(自社DC)'!E87</f>
        <v>構築対象の端末について、端末間の通信を業務要件に基づいて必要最低限に制限、または遮断しているか。
攻撃者によりリモートコントロールされたユーザ端末から、周囲のユーザ端末へのファイル共有機能を悪用した内部侵害拡大を防止する。
ファイル共有が業務上必要な場合は監視を強化し、不正なファイル共有機能の利用を検知する。
ユーザ端末間の通信を制限する代表例は以下のようなものがある。
・Active Directoryのグループポリシー等を利用してファイル共有機能を停止するとともに、ユーザーによるファイル共有の新規作成を禁止する。
・パーソナルファイアウォール等のアクセス制御機能を用いて、ユーザ端末間の通信を遮断し、ウィルス定義ファイルやセキュリティパッチ自動配信等の運用管理に必要な通信のみ受付ける設定とする。
・ユーザー端末相互間において445/tcp、NetBIOS 137, 139での通信を禁止する、SMB v1（SMB 1.0/CIFSファイル共有）を無効化する。</v>
      </c>
      <c r="F96" s="99" t="s">
        <v>1079</v>
      </c>
      <c r="G96" s="92" t="s">
        <v>254</v>
      </c>
      <c r="H96" s="181"/>
      <c r="I96" s="98"/>
      <c r="J96" s="93"/>
      <c r="K96" s="93"/>
      <c r="L96" s="93"/>
      <c r="M96" s="94"/>
      <c r="N96" s="247"/>
      <c r="O96" s="111" cm="1">
        <f t="array" ref="O96">IF(AQ96=TRUE,_xlfn.IFS(M96=1,2,M96="",IF(N96="",1,2)),0)</f>
        <v>0</v>
      </c>
      <c r="P96" s="95" t="s">
        <v>255</v>
      </c>
      <c r="Q96" s="95" t="s">
        <v>255</v>
      </c>
      <c r="R96" s="95" t="s">
        <v>255</v>
      </c>
      <c r="S96" s="95" t="s">
        <v>255</v>
      </c>
      <c r="T96" s="95"/>
      <c r="U96" s="95"/>
      <c r="V96" s="95"/>
      <c r="W96" s="95"/>
      <c r="X96" s="96"/>
      <c r="Y96" s="96" t="s">
        <v>255</v>
      </c>
      <c r="Z96" s="95"/>
      <c r="AA96" s="95"/>
      <c r="AB96" s="96"/>
      <c r="AC96" s="96"/>
      <c r="AD96" s="96"/>
      <c r="AE96" s="95" t="s">
        <v>183</v>
      </c>
      <c r="AF96" s="95" t="s">
        <v>183</v>
      </c>
      <c r="AG96" s="95" t="s">
        <v>255</v>
      </c>
      <c r="AH96" s="95" t="s">
        <v>255</v>
      </c>
      <c r="AI96" s="106" t="s">
        <v>448</v>
      </c>
      <c r="AJ96" s="106" t="s">
        <v>448</v>
      </c>
      <c r="AK96" s="106" t="s">
        <v>448</v>
      </c>
      <c r="AL96" s="106" t="s">
        <v>448</v>
      </c>
      <c r="AM96" s="106"/>
      <c r="AN96" s="106"/>
      <c r="AO96" s="106"/>
      <c r="AP96" s="106"/>
      <c r="AQ96" s="91" t="b">
        <f t="shared" si="16"/>
        <v>0</v>
      </c>
      <c r="AR96" s="108"/>
      <c r="AS96" s="108" t="s">
        <v>183</v>
      </c>
      <c r="AT96" s="108"/>
      <c r="AU96" s="108"/>
      <c r="AV96" s="170" t="str">
        <f t="shared" si="17"/>
        <v>マルウェア/</v>
      </c>
      <c r="AW96" s="108"/>
    </row>
    <row r="97" spans="1:49" ht="90">
      <c r="A97" s="75"/>
      <c r="B97" s="82"/>
      <c r="C97" s="71" t="s">
        <v>1092</v>
      </c>
      <c r="D97" s="90" t="s">
        <v>855</v>
      </c>
      <c r="E97" s="91" t="str">
        <f>'インフラ(自社DC)'!E88</f>
        <v>構築対象の端末について、端末内に本番データを保存できないようにしているか
保存する必要がある場合は、暗号化および外部媒体への書き出しを制御をしているか
また、上記暗号化に使用した暗号鍵は耐タンパー性を有する暗号モジュールへ格納すること。</v>
      </c>
      <c r="F97" s="99" t="s">
        <v>995</v>
      </c>
      <c r="G97" s="92" t="s">
        <v>254</v>
      </c>
      <c r="H97" s="181"/>
      <c r="I97" s="98"/>
      <c r="J97" s="93"/>
      <c r="K97" s="93"/>
      <c r="L97" s="93"/>
      <c r="M97" s="94"/>
      <c r="N97" s="247"/>
      <c r="O97" s="111" cm="1">
        <f t="array" ref="O97">IF(AQ97=TRUE,_xlfn.IFS(M97=1,2,M97="",IF(N97="",1,2)),0)</f>
        <v>0</v>
      </c>
      <c r="P97" s="95" t="s">
        <v>255</v>
      </c>
      <c r="Q97" s="95" t="s">
        <v>255</v>
      </c>
      <c r="R97" s="95" t="s">
        <v>255</v>
      </c>
      <c r="S97" s="95" t="s">
        <v>255</v>
      </c>
      <c r="T97" s="95"/>
      <c r="U97" s="95"/>
      <c r="V97" s="95"/>
      <c r="W97" s="95"/>
      <c r="X97" s="96"/>
      <c r="Y97" s="96" t="s">
        <v>255</v>
      </c>
      <c r="Z97" s="95"/>
      <c r="AA97" s="95"/>
      <c r="AB97" s="96"/>
      <c r="AC97" s="96"/>
      <c r="AD97" s="96"/>
      <c r="AE97" s="95" t="s">
        <v>183</v>
      </c>
      <c r="AF97" s="95" t="s">
        <v>183</v>
      </c>
      <c r="AG97" s="95" t="s">
        <v>255</v>
      </c>
      <c r="AH97" s="95" t="s">
        <v>255</v>
      </c>
      <c r="AI97" s="106" t="s">
        <v>448</v>
      </c>
      <c r="AJ97" s="106" t="s">
        <v>183</v>
      </c>
      <c r="AK97" s="106" t="s">
        <v>448</v>
      </c>
      <c r="AL97" s="106" t="s">
        <v>183</v>
      </c>
      <c r="AM97" s="106"/>
      <c r="AN97" s="106"/>
      <c r="AO97" s="106"/>
      <c r="AP97" s="106"/>
      <c r="AQ97" s="91" t="b">
        <f t="shared" si="16"/>
        <v>0</v>
      </c>
      <c r="AR97" s="108" t="s">
        <v>183</v>
      </c>
      <c r="AS97" s="108" t="s">
        <v>183</v>
      </c>
      <c r="AT97" s="108"/>
      <c r="AU97" s="108" t="s">
        <v>183</v>
      </c>
      <c r="AV97" s="170" t="str">
        <f t="shared" si="17"/>
        <v>セキュリティ管理/マルウェア/別表1,2,3</v>
      </c>
      <c r="AW97" s="108"/>
    </row>
    <row r="98" spans="1:49" ht="202.5">
      <c r="A98" s="75"/>
      <c r="B98" s="82"/>
      <c r="C98" s="71" t="s">
        <v>1095</v>
      </c>
      <c r="D98" s="90" t="s">
        <v>1083</v>
      </c>
      <c r="E98" s="91" t="str">
        <f>'インフラ(自社DC)'!E90</f>
        <v>構築対象の端末はＵＳＢポートの利用を制限し、外部媒体を使用できない様にしているか（Windows PCに対するスマートフォン等のUSB接続対策を含む）
例外的に外部媒体の利用を認める端末を用意する場合は、以下の通り対応しているか。
　・外部媒体接続時の自動再生機能を停止
　・（外部媒体に書き出しを行う場合）通常の運用端末や業務端末とは別に書き出し用の端末を用意し、許可された利用者および外部媒体にのみに書き出しを制限するツールや仕組みを導入するとともに、自動的に暗号化を行う</v>
      </c>
      <c r="F98" s="99" t="s">
        <v>995</v>
      </c>
      <c r="G98" s="92" t="s">
        <v>254</v>
      </c>
      <c r="H98" s="181"/>
      <c r="I98" s="98"/>
      <c r="J98" s="93"/>
      <c r="K98" s="93"/>
      <c r="L98" s="93"/>
      <c r="M98" s="94"/>
      <c r="N98" s="247"/>
      <c r="O98" s="111" cm="1">
        <f t="array" ref="O98">IF(AQ98=TRUE,_xlfn.IFS(M98=1,2,M98="",IF(N98="",1,2)),0)</f>
        <v>0</v>
      </c>
      <c r="P98" s="95" t="s">
        <v>255</v>
      </c>
      <c r="Q98" s="95" t="s">
        <v>255</v>
      </c>
      <c r="R98" s="95" t="s">
        <v>255</v>
      </c>
      <c r="S98" s="95" t="s">
        <v>255</v>
      </c>
      <c r="T98" s="95"/>
      <c r="U98" s="95"/>
      <c r="V98" s="95"/>
      <c r="W98" s="95"/>
      <c r="X98" s="96"/>
      <c r="Y98" s="96" t="s">
        <v>255</v>
      </c>
      <c r="Z98" s="95"/>
      <c r="AA98" s="95"/>
      <c r="AB98" s="96"/>
      <c r="AC98" s="96"/>
      <c r="AD98" s="96"/>
      <c r="AE98" s="95" t="s">
        <v>255</v>
      </c>
      <c r="AF98" s="95" t="s">
        <v>255</v>
      </c>
      <c r="AG98" s="95" t="s">
        <v>255</v>
      </c>
      <c r="AH98" s="95" t="s">
        <v>255</v>
      </c>
      <c r="AI98" s="106" t="s">
        <v>448</v>
      </c>
      <c r="AJ98" s="106"/>
      <c r="AK98" s="106" t="s">
        <v>448</v>
      </c>
      <c r="AL98" s="106"/>
      <c r="AM98" s="106"/>
      <c r="AN98" s="106"/>
      <c r="AO98" s="106"/>
      <c r="AP98" s="106"/>
      <c r="AQ98" s="91" t="b">
        <f t="shared" si="16"/>
        <v>0</v>
      </c>
      <c r="AR98" s="108"/>
      <c r="AS98" s="108" t="s">
        <v>183</v>
      </c>
      <c r="AT98" s="108"/>
      <c r="AU98" s="108" t="s">
        <v>183</v>
      </c>
      <c r="AV98" s="170" t="str">
        <f>IF(AR98&lt;&gt;"","セキュリティ管理/","")&amp;IF(AS98&lt;&gt;"","マルウェア/","")&amp;IF(AT98&lt;&gt;"","クラウド/","")&amp;IF(AU98&lt;&gt;"","別表1,2,3","")</f>
        <v>マルウェア/別表1,2,3</v>
      </c>
      <c r="AW98" s="108" t="s">
        <v>1044</v>
      </c>
    </row>
    <row r="99" spans="1:49" ht="135">
      <c r="A99" s="75"/>
      <c r="B99" s="82"/>
      <c r="C99" s="71" t="s">
        <v>1097</v>
      </c>
      <c r="D99" s="90" t="s">
        <v>861</v>
      </c>
      <c r="E99" s="91" t="str">
        <f>'インフラ(自社DC)'!E91</f>
        <v>構築対象の端末については、本番データの印刷が行えない様にシステム的な対策を行っているか。
本番データを扱わずに印刷を行う場合、あるいは現地法制・現地慣習などを踏まえて例外的に本番データの印刷を行わざるを得ない場合は、印刷ログを自動取得・保管しているか。
なお、東京海上/あんしん生命におけるひとり一台端末については、夜間(22-5時）または土日祝日の印刷時にリーダー系列者にレポート送付する機能を実装すること。</v>
      </c>
      <c r="F99" s="99" t="s">
        <v>995</v>
      </c>
      <c r="G99" s="92" t="s">
        <v>254</v>
      </c>
      <c r="H99" s="181"/>
      <c r="I99" s="98"/>
      <c r="J99" s="93"/>
      <c r="K99" s="93"/>
      <c r="L99" s="93"/>
      <c r="M99" s="94"/>
      <c r="N99" s="247"/>
      <c r="O99" s="111" cm="1">
        <f t="array" ref="O99">IF(AQ99=TRUE,_xlfn.IFS(M99=1,2,M99="",IF(N99="",1,2)),0)</f>
        <v>0</v>
      </c>
      <c r="P99" s="95" t="s">
        <v>255</v>
      </c>
      <c r="Q99" s="95" t="s">
        <v>255</v>
      </c>
      <c r="R99" s="95" t="s">
        <v>255</v>
      </c>
      <c r="S99" s="95" t="s">
        <v>255</v>
      </c>
      <c r="T99" s="95"/>
      <c r="U99" s="95"/>
      <c r="V99" s="95"/>
      <c r="W99" s="95"/>
      <c r="X99" s="96"/>
      <c r="Y99" s="96" t="s">
        <v>255</v>
      </c>
      <c r="Z99" s="95"/>
      <c r="AA99" s="95"/>
      <c r="AB99" s="96"/>
      <c r="AC99" s="96"/>
      <c r="AD99" s="96"/>
      <c r="AE99" s="95" t="s">
        <v>255</v>
      </c>
      <c r="AF99" s="95" t="s">
        <v>255</v>
      </c>
      <c r="AG99" s="95" t="s">
        <v>255</v>
      </c>
      <c r="AH99" s="95" t="s">
        <v>255</v>
      </c>
      <c r="AI99" s="106" t="s">
        <v>448</v>
      </c>
      <c r="AJ99" s="106"/>
      <c r="AK99" s="106" t="s">
        <v>448</v>
      </c>
      <c r="AL99" s="106"/>
      <c r="AM99" s="106"/>
      <c r="AN99" s="106"/>
      <c r="AO99" s="106"/>
      <c r="AP99" s="106"/>
      <c r="AQ99" s="91" t="b">
        <f t="shared" si="16"/>
        <v>0</v>
      </c>
      <c r="AR99" s="108" t="s">
        <v>183</v>
      </c>
      <c r="AS99" s="108"/>
      <c r="AT99" s="108"/>
      <c r="AU99" s="108" t="s">
        <v>183</v>
      </c>
      <c r="AV99" s="170" t="str">
        <f>IF(AR99&lt;&gt;"","セキュリティ管理/","")&amp;IF(AS99&lt;&gt;"","マルウェア/","")&amp;IF(AT99&lt;&gt;"","クラウド/","")&amp;IF(AU99&lt;&gt;"","別表1,2,3","")</f>
        <v>セキュリティ管理/別表1,2,3</v>
      </c>
      <c r="AW99" s="108" t="s">
        <v>2212</v>
      </c>
    </row>
    <row r="100" spans="1:49" ht="157.5">
      <c r="A100" s="75"/>
      <c r="B100" s="82"/>
      <c r="C100" s="71" t="s">
        <v>1099</v>
      </c>
      <c r="D100" s="90" t="s">
        <v>1086</v>
      </c>
      <c r="E100" s="91" t="str">
        <f>'インフラ(自社DC)'!E92</f>
        <v>構築対象の端末から社外へデータ提供する際は、電子メールもしくはデータへのアクセス制御（有効期限、メールアドレスに基づくアクセス制御）ができる電子ポストなどのサービスを使用する設計としているか。
また、電子メールは添付ファイルを自動的に暗号化する機能を実装し、暗号化パスワードは以下の対策を実施しているか。
・事前に送付先と取り決めたパスワードを使用する
・取り決めたパスワードはメール以外の方法で伝える</v>
      </c>
      <c r="F100" s="99" t="s">
        <v>995</v>
      </c>
      <c r="G100" s="92" t="s">
        <v>254</v>
      </c>
      <c r="H100" s="181"/>
      <c r="I100" s="98"/>
      <c r="J100" s="93"/>
      <c r="K100" s="93"/>
      <c r="L100" s="93"/>
      <c r="M100" s="94"/>
      <c r="N100" s="247"/>
      <c r="O100" s="111" cm="1">
        <f t="array" ref="O100">IF(AQ100=TRUE,_xlfn.IFS(M100=1,2,M100="",IF(N100="",1,2)),0)</f>
        <v>0</v>
      </c>
      <c r="P100" s="95" t="s">
        <v>255</v>
      </c>
      <c r="Q100" s="95" t="s">
        <v>255</v>
      </c>
      <c r="R100" s="95" t="s">
        <v>255</v>
      </c>
      <c r="S100" s="95" t="s">
        <v>255</v>
      </c>
      <c r="T100" s="95"/>
      <c r="U100" s="95"/>
      <c r="V100" s="95"/>
      <c r="W100" s="95"/>
      <c r="X100" s="96"/>
      <c r="Y100" s="96" t="s">
        <v>255</v>
      </c>
      <c r="Z100" s="95"/>
      <c r="AA100" s="95"/>
      <c r="AB100" s="96"/>
      <c r="AC100" s="96"/>
      <c r="AD100" s="96"/>
      <c r="AE100" s="95" t="s">
        <v>255</v>
      </c>
      <c r="AF100" s="95" t="s">
        <v>255</v>
      </c>
      <c r="AG100" s="95" t="s">
        <v>255</v>
      </c>
      <c r="AH100" s="95" t="s">
        <v>255</v>
      </c>
      <c r="AI100" s="106" t="s">
        <v>448</v>
      </c>
      <c r="AJ100" s="106"/>
      <c r="AK100" s="106" t="s">
        <v>448</v>
      </c>
      <c r="AL100" s="106"/>
      <c r="AM100" s="106"/>
      <c r="AN100" s="106"/>
      <c r="AO100" s="106"/>
      <c r="AP100" s="106"/>
      <c r="AQ100" s="91" t="b">
        <f t="shared" si="16"/>
        <v>0</v>
      </c>
      <c r="AR100" s="108"/>
      <c r="AS100" s="108"/>
      <c r="AT100" s="108"/>
      <c r="AU100" s="108" t="s">
        <v>183</v>
      </c>
      <c r="AV100" s="170" t="str">
        <f>IF(AR100&lt;&gt;"","セキュリティ管理/","")&amp;IF(AS100&lt;&gt;"","マルウェア/","")&amp;IF(AT100&lt;&gt;"","クラウド/","")&amp;IF(AU100&lt;&gt;"","別表1,2,3","")</f>
        <v>別表1,2,3</v>
      </c>
      <c r="AW100" s="108" t="s">
        <v>1087</v>
      </c>
    </row>
    <row r="101" spans="1:49" ht="135">
      <c r="A101" s="75"/>
      <c r="B101" s="82"/>
      <c r="C101" s="71" t="s">
        <v>1101</v>
      </c>
      <c r="D101" s="90" t="s">
        <v>1088</v>
      </c>
      <c r="E101" s="91" t="str">
        <f>'インフラ(自社DC)'!E93</f>
        <v>構築対象の端末で使用するアカウントの権限を以下のように最小化しているか。
・ユーザー端末で使用するアカウントはDomain Usersグループに登録し（一般ユーザー権限とし）、管理者権限を付与しない。
・ユーザー端末のメンテナンスを行う場合は、Operatorsグループに登録したアカウント（ローカル管理者権限）を使用する。</v>
      </c>
      <c r="F101" s="99" t="s">
        <v>1089</v>
      </c>
      <c r="G101" s="92" t="s">
        <v>254</v>
      </c>
      <c r="H101" s="181"/>
      <c r="I101" s="98"/>
      <c r="J101" s="93"/>
      <c r="K101" s="93"/>
      <c r="L101" s="93"/>
      <c r="M101" s="94"/>
      <c r="N101" s="247"/>
      <c r="O101" s="111" cm="1">
        <f t="array" ref="O101">IF(AQ101=TRUE,_xlfn.IFS(M101=1,2,M101="",IF(N101="",1,2)),0)</f>
        <v>0</v>
      </c>
      <c r="P101" s="95" t="s">
        <v>255</v>
      </c>
      <c r="Q101" s="95" t="s">
        <v>255</v>
      </c>
      <c r="R101" s="95" t="s">
        <v>255</v>
      </c>
      <c r="S101" s="95" t="s">
        <v>255</v>
      </c>
      <c r="T101" s="95"/>
      <c r="U101" s="95"/>
      <c r="V101" s="95"/>
      <c r="W101" s="95"/>
      <c r="X101" s="96"/>
      <c r="Y101" s="96" t="s">
        <v>255</v>
      </c>
      <c r="Z101" s="95"/>
      <c r="AA101" s="95"/>
      <c r="AB101" s="96"/>
      <c r="AC101" s="96"/>
      <c r="AD101" s="96"/>
      <c r="AE101" s="95" t="s">
        <v>183</v>
      </c>
      <c r="AF101" s="95" t="s">
        <v>183</v>
      </c>
      <c r="AG101" s="95" t="s">
        <v>255</v>
      </c>
      <c r="AH101" s="95" t="s">
        <v>255</v>
      </c>
      <c r="AI101" s="106" t="s">
        <v>448</v>
      </c>
      <c r="AJ101" s="106" t="s">
        <v>448</v>
      </c>
      <c r="AK101" s="106" t="s">
        <v>448</v>
      </c>
      <c r="AL101" s="106" t="s">
        <v>448</v>
      </c>
      <c r="AM101" s="106"/>
      <c r="AN101" s="106"/>
      <c r="AO101" s="106"/>
      <c r="AP101" s="106"/>
      <c r="AQ101" s="91" t="b">
        <f t="shared" si="16"/>
        <v>0</v>
      </c>
      <c r="AR101" s="108"/>
      <c r="AS101" s="108" t="s">
        <v>183</v>
      </c>
      <c r="AT101" s="108"/>
      <c r="AU101" s="108"/>
      <c r="AV101" s="170" t="str">
        <f t="shared" si="17"/>
        <v>マルウェア/</v>
      </c>
      <c r="AW101" s="108"/>
    </row>
    <row r="102" spans="1:49" ht="180">
      <c r="A102" s="75"/>
      <c r="B102" s="82"/>
      <c r="C102" s="71" t="s">
        <v>1103</v>
      </c>
      <c r="D102" s="90" t="s">
        <v>1091</v>
      </c>
      <c r="E102" s="91" t="str">
        <f>'インフラ(自社DC)'!E94</f>
        <v xml:space="preserve">構築対象のドメインの管理者アカウントを使用する業務を最小化しているか。
不用意な管理者アカウントの配布・拡散を防ぐため以下を実施する。
・ドメインの管理者アカウントは、普段使用するアカウントとは別に管理者専用のアカウントを割り当てる。
・当アカウントはドメインの管理者権限が必要となる業務に対してのみ許可する。
・当アカウントは特定の運用管理端末でのみ使用する。
</v>
      </c>
      <c r="F102" s="99" t="s">
        <v>1089</v>
      </c>
      <c r="G102" s="92" t="s">
        <v>254</v>
      </c>
      <c r="H102" s="181"/>
      <c r="I102" s="98"/>
      <c r="J102" s="93"/>
      <c r="K102" s="93"/>
      <c r="L102" s="93"/>
      <c r="M102" s="94"/>
      <c r="N102" s="247"/>
      <c r="O102" s="111" cm="1">
        <f t="array" ref="O102">IF(AQ102=TRUE,_xlfn.IFS(M102=1,2,M102="",IF(N102="",1,2)),0)</f>
        <v>0</v>
      </c>
      <c r="P102" s="95" t="s">
        <v>255</v>
      </c>
      <c r="Q102" s="95" t="s">
        <v>255</v>
      </c>
      <c r="R102" s="95" t="s">
        <v>255</v>
      </c>
      <c r="S102" s="95" t="s">
        <v>255</v>
      </c>
      <c r="T102" s="95"/>
      <c r="U102" s="95"/>
      <c r="V102" s="95"/>
      <c r="W102" s="95"/>
      <c r="X102" s="96"/>
      <c r="Y102" s="96" t="s">
        <v>255</v>
      </c>
      <c r="Z102" s="95"/>
      <c r="AA102" s="95"/>
      <c r="AB102" s="96"/>
      <c r="AC102" s="96"/>
      <c r="AD102" s="96"/>
      <c r="AE102" s="95" t="s">
        <v>183</v>
      </c>
      <c r="AF102" s="95" t="s">
        <v>183</v>
      </c>
      <c r="AG102" s="95" t="s">
        <v>255</v>
      </c>
      <c r="AH102" s="95" t="s">
        <v>255</v>
      </c>
      <c r="AI102" s="106" t="s">
        <v>448</v>
      </c>
      <c r="AJ102" s="106" t="s">
        <v>448</v>
      </c>
      <c r="AK102" s="106" t="s">
        <v>448</v>
      </c>
      <c r="AL102" s="106" t="s">
        <v>448</v>
      </c>
      <c r="AM102" s="106"/>
      <c r="AN102" s="106"/>
      <c r="AO102" s="106"/>
      <c r="AP102" s="106"/>
      <c r="AQ102" s="91" t="b">
        <f t="shared" si="16"/>
        <v>0</v>
      </c>
      <c r="AR102" s="108"/>
      <c r="AS102" s="108" t="s">
        <v>183</v>
      </c>
      <c r="AT102" s="108"/>
      <c r="AU102" s="108" t="s">
        <v>183</v>
      </c>
      <c r="AV102" s="170" t="str">
        <f t="shared" si="17"/>
        <v>マルウェア/別表1,2,3</v>
      </c>
      <c r="AW102" s="108"/>
    </row>
    <row r="103" spans="1:49" ht="202.5">
      <c r="A103" s="75"/>
      <c r="B103" s="82"/>
      <c r="C103" s="71" t="s">
        <v>1104</v>
      </c>
      <c r="D103" s="90" t="s">
        <v>1093</v>
      </c>
      <c r="E103" s="91" t="str">
        <f>'インフラ(自社DC)'!E95</f>
        <v xml:space="preserve">構築対象の端末が不特定のインターネットアクセスやメール送受信を行う場合、その出入口の経路において、IPS/IDSを用いて以下の対策を実装しているか。
・不正コードの検知と遮断、およびモニタリング
・アウトバウンドの不正通信の検知と遮断状、およびモニタリング
（回答で「YES」を選択した場合は、下記のうち該当する番号を備考欄に記入する。）
1.対策、モニタリング共に実施している
2.対策はしていないがモニタリングは実施している
</v>
      </c>
      <c r="F103" s="99" t="s">
        <v>995</v>
      </c>
      <c r="G103" s="92" t="s">
        <v>254</v>
      </c>
      <c r="H103" s="181"/>
      <c r="I103" s="98"/>
      <c r="J103" s="93"/>
      <c r="K103" s="93"/>
      <c r="L103" s="93"/>
      <c r="M103" s="94"/>
      <c r="N103" s="247"/>
      <c r="O103" s="111" cm="1">
        <f t="array" ref="O103">IF(AQ103=TRUE,_xlfn.IFS(M103=1,2,M103="",IF(N103="",1,2)),0)</f>
        <v>0</v>
      </c>
      <c r="P103" s="95" t="s">
        <v>255</v>
      </c>
      <c r="Q103" s="95" t="s">
        <v>255</v>
      </c>
      <c r="R103" s="95" t="s">
        <v>255</v>
      </c>
      <c r="S103" s="95" t="s">
        <v>255</v>
      </c>
      <c r="T103" s="95"/>
      <c r="U103" s="95"/>
      <c r="V103" s="95"/>
      <c r="W103" s="95"/>
      <c r="X103" s="96"/>
      <c r="Y103" s="96" t="s">
        <v>255</v>
      </c>
      <c r="Z103" s="95"/>
      <c r="AA103" s="95"/>
      <c r="AB103" s="96"/>
      <c r="AC103" s="96"/>
      <c r="AD103" s="96"/>
      <c r="AE103" s="95" t="s">
        <v>255</v>
      </c>
      <c r="AF103" s="95" t="s">
        <v>255</v>
      </c>
      <c r="AG103" s="95" t="s">
        <v>255</v>
      </c>
      <c r="AH103" s="95" t="s">
        <v>255</v>
      </c>
      <c r="AI103" s="106" t="s">
        <v>448</v>
      </c>
      <c r="AJ103" s="106"/>
      <c r="AK103" s="106" t="s">
        <v>448</v>
      </c>
      <c r="AL103" s="106"/>
      <c r="AM103" s="106"/>
      <c r="AN103" s="106"/>
      <c r="AO103" s="106"/>
      <c r="AP103" s="106"/>
      <c r="AQ103" s="91" t="b">
        <f t="shared" si="16"/>
        <v>0</v>
      </c>
      <c r="AR103" s="108"/>
      <c r="AS103" s="108" t="s">
        <v>183</v>
      </c>
      <c r="AT103" s="108"/>
      <c r="AU103" s="108"/>
      <c r="AV103" s="170" t="str">
        <f t="shared" ref="AV103:AV109" si="18">IF(AR103&lt;&gt;"","セキュリティ管理/","")&amp;IF(AS103&lt;&gt;"","マルウェア/","")&amp;IF(AT103&lt;&gt;"","クラウド/","")&amp;IF(AU103&lt;&gt;"","別表1,2,3","")</f>
        <v>マルウェア/</v>
      </c>
      <c r="AW103" s="108" t="s">
        <v>1044</v>
      </c>
    </row>
    <row r="104" spans="1:49" ht="135">
      <c r="A104" s="75"/>
      <c r="B104" s="82"/>
      <c r="C104" s="71" t="s">
        <v>1105</v>
      </c>
      <c r="D104" s="90" t="s">
        <v>1094</v>
      </c>
      <c r="E104" s="91" t="str">
        <f>'インフラ(自社DC)'!E96</f>
        <v>構築対象の端末が不特定のインターネットアクセスや外部からのメール受信を行う場合、EDRや振舞検知製品の導入や、NW上にIDS/IPS等を導入することにより、社内システムとのデータ送受信の内容をチェックしているか。
また、不正コードの実行や不審な通信が検知された場合に、検知内容や遮断状況に応じて必要な対策をとるための手順およびツールを準備しているか。</v>
      </c>
      <c r="F104" s="99" t="s">
        <v>995</v>
      </c>
      <c r="G104" s="92" t="s">
        <v>254</v>
      </c>
      <c r="H104" s="181"/>
      <c r="I104" s="98"/>
      <c r="J104" s="93"/>
      <c r="K104" s="93"/>
      <c r="L104" s="93"/>
      <c r="M104" s="94"/>
      <c r="N104" s="247"/>
      <c r="O104" s="111" cm="1">
        <f t="array" ref="O104">IF(AQ104=TRUE,_xlfn.IFS(M104=1,2,M104="",IF(N104="",1,2)),0)</f>
        <v>0</v>
      </c>
      <c r="P104" s="95" t="s">
        <v>255</v>
      </c>
      <c r="Q104" s="95" t="s">
        <v>255</v>
      </c>
      <c r="R104" s="95" t="s">
        <v>255</v>
      </c>
      <c r="S104" s="95" t="s">
        <v>255</v>
      </c>
      <c r="T104" s="95"/>
      <c r="U104" s="95"/>
      <c r="V104" s="95"/>
      <c r="W104" s="95"/>
      <c r="X104" s="96"/>
      <c r="Y104" s="96" t="s">
        <v>255</v>
      </c>
      <c r="Z104" s="95"/>
      <c r="AA104" s="95"/>
      <c r="AB104" s="96"/>
      <c r="AC104" s="96"/>
      <c r="AD104" s="96"/>
      <c r="AE104" s="95" t="s">
        <v>255</v>
      </c>
      <c r="AF104" s="95" t="s">
        <v>255</v>
      </c>
      <c r="AG104" s="95" t="s">
        <v>255</v>
      </c>
      <c r="AH104" s="95" t="s">
        <v>255</v>
      </c>
      <c r="AI104" s="106" t="s">
        <v>448</v>
      </c>
      <c r="AJ104" s="106"/>
      <c r="AK104" s="106" t="s">
        <v>448</v>
      </c>
      <c r="AL104" s="106"/>
      <c r="AM104" s="106"/>
      <c r="AN104" s="106"/>
      <c r="AO104" s="106"/>
      <c r="AP104" s="106"/>
      <c r="AQ104" s="91" t="b">
        <f t="shared" si="16"/>
        <v>0</v>
      </c>
      <c r="AR104" s="108"/>
      <c r="AS104" s="108"/>
      <c r="AT104" s="108"/>
      <c r="AU104" s="108"/>
      <c r="AV104" s="170" t="str">
        <f t="shared" si="18"/>
        <v/>
      </c>
      <c r="AW104" s="108" t="s">
        <v>1044</v>
      </c>
    </row>
    <row r="105" spans="1:49" ht="157.5">
      <c r="A105" s="75"/>
      <c r="B105" s="82"/>
      <c r="C105" s="71" t="s">
        <v>1106</v>
      </c>
      <c r="D105" s="90" t="s">
        <v>1096</v>
      </c>
      <c r="E105" s="91" t="str">
        <f>'インフラ(自社DC)'!E97</f>
        <v>構築対象の端末が不特定のインターネットアクセスや外部からのメール受信を行う場合、万が一不審ファイルをダウンロードしてしまった場合でも、不用意に実行されないための以下のような制限を行っているか。
・ 許可したプログラム・プロセスのみ実行可能とする。
・ PowerShellやWSH（Windows Scripting Host）を無効化して不必要なコマンドやスクリプトの実行をブロックする。</v>
      </c>
      <c r="F105" s="99" t="s">
        <v>995</v>
      </c>
      <c r="G105" s="92" t="s">
        <v>254</v>
      </c>
      <c r="H105" s="181"/>
      <c r="I105" s="98"/>
      <c r="J105" s="93"/>
      <c r="K105" s="93"/>
      <c r="L105" s="93"/>
      <c r="M105" s="94"/>
      <c r="N105" s="247"/>
      <c r="O105" s="111" cm="1">
        <f t="array" ref="O105">IF(AQ105=TRUE,_xlfn.IFS(M105=1,2,M105="",IF(N105="",1,2)),0)</f>
        <v>0</v>
      </c>
      <c r="P105" s="95" t="s">
        <v>255</v>
      </c>
      <c r="Q105" s="95" t="s">
        <v>255</v>
      </c>
      <c r="R105" s="95" t="s">
        <v>255</v>
      </c>
      <c r="S105" s="95" t="s">
        <v>255</v>
      </c>
      <c r="T105" s="95"/>
      <c r="U105" s="95"/>
      <c r="V105" s="95"/>
      <c r="W105" s="95"/>
      <c r="X105" s="96"/>
      <c r="Y105" s="96" t="s">
        <v>255</v>
      </c>
      <c r="Z105" s="95"/>
      <c r="AA105" s="95"/>
      <c r="AB105" s="96"/>
      <c r="AC105" s="96"/>
      <c r="AD105" s="96"/>
      <c r="AE105" s="95" t="s">
        <v>255</v>
      </c>
      <c r="AF105" s="95" t="s">
        <v>255</v>
      </c>
      <c r="AG105" s="95" t="s">
        <v>255</v>
      </c>
      <c r="AH105" s="95" t="s">
        <v>255</v>
      </c>
      <c r="AI105" s="106" t="s">
        <v>448</v>
      </c>
      <c r="AJ105" s="106"/>
      <c r="AK105" s="106" t="s">
        <v>448</v>
      </c>
      <c r="AL105" s="106"/>
      <c r="AM105" s="106"/>
      <c r="AN105" s="106"/>
      <c r="AO105" s="106"/>
      <c r="AP105" s="106"/>
      <c r="AQ105" s="91" t="b">
        <f t="shared" si="16"/>
        <v>0</v>
      </c>
      <c r="AR105" s="108"/>
      <c r="AS105" s="108"/>
      <c r="AT105" s="108"/>
      <c r="AU105" s="108"/>
      <c r="AV105" s="170" t="str">
        <f t="shared" si="18"/>
        <v/>
      </c>
      <c r="AW105" s="108" t="s">
        <v>1044</v>
      </c>
    </row>
    <row r="106" spans="1:49" ht="135">
      <c r="A106" s="75"/>
      <c r="B106" s="82"/>
      <c r="C106" s="71" t="s">
        <v>1107</v>
      </c>
      <c r="D106" s="90" t="s">
        <v>1098</v>
      </c>
      <c r="E106" s="91" t="str">
        <f>'インフラ(自社DC)'!E98</f>
        <v>構築対象の端末が不特定のインターネットアクセスや外部からのメール受信を行う場合、以下の条件をもとに端末内のファイルの保持条項や不正なアクセス履歴の有無を調べるための仕組み(例えばEDRなど)を構築しているか。
・任意のハッシュ値やファイル名をキーに、保持状況を調査する
・任意のURLやIPアドレスをキーに、アクセス履歴を調査する</v>
      </c>
      <c r="F106" s="99" t="s">
        <v>995</v>
      </c>
      <c r="G106" s="92" t="s">
        <v>254</v>
      </c>
      <c r="H106" s="181"/>
      <c r="I106" s="98"/>
      <c r="J106" s="93"/>
      <c r="K106" s="93"/>
      <c r="L106" s="93"/>
      <c r="M106" s="94"/>
      <c r="N106" s="247"/>
      <c r="O106" s="111" cm="1">
        <f t="array" ref="O106">IF(AQ106=TRUE,_xlfn.IFS(M106=1,2,M106="",IF(N106="",1,2)),0)</f>
        <v>0</v>
      </c>
      <c r="P106" s="95" t="s">
        <v>255</v>
      </c>
      <c r="Q106" s="95" t="s">
        <v>255</v>
      </c>
      <c r="R106" s="95" t="s">
        <v>255</v>
      </c>
      <c r="S106" s="95" t="s">
        <v>255</v>
      </c>
      <c r="T106" s="95"/>
      <c r="U106" s="95"/>
      <c r="V106" s="95"/>
      <c r="W106" s="95"/>
      <c r="X106" s="96"/>
      <c r="Y106" s="96" t="s">
        <v>255</v>
      </c>
      <c r="Z106" s="95"/>
      <c r="AA106" s="95"/>
      <c r="AB106" s="96"/>
      <c r="AC106" s="96"/>
      <c r="AD106" s="96"/>
      <c r="AE106" s="95" t="s">
        <v>255</v>
      </c>
      <c r="AF106" s="95" t="s">
        <v>255</v>
      </c>
      <c r="AG106" s="95" t="s">
        <v>255</v>
      </c>
      <c r="AH106" s="95" t="s">
        <v>255</v>
      </c>
      <c r="AI106" s="106" t="s">
        <v>448</v>
      </c>
      <c r="AJ106" s="106"/>
      <c r="AK106" s="106" t="s">
        <v>448</v>
      </c>
      <c r="AL106" s="106"/>
      <c r="AM106" s="106"/>
      <c r="AN106" s="106"/>
      <c r="AO106" s="106"/>
      <c r="AP106" s="106"/>
      <c r="AQ106" s="91" t="b">
        <f t="shared" si="16"/>
        <v>0</v>
      </c>
      <c r="AR106" s="108"/>
      <c r="AS106" s="108"/>
      <c r="AT106" s="108"/>
      <c r="AU106" s="108"/>
      <c r="AV106" s="170" t="str">
        <f t="shared" si="18"/>
        <v/>
      </c>
      <c r="AW106" s="108" t="s">
        <v>1044</v>
      </c>
    </row>
    <row r="107" spans="1:49" ht="45">
      <c r="A107" s="75"/>
      <c r="B107" s="82"/>
      <c r="C107" s="71" t="s">
        <v>1108</v>
      </c>
      <c r="D107" s="90" t="s">
        <v>1100</v>
      </c>
      <c r="E107" s="91" t="str">
        <f>'インフラ(自社DC)'!E99</f>
        <v>構築対象の端末が不特定のインターネットアクセスや外部からのメール受信を行う場合、本番サーバのメンテナンス用ポートへの通信（SSHやRDP、FTPなど）を不可としているか</v>
      </c>
      <c r="F107" s="99" t="s">
        <v>995</v>
      </c>
      <c r="G107" s="92" t="s">
        <v>254</v>
      </c>
      <c r="H107" s="181"/>
      <c r="I107" s="98"/>
      <c r="J107" s="93"/>
      <c r="K107" s="93"/>
      <c r="L107" s="93"/>
      <c r="M107" s="94"/>
      <c r="N107" s="247"/>
      <c r="O107" s="111" cm="1">
        <f t="array" ref="O107">IF(AQ107=TRUE,_xlfn.IFS(M107=1,2,M107="",IF(N107="",1,2)),0)</f>
        <v>0</v>
      </c>
      <c r="P107" s="95" t="s">
        <v>255</v>
      </c>
      <c r="Q107" s="95" t="s">
        <v>255</v>
      </c>
      <c r="R107" s="95" t="s">
        <v>255</v>
      </c>
      <c r="S107" s="95" t="s">
        <v>255</v>
      </c>
      <c r="T107" s="95"/>
      <c r="U107" s="95"/>
      <c r="V107" s="95"/>
      <c r="W107" s="95"/>
      <c r="X107" s="96"/>
      <c r="Y107" s="96" t="s">
        <v>255</v>
      </c>
      <c r="Z107" s="95"/>
      <c r="AA107" s="95"/>
      <c r="AB107" s="96"/>
      <c r="AC107" s="96"/>
      <c r="AD107" s="96"/>
      <c r="AE107" s="95" t="s">
        <v>255</v>
      </c>
      <c r="AF107" s="95" t="s">
        <v>255</v>
      </c>
      <c r="AG107" s="95" t="s">
        <v>255</v>
      </c>
      <c r="AH107" s="95" t="s">
        <v>255</v>
      </c>
      <c r="AI107" s="106" t="s">
        <v>448</v>
      </c>
      <c r="AJ107" s="106"/>
      <c r="AK107" s="106" t="s">
        <v>448</v>
      </c>
      <c r="AL107" s="106"/>
      <c r="AM107" s="106"/>
      <c r="AN107" s="106"/>
      <c r="AO107" s="106"/>
      <c r="AP107" s="106"/>
      <c r="AQ107" s="91" t="b">
        <f t="shared" si="16"/>
        <v>0</v>
      </c>
      <c r="AR107" s="108"/>
      <c r="AS107" s="108"/>
      <c r="AT107" s="108"/>
      <c r="AU107" s="108"/>
      <c r="AV107" s="170" t="str">
        <f t="shared" si="18"/>
        <v/>
      </c>
      <c r="AW107" s="108" t="s">
        <v>1044</v>
      </c>
    </row>
    <row r="108" spans="1:49" ht="157.5">
      <c r="A108" s="75"/>
      <c r="B108" s="82"/>
      <c r="C108" s="71" t="s">
        <v>2123</v>
      </c>
      <c r="D108" s="90" t="s">
        <v>1102</v>
      </c>
      <c r="E108" s="91" t="str">
        <f>'インフラ(自社DC)'!E100</f>
        <v xml:space="preserve">構築対象の端末が不特定のインターネットアクセスや外部からのメール受信を行う場合、以下を実施しているか。
・インターネット閲覧環境の分離(仮想ブラウザ等）
・ブラウザのプロキシ設定の有効化
・POSTサイズ制限、アクセスログの取得
</v>
      </c>
      <c r="F108" s="99" t="s">
        <v>995</v>
      </c>
      <c r="G108" s="92" t="s">
        <v>254</v>
      </c>
      <c r="H108" s="181"/>
      <c r="I108" s="98"/>
      <c r="J108" s="93"/>
      <c r="K108" s="93"/>
      <c r="L108" s="93"/>
      <c r="M108" s="94"/>
      <c r="N108" s="247"/>
      <c r="O108" s="111" cm="1">
        <f t="array" ref="O108">IF(AQ108=TRUE,_xlfn.IFS(M108=1,2,M108="",IF(N108="",1,2)),0)</f>
        <v>0</v>
      </c>
      <c r="P108" s="95" t="s">
        <v>255</v>
      </c>
      <c r="Q108" s="95" t="s">
        <v>255</v>
      </c>
      <c r="R108" s="95" t="s">
        <v>255</v>
      </c>
      <c r="S108" s="95" t="s">
        <v>255</v>
      </c>
      <c r="T108" s="95"/>
      <c r="U108" s="95"/>
      <c r="V108" s="95"/>
      <c r="W108" s="95"/>
      <c r="X108" s="96"/>
      <c r="Y108" s="96" t="s">
        <v>255</v>
      </c>
      <c r="Z108" s="95"/>
      <c r="AA108" s="95"/>
      <c r="AB108" s="96"/>
      <c r="AC108" s="96"/>
      <c r="AD108" s="96"/>
      <c r="AE108" s="95" t="s">
        <v>255</v>
      </c>
      <c r="AF108" s="95" t="s">
        <v>255</v>
      </c>
      <c r="AG108" s="95" t="s">
        <v>255</v>
      </c>
      <c r="AH108" s="95" t="s">
        <v>255</v>
      </c>
      <c r="AI108" s="106" t="s">
        <v>448</v>
      </c>
      <c r="AJ108" s="106"/>
      <c r="AK108" s="106" t="s">
        <v>448</v>
      </c>
      <c r="AL108" s="106"/>
      <c r="AM108" s="106"/>
      <c r="AN108" s="106"/>
      <c r="AO108" s="106"/>
      <c r="AP108" s="106"/>
      <c r="AQ108" s="91" t="b">
        <f t="shared" si="16"/>
        <v>0</v>
      </c>
      <c r="AR108" s="108"/>
      <c r="AS108" s="108"/>
      <c r="AT108" s="108"/>
      <c r="AU108" s="108" t="s">
        <v>183</v>
      </c>
      <c r="AV108" s="170" t="str">
        <f t="shared" si="18"/>
        <v>別表1,2,3</v>
      </c>
      <c r="AW108" s="108" t="s">
        <v>2212</v>
      </c>
    </row>
    <row r="109" spans="1:49" ht="180">
      <c r="A109" s="75"/>
      <c r="B109" s="82"/>
      <c r="C109" s="71" t="s">
        <v>2124</v>
      </c>
      <c r="D109" s="90" t="s">
        <v>887</v>
      </c>
      <c r="E109" s="91" t="str">
        <f>'インフラ(自社DC)'!E101</f>
        <v xml:space="preserve">不特定からのメールを受信、かつ、不特定のインターネットへ直接アクセス可能な端末を構築する場合、不正なリンクが貼られたメールがフィルタリングをすり抜けた場合に備え、不正サイトへのアクセスを抑止できるようになっているか
不正サイトへの対策には以下のようなものがある。
・外部サイトへのURLリンクを一部加工する等のメール無害化を行う。
・仮想ブラウザにより端末とインターネットを分離する。
</v>
      </c>
      <c r="F109" s="99" t="s">
        <v>995</v>
      </c>
      <c r="G109" s="92" t="s">
        <v>254</v>
      </c>
      <c r="H109" s="181"/>
      <c r="I109" s="98"/>
      <c r="J109" s="93"/>
      <c r="K109" s="93"/>
      <c r="L109" s="93"/>
      <c r="M109" s="94"/>
      <c r="N109" s="247"/>
      <c r="O109" s="111" cm="1">
        <f t="array" ref="O109">IF(AQ109=TRUE,_xlfn.IFS(M109=1,2,M109="",IF(N109="",1,2)),0)</f>
        <v>0</v>
      </c>
      <c r="P109" s="95" t="s">
        <v>255</v>
      </c>
      <c r="Q109" s="95" t="s">
        <v>255</v>
      </c>
      <c r="R109" s="95" t="s">
        <v>255</v>
      </c>
      <c r="S109" s="95" t="s">
        <v>255</v>
      </c>
      <c r="T109" s="95"/>
      <c r="U109" s="95"/>
      <c r="V109" s="95"/>
      <c r="W109" s="95"/>
      <c r="X109" s="96"/>
      <c r="Y109" s="96" t="s">
        <v>255</v>
      </c>
      <c r="Z109" s="95"/>
      <c r="AA109" s="95"/>
      <c r="AB109" s="96"/>
      <c r="AC109" s="96"/>
      <c r="AD109" s="96"/>
      <c r="AE109" s="95" t="s">
        <v>255</v>
      </c>
      <c r="AF109" s="95" t="s">
        <v>255</v>
      </c>
      <c r="AG109" s="95" t="s">
        <v>255</v>
      </c>
      <c r="AH109" s="95" t="s">
        <v>255</v>
      </c>
      <c r="AI109" s="106" t="s">
        <v>448</v>
      </c>
      <c r="AJ109" s="106"/>
      <c r="AK109" s="106" t="s">
        <v>448</v>
      </c>
      <c r="AL109" s="106"/>
      <c r="AM109" s="106"/>
      <c r="AN109" s="106"/>
      <c r="AO109" s="106"/>
      <c r="AP109" s="106"/>
      <c r="AQ109" s="91" t="b">
        <f t="shared" si="16"/>
        <v>0</v>
      </c>
      <c r="AR109" s="108"/>
      <c r="AS109" s="108"/>
      <c r="AT109" s="108"/>
      <c r="AU109" s="108"/>
      <c r="AV109" s="170" t="str">
        <f t="shared" si="18"/>
        <v/>
      </c>
      <c r="AW109" s="108" t="s">
        <v>1044</v>
      </c>
    </row>
    <row r="110" spans="1:49" ht="67.5">
      <c r="A110" s="75"/>
      <c r="B110" s="82"/>
      <c r="C110" s="71" t="s">
        <v>2125</v>
      </c>
      <c r="D110" s="90" t="s">
        <v>890</v>
      </c>
      <c r="E110" s="91" t="str">
        <f>'インフラ(自社DC)'!E103</f>
        <v>不特定からのメールを受信できるメール環境を構築する場合、あるいはメール受信を行う端末を構築する場合は、発信元のドメインやIPアドレス（特定のIPアドレス，海外等），メールの件名・本文に含まれるキーワード等の条件により、メールを遮断する機能を有しているか</v>
      </c>
      <c r="F110" s="99" t="s">
        <v>995</v>
      </c>
      <c r="G110" s="92" t="s">
        <v>254</v>
      </c>
      <c r="H110" s="181"/>
      <c r="I110" s="98"/>
      <c r="J110" s="93"/>
      <c r="K110" s="93"/>
      <c r="L110" s="93"/>
      <c r="M110" s="94"/>
      <c r="N110" s="247"/>
      <c r="O110" s="111" cm="1">
        <f t="array" ref="O110">IF(AQ110=TRUE,_xlfn.IFS(M110=1,2,M110="",IF(N110="",1,2)),0)</f>
        <v>0</v>
      </c>
      <c r="P110" s="95" t="s">
        <v>255</v>
      </c>
      <c r="Q110" s="95" t="s">
        <v>255</v>
      </c>
      <c r="R110" s="95" t="s">
        <v>255</v>
      </c>
      <c r="S110" s="95" t="s">
        <v>255</v>
      </c>
      <c r="T110" s="95"/>
      <c r="U110" s="95"/>
      <c r="V110" s="95"/>
      <c r="W110" s="95"/>
      <c r="X110" s="96"/>
      <c r="Y110" s="96" t="s">
        <v>255</v>
      </c>
      <c r="Z110" s="95"/>
      <c r="AA110" s="96" t="s">
        <v>255</v>
      </c>
      <c r="AB110" s="96"/>
      <c r="AC110" s="96"/>
      <c r="AD110" s="96"/>
      <c r="AE110" s="95" t="s">
        <v>255</v>
      </c>
      <c r="AF110" s="95" t="s">
        <v>255</v>
      </c>
      <c r="AG110" s="95" t="s">
        <v>255</v>
      </c>
      <c r="AH110" s="95" t="s">
        <v>255</v>
      </c>
      <c r="AI110" s="106" t="s">
        <v>448</v>
      </c>
      <c r="AJ110" s="106"/>
      <c r="AK110" s="106" t="s">
        <v>448</v>
      </c>
      <c r="AL110" s="106"/>
      <c r="AM110" s="106"/>
      <c r="AN110" s="106"/>
      <c r="AO110" s="106"/>
      <c r="AP110" s="106"/>
      <c r="AQ110" s="91" t="b">
        <f t="shared" si="16"/>
        <v>0</v>
      </c>
      <c r="AR110" s="108"/>
      <c r="AS110" s="108" t="s">
        <v>183</v>
      </c>
      <c r="AT110" s="108"/>
      <c r="AU110" s="108"/>
      <c r="AV110" s="170" t="str">
        <f>IF(AR110&lt;&gt;"","セキュリティ管理/","")&amp;IF(AS110&lt;&gt;"","マルウェア/","")&amp;IF(AT110&lt;&gt;"","クラウド/","")&amp;IF(AU110&lt;&gt;"","別表1,2,3","")</f>
        <v>マルウェア/</v>
      </c>
      <c r="AW110" s="108" t="s">
        <v>1044</v>
      </c>
    </row>
    <row r="111" spans="1:49" ht="202.5">
      <c r="A111" s="75"/>
      <c r="B111" s="82"/>
      <c r="C111" s="71" t="s">
        <v>2126</v>
      </c>
      <c r="D111" s="90" t="s">
        <v>893</v>
      </c>
      <c r="E111" s="91" t="str">
        <f>'インフラ(自社DC)'!E104</f>
        <v>不特定からのメールを受信できるメール環境を構築する場合、あるいはメール受信を行う端末を構築する場合は、スパムメールや添付ファイルをフィルタリングし、実行形式の添付ファイルおよび実行形式のファイルを圧縮したものである場合はメールゲートウェイやメールサーバでドロップし、ユーザの手元に届かないようにしているか
（パスワード付き圧縮ファイル等、ファイル形式を技術的に判別できない場合を除く）
単体で実行される形式の添付ファイルは以下のようなものがある。
exe、bat、js、link、jar、chm、CMD、com、cpl、dll、hta、JSE、msc、ocx、pif、scr、sys、vbs、vbe、wsf、wsh等　</v>
      </c>
      <c r="F111" s="99" t="s">
        <v>995</v>
      </c>
      <c r="G111" s="92" t="s">
        <v>254</v>
      </c>
      <c r="H111" s="181"/>
      <c r="I111" s="98"/>
      <c r="J111" s="93"/>
      <c r="K111" s="93"/>
      <c r="L111" s="93"/>
      <c r="M111" s="94"/>
      <c r="N111" s="247"/>
      <c r="O111" s="111" cm="1">
        <f t="array" ref="O111">IF(AQ111=TRUE,_xlfn.IFS(M111=1,2,M111="",IF(N111="",1,2)),0)</f>
        <v>0</v>
      </c>
      <c r="P111" s="95" t="s">
        <v>255</v>
      </c>
      <c r="Q111" s="95" t="s">
        <v>255</v>
      </c>
      <c r="R111" s="95" t="s">
        <v>255</v>
      </c>
      <c r="S111" s="95" t="s">
        <v>255</v>
      </c>
      <c r="T111" s="95"/>
      <c r="U111" s="95"/>
      <c r="V111" s="95"/>
      <c r="W111" s="95"/>
      <c r="X111" s="96"/>
      <c r="Y111" s="96" t="s">
        <v>255</v>
      </c>
      <c r="Z111" s="95"/>
      <c r="AA111" s="96" t="s">
        <v>255</v>
      </c>
      <c r="AB111" s="96"/>
      <c r="AC111" s="96"/>
      <c r="AD111" s="96"/>
      <c r="AE111" s="95" t="s">
        <v>255</v>
      </c>
      <c r="AF111" s="95" t="s">
        <v>255</v>
      </c>
      <c r="AG111" s="95" t="s">
        <v>255</v>
      </c>
      <c r="AH111" s="95" t="s">
        <v>255</v>
      </c>
      <c r="AI111" s="106" t="s">
        <v>448</v>
      </c>
      <c r="AJ111" s="106"/>
      <c r="AK111" s="106" t="s">
        <v>448</v>
      </c>
      <c r="AL111" s="106"/>
      <c r="AM111" s="106"/>
      <c r="AN111" s="106"/>
      <c r="AO111" s="106"/>
      <c r="AP111" s="106"/>
      <c r="AQ111" s="91" t="b">
        <f t="shared" si="16"/>
        <v>0</v>
      </c>
      <c r="AR111" s="108"/>
      <c r="AS111" s="108" t="s">
        <v>183</v>
      </c>
      <c r="AT111" s="108"/>
      <c r="AU111" s="108" t="s">
        <v>183</v>
      </c>
      <c r="AV111" s="170" t="str">
        <f>IF(AR111&lt;&gt;"","セキュリティ管理/","")&amp;IF(AS111&lt;&gt;"","マルウェア/","")&amp;IF(AT111&lt;&gt;"","クラウド/","")&amp;IF(AU111&lt;&gt;"","別表1,2,3","")</f>
        <v>マルウェア/別表1,2,3</v>
      </c>
      <c r="AW111" s="108" t="s">
        <v>1044</v>
      </c>
    </row>
    <row r="112" spans="1:49" ht="135">
      <c r="A112" s="75"/>
      <c r="B112" s="82"/>
      <c r="C112" s="71" t="s">
        <v>2127</v>
      </c>
      <c r="D112" s="90" t="s">
        <v>896</v>
      </c>
      <c r="E112" s="91" t="str">
        <f>'インフラ(自社DC)'!E110</f>
        <v>任意の添付ファイルを社外に送信できるメール環境を構築する場合、あるいは外部へのメール送信を行う端末を構築する場合は、重要情報検知システム等により、送信時に上司の承認を求める、もしくは写に上司を設定しなければ送信できない仕組みとし、管理者が不正な送付でないことをモニタリングしているか。
もし現地法制・現地慣習などを踏まえ、上記対策が実施できない場合は個別にITサービス管理部へ相談すること</v>
      </c>
      <c r="F112" s="99" t="s">
        <v>995</v>
      </c>
      <c r="G112" s="92" t="s">
        <v>254</v>
      </c>
      <c r="H112" s="181"/>
      <c r="I112" s="98"/>
      <c r="J112" s="93"/>
      <c r="K112" s="93"/>
      <c r="L112" s="93"/>
      <c r="M112" s="94"/>
      <c r="N112" s="247"/>
      <c r="O112" s="111" cm="1">
        <f t="array" ref="O112">IF(AQ112=TRUE,_xlfn.IFS(M112=1,2,M112="",IF(N112="",1,2)),0)</f>
        <v>0</v>
      </c>
      <c r="P112" s="95" t="s">
        <v>255</v>
      </c>
      <c r="Q112" s="95" t="s">
        <v>255</v>
      </c>
      <c r="R112" s="95" t="s">
        <v>255</v>
      </c>
      <c r="S112" s="95" t="s">
        <v>255</v>
      </c>
      <c r="T112" s="95"/>
      <c r="U112" s="95"/>
      <c r="V112" s="95"/>
      <c r="W112" s="95"/>
      <c r="X112" s="96"/>
      <c r="Y112" s="96" t="s">
        <v>255</v>
      </c>
      <c r="Z112" s="95"/>
      <c r="AA112" s="96" t="s">
        <v>255</v>
      </c>
      <c r="AB112" s="96"/>
      <c r="AC112" s="96"/>
      <c r="AD112" s="96"/>
      <c r="AE112" s="95" t="s">
        <v>255</v>
      </c>
      <c r="AF112" s="95" t="s">
        <v>255</v>
      </c>
      <c r="AG112" s="95" t="s">
        <v>255</v>
      </c>
      <c r="AH112" s="95" t="s">
        <v>255</v>
      </c>
      <c r="AI112" s="106" t="s">
        <v>448</v>
      </c>
      <c r="AJ112" s="106"/>
      <c r="AK112" s="106" t="s">
        <v>448</v>
      </c>
      <c r="AL112" s="106"/>
      <c r="AM112" s="106"/>
      <c r="AN112" s="106"/>
      <c r="AO112" s="106"/>
      <c r="AP112" s="106"/>
      <c r="AQ112" s="91" t="b">
        <f t="shared" si="16"/>
        <v>0</v>
      </c>
      <c r="AR112" s="108"/>
      <c r="AS112" s="108"/>
      <c r="AT112" s="108"/>
      <c r="AU112" s="108" t="s">
        <v>183</v>
      </c>
      <c r="AV112" s="170" t="str">
        <f>IF(AR112&lt;&gt;"","セキュリティ管理/","")&amp;IF(AS112&lt;&gt;"","マルウェア/","")&amp;IF(AT112&lt;&gt;"","クラウド/","")&amp;IF(AU112&lt;&gt;"","別表1,2,3","")</f>
        <v>別表1,2,3</v>
      </c>
      <c r="AW112" s="108" t="s">
        <v>1044</v>
      </c>
    </row>
    <row r="113" spans="1:49" ht="202.5">
      <c r="A113" s="75"/>
      <c r="B113" s="82"/>
      <c r="C113" s="71" t="s">
        <v>2128</v>
      </c>
      <c r="D113" s="90" t="s">
        <v>899</v>
      </c>
      <c r="E113" s="91" t="str">
        <f>'インフラ(自社DC)'!E112</f>
        <v>構築対象のプロキシの認証機能を有効にし、インターネットへの通信について以下の要件を踏まえた上で認証を行うようにしているか
・プロキシは、ユーザ管理機能付またはディレクトリサービスと連携可能でユーザ単位で認証が可能になっているか。
・ユーザで認証する場合は、Basic認証ではなく、Digest認証やNTLM認証等の認証方式を採用しているか。
・端末やサーバで認証する場合は、証明書を登録したデバイス単位で認証が可能になっているか。</v>
      </c>
      <c r="F113" s="99" t="s">
        <v>995</v>
      </c>
      <c r="G113" s="92" t="s">
        <v>254</v>
      </c>
      <c r="H113" s="181"/>
      <c r="I113" s="98"/>
      <c r="J113" s="93"/>
      <c r="K113" s="93"/>
      <c r="L113" s="93"/>
      <c r="M113" s="94"/>
      <c r="N113" s="247"/>
      <c r="O113" s="111" cm="1">
        <f t="array" ref="O113">IF(AQ113=TRUE,_xlfn.IFS(M113=1,2,M113="",IF(N113="",1,2)),0)</f>
        <v>0</v>
      </c>
      <c r="P113" s="95" t="s">
        <v>255</v>
      </c>
      <c r="Q113" s="95" t="s">
        <v>183</v>
      </c>
      <c r="R113" s="95" t="s">
        <v>183</v>
      </c>
      <c r="S113" s="95" t="s">
        <v>183</v>
      </c>
      <c r="T113" s="95"/>
      <c r="U113" s="95"/>
      <c r="V113" s="95"/>
      <c r="W113" s="95"/>
      <c r="X113" s="96" t="s">
        <v>448</v>
      </c>
      <c r="Y113" s="95"/>
      <c r="Z113" s="96" t="s">
        <v>255</v>
      </c>
      <c r="AA113" s="95"/>
      <c r="AB113" s="96"/>
      <c r="AC113" s="96"/>
      <c r="AD113" s="96"/>
      <c r="AE113" s="95" t="s">
        <v>183</v>
      </c>
      <c r="AF113" s="95" t="s">
        <v>183</v>
      </c>
      <c r="AG113" s="95"/>
      <c r="AH113" s="95" t="s">
        <v>255</v>
      </c>
      <c r="AI113" s="106" t="s">
        <v>448</v>
      </c>
      <c r="AJ113" s="106" t="s">
        <v>448</v>
      </c>
      <c r="AK113" s="106" t="s">
        <v>448</v>
      </c>
      <c r="AL113" s="106" t="s">
        <v>448</v>
      </c>
      <c r="AM113" s="106"/>
      <c r="AN113" s="106"/>
      <c r="AO113" s="106"/>
      <c r="AP113" s="106"/>
      <c r="AQ113" s="91" t="b">
        <f t="shared" si="16"/>
        <v>0</v>
      </c>
      <c r="AR113" s="108"/>
      <c r="AS113" s="108"/>
      <c r="AT113" s="108"/>
      <c r="AU113" s="108"/>
      <c r="AV113" s="170" t="str">
        <f t="shared" si="17"/>
        <v/>
      </c>
      <c r="AW113" s="108"/>
    </row>
    <row r="114" spans="1:49" ht="45">
      <c r="A114" s="75"/>
      <c r="B114" s="82"/>
      <c r="C114" s="71" t="s">
        <v>2129</v>
      </c>
      <c r="D114" s="90" t="s">
        <v>902</v>
      </c>
      <c r="E114" s="91" t="str">
        <f>'インフラ(自社DC)'!E113</f>
        <v>構築対象のプロキシにおいて一定時間操作が行われなかった場合のタイムアウトが設定されているか</v>
      </c>
      <c r="F114" s="99" t="s">
        <v>995</v>
      </c>
      <c r="G114" s="92" t="s">
        <v>254</v>
      </c>
      <c r="H114" s="181"/>
      <c r="I114" s="98"/>
      <c r="J114" s="93"/>
      <c r="K114" s="93"/>
      <c r="L114" s="93"/>
      <c r="M114" s="94"/>
      <c r="N114" s="247"/>
      <c r="O114" s="111" cm="1">
        <f t="array" ref="O114">IF(AQ114=TRUE,_xlfn.IFS(M114=1,2,M114="",IF(N114="",1,2)),0)</f>
        <v>0</v>
      </c>
      <c r="P114" s="95" t="s">
        <v>255</v>
      </c>
      <c r="Q114" s="95" t="s">
        <v>183</v>
      </c>
      <c r="R114" s="95" t="s">
        <v>183</v>
      </c>
      <c r="S114" s="95" t="s">
        <v>183</v>
      </c>
      <c r="T114" s="95"/>
      <c r="U114" s="95"/>
      <c r="V114" s="95"/>
      <c r="W114" s="95"/>
      <c r="X114" s="96" t="s">
        <v>448</v>
      </c>
      <c r="Y114" s="95"/>
      <c r="Z114" s="96" t="s">
        <v>255</v>
      </c>
      <c r="AA114" s="95"/>
      <c r="AB114" s="96"/>
      <c r="AC114" s="96"/>
      <c r="AD114" s="96"/>
      <c r="AE114" s="95" t="s">
        <v>183</v>
      </c>
      <c r="AF114" s="95" t="s">
        <v>183</v>
      </c>
      <c r="AG114" s="95"/>
      <c r="AH114" s="95" t="s">
        <v>255</v>
      </c>
      <c r="AI114" s="106" t="s">
        <v>448</v>
      </c>
      <c r="AJ114" s="106" t="s">
        <v>448</v>
      </c>
      <c r="AK114" s="106" t="s">
        <v>448</v>
      </c>
      <c r="AL114" s="106" t="s">
        <v>448</v>
      </c>
      <c r="AM114" s="106"/>
      <c r="AN114" s="106"/>
      <c r="AO114" s="106"/>
      <c r="AP114" s="106"/>
      <c r="AQ114" s="91" t="b">
        <f t="shared" si="16"/>
        <v>0</v>
      </c>
      <c r="AR114" s="108"/>
      <c r="AS114" s="108"/>
      <c r="AT114" s="108"/>
      <c r="AU114" s="108"/>
      <c r="AV114" s="170" t="str">
        <f t="shared" si="17"/>
        <v/>
      </c>
      <c r="AW114" s="108"/>
    </row>
    <row r="115" spans="1:49">
      <c r="H115">
        <f>COUNTA(H10:H114)</f>
        <v>0</v>
      </c>
      <c r="O115" s="24">
        <f>COUNTIF(O10:O114,2)</f>
        <v>0</v>
      </c>
      <c r="T115" s="24"/>
      <c r="U115" s="24"/>
      <c r="V115" s="24"/>
      <c r="W115" s="24"/>
      <c r="X115" s="24"/>
      <c r="AQ115" s="24">
        <f>COUNTIF(AQ10:AQ114,TRUE)</f>
        <v>0</v>
      </c>
      <c r="AR115" s="24"/>
      <c r="AS115" s="24"/>
      <c r="AT115" s="24"/>
      <c r="AU115" s="24"/>
      <c r="AV115" s="24"/>
    </row>
    <row r="116" spans="1:49">
      <c r="H116">
        <f>COUNTIF(H10:H114,インデックス!CJ185)</f>
        <v>0</v>
      </c>
      <c r="O116" s="24" cm="1">
        <f t="array" ref="O116">SUMPRODUCT((O10:O114=2)*($AV10:$AV114&lt;&gt;""))</f>
        <v>0</v>
      </c>
      <c r="AQ116" s="24" cm="1">
        <f t="array" ref="AQ116">SUMPRODUCT((AQ10:AQ114=TRUE)*($AV10:$AV114&lt;&gt;""))</f>
        <v>0</v>
      </c>
    </row>
    <row r="117" spans="1:49">
      <c r="H117" cm="1">
        <f t="array" ref="H117">SUMPRODUCT((H10:H114&lt;&gt;"")*(AV10:AV114&lt;&gt;""))</f>
        <v>0</v>
      </c>
    </row>
    <row r="118" spans="1:49">
      <c r="H118" cm="1">
        <f t="array" ref="H118">SUMPRODUCT((H10:H114=インデックス!$CJ$185)*(AV10:AV114&lt;&gt;""))</f>
        <v>0</v>
      </c>
    </row>
  </sheetData>
  <autoFilter ref="A7:AW114" xr:uid="{00000000-0009-0000-0000-000008000000}"/>
  <mergeCells count="1">
    <mergeCell ref="M1:N2"/>
  </mergeCells>
  <phoneticPr fontId="7"/>
  <conditionalFormatting sqref="E10:E44 E72:E86 E101:E102 E90:E97 E56 E46:E47 E49:E54 E58:E70 E113:E114">
    <cfRule type="expression" dxfId="169" priority="293">
      <formula>AND(NOT(AND($AI$6=FALSE,$AK$6=FALSE,$AM$6=FALSEE,$AO$6=FALSE)),OR($AI$6=FALSE,AND($AI$6=TRUE,$AI10&lt;&gt;"")),OR($AK$6=FALSE,AND($AK$6=TRUE,$AK10&lt;&gt;"")),OR($AM$6=FALSE,AND($AM$6=TRUE,$AM10&lt;&gt;"")),OR($AO$6=FALSE,AND($AO$6=TRUE,$AO10&lt;&gt;"")))</formula>
    </cfRule>
  </conditionalFormatting>
  <conditionalFormatting sqref="F10:F44 F72:F86 F101:F102 F90:F97 F56 F46:F47 F49:F54 F58:F70 F113:F114">
    <cfRule type="expression" dxfId="168" priority="222">
      <formula>AND(NOT(AND($AJ$6=FALSE,$AL$6=FALSE,$AN$6=FALSE,$AP$6=FALSE)),OR($AJ$6=FALSE,AND($AJ$6=TRUE,$AJ10&lt;&gt;"")),OR($AL$6=FALSE,AND($AL$6=TRUE,$AL10&lt;&gt;"")),OR($AN$6=FALSE,AND($AN$6=TRUE,$AN10&lt;&gt;"")),OR($AP$6=FALSE,AND($AP$6=TRUE,$AP10&lt;&gt;"")))</formula>
    </cfRule>
  </conditionalFormatting>
  <conditionalFormatting sqref="E71 E110:E112">
    <cfRule type="expression" dxfId="167" priority="144">
      <formula>AND(NOT(AND($AI$6=FALSE,$AK$6=FALSE,$AM$6=FALSE)),OR($AI$6=FALSE,AND($AI$6=TRUE,$AI71&lt;&gt;"")),OR($AK$6=FALSE,AND($AK$6=TRUE,$AK71&lt;&gt;"")),OR($AM$6=FALSE,AND($AM$6=TRUE,$AM71&lt;&gt;"")))</formula>
    </cfRule>
  </conditionalFormatting>
  <conditionalFormatting sqref="F71 F110:F112">
    <cfRule type="expression" dxfId="166" priority="143">
      <formula>AND(NOT(AND($AJ$6=FALSE,$AL$6=FALSE,$AN$6=FALSE)),OR($AJ$6=FALSE,AND($AJ$6=TRUE,$AJ71&lt;&gt;"")),OR($AL$6=FALSE,AND($AL$6=TRUE,$AL71&lt;&gt;"")),OR($AN$6=FALSE,AND($AN$6=TRUE,$AN71&lt;&gt;"")))</formula>
    </cfRule>
  </conditionalFormatting>
  <conditionalFormatting sqref="E98">
    <cfRule type="expression" dxfId="165" priority="139">
      <formula>AND(NOT(AND($AI$6=FALSE,$AK$6=FALSE,$AM$6=FALSE)),OR($AI$6=FALSE,AND($AI$6=TRUE,$AI98&lt;&gt;"")),OR($AK$6=FALSE,AND($AK$6=TRUE,$AK98&lt;&gt;"")),OR($AM$6=FALSE,AND($AM$6=TRUE,$AM98&lt;&gt;"")))</formula>
    </cfRule>
  </conditionalFormatting>
  <conditionalFormatting sqref="F98">
    <cfRule type="expression" dxfId="164" priority="138">
      <formula>AND(NOT(AND($AJ$6=FALSE,$AL$6=FALSE,$AN$6=FALSE)),OR($AJ$6=FALSE,AND($AJ$6=TRUE,$AJ98&lt;&gt;"")),OR($AL$6=FALSE,AND($AL$6=TRUE,$AL98&lt;&gt;"")),OR($AN$6=FALSE,AND($AN$6=TRUE,$AN98&lt;&gt;"")))</formula>
    </cfRule>
  </conditionalFormatting>
  <conditionalFormatting sqref="E99">
    <cfRule type="expression" dxfId="163" priority="134">
      <formula>AND(NOT(AND($AI$6=FALSE,$AK$6=FALSE,$AM$6=FALSE)),OR($AI$6=FALSE,AND($AI$6=TRUE,$AI99&lt;&gt;"")),OR($AK$6=FALSE,AND($AK$6=TRUE,$AK99&lt;&gt;"")),OR($AM$6=FALSE,AND($AM$6=TRUE,$AM99&lt;&gt;"")))</formula>
    </cfRule>
  </conditionalFormatting>
  <conditionalFormatting sqref="F99">
    <cfRule type="expression" dxfId="162" priority="133">
      <formula>AND(NOT(AND($AJ$6=FALSE,$AL$6=FALSE,$AN$6=FALSE)),OR($AJ$6=FALSE,AND($AJ$6=TRUE,$AJ99&lt;&gt;"")),OR($AL$6=FALSE,AND($AL$6=TRUE,$AL99&lt;&gt;"")),OR($AN$6=FALSE,AND($AN$6=TRUE,$AN99&lt;&gt;"")))</formula>
    </cfRule>
  </conditionalFormatting>
  <conditionalFormatting sqref="E100">
    <cfRule type="expression" dxfId="161" priority="129">
      <formula>AND(NOT(AND($AI$6=FALSE,$AK$6=FALSE,$AM$6=FALSE)),OR($AI$6=FALSE,AND($AI$6=TRUE,$AI100&lt;&gt;"")),OR($AK$6=FALSE,AND($AK$6=TRUE,$AK100&lt;&gt;"")),OR($AM$6=FALSE,AND($AM$6=TRUE,$AM100&lt;&gt;"")))</formula>
    </cfRule>
  </conditionalFormatting>
  <conditionalFormatting sqref="F100">
    <cfRule type="expression" dxfId="160" priority="128">
      <formula>AND(NOT(AND($AJ$6=FALSE,$AL$6=FALSE,$AN$6=FALSE)),OR($AJ$6=FALSE,AND($AJ$6=TRUE,$AJ100&lt;&gt;"")),OR($AL$6=FALSE,AND($AL$6=TRUE,$AL100&lt;&gt;"")),OR($AN$6=FALSE,AND($AN$6=TRUE,$AN100&lt;&gt;"")))</formula>
    </cfRule>
  </conditionalFormatting>
  <conditionalFormatting sqref="E103">
    <cfRule type="expression" dxfId="159" priority="124">
      <formula>AND(NOT(AND($AI$6=FALSE,$AK$6=FALSE,$AM$6=FALSE)),OR($AI$6=FALSE,AND($AI$6=TRUE,$AI103&lt;&gt;"")),OR($AK$6=FALSE,AND($AK$6=TRUE,$AK103&lt;&gt;"")),OR($AM$6=FALSE,AND($AM$6=TRUE,$AM103&lt;&gt;"")))</formula>
    </cfRule>
  </conditionalFormatting>
  <conditionalFormatting sqref="F103">
    <cfRule type="expression" dxfId="158" priority="123">
      <formula>AND(NOT(AND($AJ$6=FALSE,$AL$6=FALSE,$AN$6=FALSE)),OR($AJ$6=FALSE,AND($AJ$6=TRUE,$AJ103&lt;&gt;"")),OR($AL$6=FALSE,AND($AL$6=TRUE,$AL103&lt;&gt;"")),OR($AN$6=FALSE,AND($AN$6=TRUE,$AN103&lt;&gt;"")))</formula>
    </cfRule>
  </conditionalFormatting>
  <conditionalFormatting sqref="E104">
    <cfRule type="expression" dxfId="157" priority="119">
      <formula>AND(NOT(AND($AI$6=FALSE,$AK$6=FALSE,$AM$6=FALSE)),OR($AI$6=FALSE,AND($AI$6=TRUE,$AI104&lt;&gt;"")),OR($AK$6=FALSE,AND($AK$6=TRUE,$AK104&lt;&gt;"")),OR($AM$6=FALSE,AND($AM$6=TRUE,$AM104&lt;&gt;"")))</formula>
    </cfRule>
  </conditionalFormatting>
  <conditionalFormatting sqref="F104">
    <cfRule type="expression" dxfId="156" priority="118">
      <formula>AND(NOT(AND($AJ$6=FALSE,$AL$6=FALSE,$AN$6=FALSE)),OR($AJ$6=FALSE,AND($AJ$6=TRUE,$AJ104&lt;&gt;"")),OR($AL$6=FALSE,AND($AL$6=TRUE,$AL104&lt;&gt;"")),OR($AN$6=FALSE,AND($AN$6=TRUE,$AN104&lt;&gt;"")))</formula>
    </cfRule>
  </conditionalFormatting>
  <conditionalFormatting sqref="E105">
    <cfRule type="expression" dxfId="155" priority="114">
      <formula>AND(NOT(AND($AI$6=FALSE,$AK$6=FALSE,$AM$6=FALSE)),OR($AI$6=FALSE,AND($AI$6=TRUE,$AI105&lt;&gt;"")),OR($AK$6=FALSE,AND($AK$6=TRUE,$AK105&lt;&gt;"")),OR($AM$6=FALSE,AND($AM$6=TRUE,$AM105&lt;&gt;"")))</formula>
    </cfRule>
  </conditionalFormatting>
  <conditionalFormatting sqref="F105">
    <cfRule type="expression" dxfId="154" priority="113">
      <formula>AND(NOT(AND($AJ$6=FALSE,$AL$6=FALSE,$AN$6=FALSE)),OR($AJ$6=FALSE,AND($AJ$6=TRUE,$AJ105&lt;&gt;"")),OR($AL$6=FALSE,AND($AL$6=TRUE,$AL105&lt;&gt;"")),OR($AN$6=FALSE,AND($AN$6=TRUE,$AN105&lt;&gt;"")))</formula>
    </cfRule>
  </conditionalFormatting>
  <conditionalFormatting sqref="E106">
    <cfRule type="expression" dxfId="153" priority="109">
      <formula>AND(NOT(AND($AI$6=FALSE,$AK$6=FALSE,$AM$6=FALSE)),OR($AI$6=FALSE,AND($AI$6=TRUE,$AI106&lt;&gt;"")),OR($AK$6=FALSE,AND($AK$6=TRUE,$AK106&lt;&gt;"")),OR($AM$6=FALSE,AND($AM$6=TRUE,$AM106&lt;&gt;"")))</formula>
    </cfRule>
  </conditionalFormatting>
  <conditionalFormatting sqref="F106">
    <cfRule type="expression" dxfId="152" priority="108">
      <formula>AND(NOT(AND($AJ$6=FALSE,$AL$6=FALSE,$AN$6=FALSE)),OR($AJ$6=FALSE,AND($AJ$6=TRUE,$AJ106&lt;&gt;"")),OR($AL$6=FALSE,AND($AL$6=TRUE,$AL106&lt;&gt;"")),OR($AN$6=FALSE,AND($AN$6=TRUE,$AN106&lt;&gt;"")))</formula>
    </cfRule>
  </conditionalFormatting>
  <conditionalFormatting sqref="E107">
    <cfRule type="expression" dxfId="151" priority="104">
      <formula>AND(NOT(AND($AI$6=FALSE,$AK$6=FALSE,$AM$6=FALSE)),OR($AI$6=FALSE,AND($AI$6=TRUE,$AI107&lt;&gt;"")),OR($AK$6=FALSE,AND($AK$6=TRUE,$AK107&lt;&gt;"")),OR($AM$6=FALSE,AND($AM$6=TRUE,$AM107&lt;&gt;"")))</formula>
    </cfRule>
  </conditionalFormatting>
  <conditionalFormatting sqref="F107">
    <cfRule type="expression" dxfId="150" priority="103">
      <formula>AND(NOT(AND($AJ$6=FALSE,$AL$6=FALSE,$AN$6=FALSE)),OR($AJ$6=FALSE,AND($AJ$6=TRUE,$AJ107&lt;&gt;"")),OR($AL$6=FALSE,AND($AL$6=TRUE,$AL107&lt;&gt;"")),OR($AN$6=FALSE,AND($AN$6=TRUE,$AN107&lt;&gt;"")))</formula>
    </cfRule>
  </conditionalFormatting>
  <conditionalFormatting sqref="E108">
    <cfRule type="expression" dxfId="149" priority="99">
      <formula>AND(NOT(AND($AI$6=FALSE,$AK$6=FALSE,$AM$6=FALSE)),OR($AI$6=FALSE,AND($AI$6=TRUE,$AI108&lt;&gt;"")),OR($AK$6=FALSE,AND($AK$6=TRUE,$AK108&lt;&gt;"")),OR($AM$6=FALSE,AND($AM$6=TRUE,$AM108&lt;&gt;"")))</formula>
    </cfRule>
  </conditionalFormatting>
  <conditionalFormatting sqref="F108">
    <cfRule type="expression" dxfId="148" priority="98">
      <formula>AND(NOT(AND($AJ$6=FALSE,$AL$6=FALSE,$AN$6=FALSE)),OR($AJ$6=FALSE,AND($AJ$6=TRUE,$AJ108&lt;&gt;"")),OR($AL$6=FALSE,AND($AL$6=TRUE,$AL108&lt;&gt;"")),OR($AN$6=FALSE,AND($AN$6=TRUE,$AN108&lt;&gt;"")))</formula>
    </cfRule>
  </conditionalFormatting>
  <conditionalFormatting sqref="E109">
    <cfRule type="expression" dxfId="147" priority="94">
      <formula>AND(NOT(AND($AI$6=FALSE,$AK$6=FALSE,$AM$6=FALSE)),OR($AI$6=FALSE,AND($AI$6=TRUE,$AI109&lt;&gt;"")),OR($AK$6=FALSE,AND($AK$6=TRUE,$AK109&lt;&gt;"")),OR($AM$6=FALSE,AND($AM$6=TRUE,$AM109&lt;&gt;"")))</formula>
    </cfRule>
  </conditionalFormatting>
  <conditionalFormatting sqref="F109">
    <cfRule type="expression" dxfId="146" priority="93">
      <formula>AND(NOT(AND($AJ$6=FALSE,$AL$6=FALSE,$AN$6=FALSE)),OR($AJ$6=FALSE,AND($AJ$6=TRUE,$AJ109&lt;&gt;"")),OR($AL$6=FALSE,AND($AL$6=TRUE,$AL109&lt;&gt;"")),OR($AN$6=FALSE,AND($AN$6=TRUE,$AN109&lt;&gt;"")))</formula>
    </cfRule>
  </conditionalFormatting>
  <conditionalFormatting sqref="E87">
    <cfRule type="expression" dxfId="145" priority="72">
      <formula>AND(NOT(AND($AI$6=FALSE,$AK$6=FALSE,$AM$6=FALSEE,$AO$6=FALSE)),OR($AI$6=FALSE,AND($AI$6=TRUE,$AI87&lt;&gt;"")),OR($AK$6=FALSE,AND($AK$6=TRUE,$AK87&lt;&gt;"")),OR($AM$6=FALSE,AND($AM$6=TRUE,$AM87&lt;&gt;"")),OR($AO$6=FALSE,AND($AO$6=TRUE,$AO87&lt;&gt;"")))</formula>
    </cfRule>
  </conditionalFormatting>
  <conditionalFormatting sqref="F87">
    <cfRule type="expression" dxfId="144" priority="71">
      <formula>AND(NOT(AND($AJ$6=FALSE,$AL$6=FALSE,$AN$6=FALSE,$AP$6=FALSE)),OR($AJ$6=FALSE,AND($AJ$6=TRUE,$AJ87&lt;&gt;"")),OR($AL$6=FALSE,AND($AL$6=TRUE,$AL87&lt;&gt;"")),OR($AN$6=FALSE,AND($AN$6=TRUE,$AN87&lt;&gt;"")),OR($AP$6=FALSE,AND($AP$6=TRUE,$AP87&lt;&gt;"")))</formula>
    </cfRule>
  </conditionalFormatting>
  <conditionalFormatting sqref="E55">
    <cfRule type="expression" dxfId="143" priority="65">
      <formula>AND(NOT(AND($AI$6=FALSE,$AK$6=FALSE,$AM$6=FALSEE,$AO$6=FALSE)),OR($AI$6=FALSE,AND($AI$6=TRUE,$AI55&lt;&gt;"")),OR($AK$6=FALSE,AND($AK$6=TRUE,$AK55&lt;&gt;"")),OR($AM$6=FALSE,AND($AM$6=TRUE,$AM55&lt;&gt;"")),OR($AO$6=FALSE,AND($AO$6=TRUE,$AO55&lt;&gt;"")))</formula>
    </cfRule>
  </conditionalFormatting>
  <conditionalFormatting sqref="F55">
    <cfRule type="expression" dxfId="142" priority="64">
      <formula>AND(NOT(AND($AJ$6=FALSE,$AL$6=FALSE,$AN$6=FALSE,$AP$6=FALSE)),OR($AJ$6=FALSE,AND($AJ$6=TRUE,$AJ55&lt;&gt;"")),OR($AL$6=FALSE,AND($AL$6=TRUE,$AL55&lt;&gt;"")),OR($AN$6=FALSE,AND($AN$6=TRUE,$AN55&lt;&gt;"")),OR($AP$6=FALSE,AND($AP$6=TRUE,$AP55&lt;&gt;"")))</formula>
    </cfRule>
  </conditionalFormatting>
  <conditionalFormatting sqref="E45">
    <cfRule type="expression" dxfId="141" priority="59">
      <formula>AND(NOT(AND($AI$6=FALSE,$AK$6=FALSE,$AM$6=FALSEE,$AO$6=FALSE)),OR($AI$6=FALSE,AND($AI$6=TRUE,$AI45&lt;&gt;"")),OR($AK$6=FALSE,AND($AK$6=TRUE,$AK45&lt;&gt;"")),OR($AM$6=FALSE,AND($AM$6=TRUE,$AM45&lt;&gt;"")),OR($AO$6=FALSE,AND($AO$6=TRUE,$AO45&lt;&gt;"")))</formula>
    </cfRule>
  </conditionalFormatting>
  <conditionalFormatting sqref="F45">
    <cfRule type="expression" dxfId="140" priority="58">
      <formula>AND(NOT(AND($AJ$6=FALSE,$AL$6=FALSE,$AN$6=FALSE,$AP$6=FALSE)),OR($AJ$6=FALSE,AND($AJ$6=TRUE,$AJ45&lt;&gt;"")),OR($AL$6=FALSE,AND($AL$6=TRUE,$AL45&lt;&gt;"")),OR($AN$6=FALSE,AND($AN$6=TRUE,$AN45&lt;&gt;"")),OR($AP$6=FALSE,AND($AP$6=TRUE,$AP45&lt;&gt;"")))</formula>
    </cfRule>
  </conditionalFormatting>
  <conditionalFormatting sqref="E48">
    <cfRule type="expression" dxfId="139" priority="37">
      <formula>AND(NOT(AND($AI$6=FALSE,$AK$6=FALSE,$AM$6=FALSEE,$AO$6=FALSE)),OR($AI$6=FALSE,AND($AI$6=TRUE,$AI48&lt;&gt;"")),OR($AK$6=FALSE,AND($AK$6=TRUE,$AK48&lt;&gt;"")),OR($AM$6=FALSE,AND($AM$6=TRUE,$AM48&lt;&gt;"")),OR($AO$6=FALSE,AND($AO$6=TRUE,$AO48&lt;&gt;"")))</formula>
    </cfRule>
  </conditionalFormatting>
  <conditionalFormatting sqref="F48">
    <cfRule type="expression" dxfId="138" priority="36">
      <formula>AND(NOT(AND($AJ$6=FALSE,$AL$6=FALSE,$AN$6=FALSE,$AP$6=FALSE)),OR($AJ$6=FALSE,AND($AJ$6=TRUE,$AJ48&lt;&gt;"")),OR($AL$6=FALSE,AND($AL$6=TRUE,$AL48&lt;&gt;"")),OR($AN$6=FALSE,AND($AN$6=TRUE,$AN48&lt;&gt;"")),OR($AP$6=FALSE,AND($AP$6=TRUE,$AP48&lt;&gt;"")))</formula>
    </cfRule>
  </conditionalFormatting>
  <conditionalFormatting sqref="E57">
    <cfRule type="expression" dxfId="137" priority="30">
      <formula>AND(NOT(AND($AI$6=FALSE,$AK$6=FALSE,$AM$6=FALSEE,$AO$6=FALSE)),OR($AI$6=FALSE,AND($AI$6=TRUE,$AI57&lt;&gt;"")),OR($AK$6=FALSE,AND($AK$6=TRUE,$AK57&lt;&gt;"")),OR($AM$6=FALSE,AND($AM$6=TRUE,$AM57&lt;&gt;"")),OR($AO$6=FALSE,AND($AO$6=TRUE,$AO57&lt;&gt;"")))</formula>
    </cfRule>
  </conditionalFormatting>
  <conditionalFormatting sqref="F57">
    <cfRule type="expression" dxfId="136" priority="29">
      <formula>AND(NOT(AND($AJ$6=FALSE,$AL$6=FALSE,$AN$6=FALSE,$AP$6=FALSE)),OR($AJ$6=FALSE,AND($AJ$6=TRUE,$AJ57&lt;&gt;"")),OR($AL$6=FALSE,AND($AL$6=TRUE,$AL57&lt;&gt;"")),OR($AN$6=FALSE,AND($AN$6=TRUE,$AN57&lt;&gt;"")),OR($AP$6=FALSE,AND($AP$6=TRUE,$AP57&lt;&gt;"")))</formula>
    </cfRule>
  </conditionalFormatting>
  <conditionalFormatting sqref="E89">
    <cfRule type="expression" dxfId="135" priority="23">
      <formula>AND(NOT(AND($AI$6=FALSE,$AK$6=FALSE,$AM$6=FALSEE,$AO$6=FALSE)),OR($AI$6=FALSE,AND($AI$6=TRUE,$AI89&lt;&gt;"")),OR($AK$6=FALSE,AND($AK$6=TRUE,$AK89&lt;&gt;"")),OR($AM$6=FALSE,AND($AM$6=TRUE,$AM89&lt;&gt;"")),OR($AO$6=FALSE,AND($AO$6=TRUE,$AO89&lt;&gt;"")))</formula>
    </cfRule>
  </conditionalFormatting>
  <conditionalFormatting sqref="F89">
    <cfRule type="expression" dxfId="134" priority="22">
      <formula>AND(NOT(AND($AJ$6=FALSE,$AL$6=FALSE,$AN$6=FALSE,$AP$6=FALSE)),OR($AJ$6=FALSE,AND($AJ$6=TRUE,$AJ89&lt;&gt;"")),OR($AL$6=FALSE,AND($AL$6=TRUE,$AL89&lt;&gt;"")),OR($AN$6=FALSE,AND($AN$6=TRUE,$AN89&lt;&gt;"")),OR($AP$6=FALSE,AND($AP$6=TRUE,$AP89&lt;&gt;"")))</formula>
    </cfRule>
  </conditionalFormatting>
  <conditionalFormatting sqref="E10:I87 E89:I114">
    <cfRule type="expression" dxfId="133" priority="392">
      <formula>$AQ10=FALSE</formula>
    </cfRule>
  </conditionalFormatting>
  <conditionalFormatting sqref="E88">
    <cfRule type="expression" dxfId="132" priority="4">
      <formula>AND(NOT(AND($AI$6=FALSE,$AK$6=FALSE,$AM$6=FALSEE,$AO$6=FALSE)),OR($AI$6=FALSE,AND($AI$6=TRUE,$AI88&lt;&gt;"")),OR($AK$6=FALSE,AND($AK$6=TRUE,$AK88&lt;&gt;"")),OR($AM$6=FALSE,AND($AM$6=TRUE,$AM88&lt;&gt;"")),OR($AO$6=FALSE,AND($AO$6=TRUE,$AO88&lt;&gt;"")))</formula>
    </cfRule>
  </conditionalFormatting>
  <conditionalFormatting sqref="F88">
    <cfRule type="expression" dxfId="131" priority="3">
      <formula>AND(NOT(AND($AJ$6=FALSE,$AL$6=FALSE,$AN$6=FALSE,$AP$6=FALSE)),OR($AJ$6=FALSE,AND($AJ$6=TRUE,$AJ88&lt;&gt;"")),OR($AL$6=FALSE,AND($AL$6=TRUE,$AL88&lt;&gt;"")),OR($AN$6=FALSE,AND($AN$6=TRUE,$AN88&lt;&gt;"")),OR($AP$6=FALSE,AND($AP$6=TRUE,$AP88&lt;&gt;"")))</formula>
    </cfRule>
  </conditionalFormatting>
  <conditionalFormatting sqref="E88:I88">
    <cfRule type="expression" dxfId="130" priority="7">
      <formula>$AQ88=FALSE</formula>
    </cfRule>
  </conditionalFormatting>
  <dataValidations count="1">
    <dataValidation type="list" allowBlank="1" showInputMessage="1" showErrorMessage="1" sqref="M8:M114" xr:uid="{00000000-0002-0000-08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 id="{61D404AC-7A48-43D8-8019-730A534655DE}">
            <xm:f>M$1=インデックス!$CJ$189</xm:f>
            <x14:dxf>
              <fill>
                <patternFill>
                  <bgColor theme="5"/>
                </patternFill>
              </fill>
            </x14:dxf>
          </x14:cfRule>
          <x14:cfRule type="expression" priority="11" id="{A2098E83-7835-4A9F-8EEA-01B5CF7B5EC5}">
            <xm:f>M$1=インデックス!$CJ$188</xm:f>
            <x14:dxf>
              <fill>
                <patternFill>
                  <bgColor theme="9"/>
                </patternFill>
              </fill>
            </x14:dxf>
          </x14:cfRule>
          <x14:cfRule type="expression" priority="12" id="{7BD415D9-1163-42B0-BAFC-8D4A6D27672F}">
            <xm:f>M$1=インデックス!$CJ$187</xm:f>
            <x14:dxf>
              <fill>
                <patternFill>
                  <bgColor theme="4"/>
                </patternFill>
              </fill>
            </x14:dxf>
          </x14:cfRule>
          <xm:sqref>M1:N2</xm:sqref>
        </x14:conditionalFormatting>
        <x14:conditionalFormatting xmlns:xm="http://schemas.microsoft.com/office/excel/2006/main">
          <x14:cfRule type="expression" priority="921" id="{BCA7ECA6-AA7E-4EE3-90ED-8CF9A80526DB}">
            <xm:f>AND($AQ10=TRUE,COUNTIF($H10,インデックス!$CJ$186),ISBLANK($I10))</xm:f>
            <x14:dxf>
              <fill>
                <patternFill>
                  <bgColor theme="5"/>
                </patternFill>
              </fill>
            </x14:dxf>
          </x14:cfRule>
          <x14:cfRule type="expression" priority="922" id="{4CA29073-3FC8-43ED-8C61-7C9E25F24C86}">
            <xm:f>AND($AQ10=TRUE,$H10=インデックス!$CJ$184,ISBLANK($I10))</xm:f>
            <x14:dxf>
              <fill>
                <patternFill>
                  <bgColor theme="5"/>
                </patternFill>
              </fill>
            </x14:dxf>
          </x14:cfRule>
          <xm:sqref>I104:I114 I10:I102</xm:sqref>
        </x14:conditionalFormatting>
        <x14:conditionalFormatting xmlns:xm="http://schemas.microsoft.com/office/excel/2006/main">
          <x14:cfRule type="expression" priority="943" id="{A17A727C-B77F-44DE-A7F4-4BF3834065CC}">
            <xm:f>AND(AQ53=TRUE,COUNTIF(H53,インデックス!$CJ$186),LENB(I53)=161)</xm:f>
            <x14:dxf>
              <fill>
                <patternFill>
                  <bgColor theme="5"/>
                </patternFill>
              </fill>
            </x14:dxf>
          </x14:cfRule>
          <x14:cfRule type="expression" priority="944" id="{3C677065-B8DC-4557-80E2-A3FEC1E8622F}">
            <xm:f>AND(AQ53=TRUE,H53=インデックス!$CJ$184,LENB(I53)=161)</xm:f>
            <x14:dxf>
              <fill>
                <patternFill>
                  <bgColor theme="5"/>
                </patternFill>
              </fill>
            </x14:dxf>
          </x14:cfRule>
          <x14:cfRule type="expression" priority="945" id="{BFE8ED78-8813-4B25-B77B-F13C0DD75578}">
            <xm:f>AND(AQ53=TRUE,H53=インデックス!$CJ$183,LENB(I53)=161)</xm:f>
            <x14:dxf>
              <fill>
                <patternFill>
                  <bgColor theme="5"/>
                </patternFill>
              </fill>
            </x14:dxf>
          </x14:cfRule>
          <xm:sqref>I53</xm:sqref>
        </x14:conditionalFormatting>
        <x14:conditionalFormatting xmlns:xm="http://schemas.microsoft.com/office/excel/2006/main">
          <x14:cfRule type="expression" priority="966" id="{9DE2E91B-50DC-4175-AFEF-F741620AA586}">
            <xm:f>AND($AQ103=TRUE,COUNTIF($H103,インデックス!$CJ$186),ISBLANK($I103))</xm:f>
            <x14:dxf>
              <fill>
                <patternFill>
                  <bgColor theme="5"/>
                </patternFill>
              </fill>
            </x14:dxf>
          </x14:cfRule>
          <x14:cfRule type="expression" priority="967" id="{FF4B8A56-FFA1-456A-BDF0-89DE9E175B75}">
            <xm:f>AND($AQ103=TRUE,$H103=インデックス!$CJ$184,ISBLANK($I103))</xm:f>
            <x14:dxf>
              <fill>
                <patternFill>
                  <bgColor theme="5"/>
                </patternFill>
              </fill>
            </x14:dxf>
          </x14:cfRule>
          <x14:cfRule type="expression" priority="968" id="{DD10FF5C-954E-48E1-B37A-3D1645E58950}">
            <xm:f>AND($AQ103=TRUE,$H103=インデックス!$CJ$183,ISBLANK($I103))</xm:f>
            <x14:dxf>
              <fill>
                <patternFill>
                  <bgColor theme="5"/>
                </patternFill>
              </fill>
            </x14:dxf>
          </x14:cfRule>
          <xm:sqref>I103</xm:sqref>
        </x14:conditionalFormatting>
        <x14:conditionalFormatting xmlns:xm="http://schemas.microsoft.com/office/excel/2006/main">
          <x14:cfRule type="expression" priority="999" id="{62567894-5B7D-4AE2-ABDB-23DFFC8D8117}">
            <xm:f>AND($AQ10=TRUE,OR($H10=インデックス!$CJ$183,$H10=インデックス!$CJ$184,$H10=インデックス!$CJ$185,$H10=インデックス!$CJ$186),ISBLANK($M10))</xm:f>
            <x14:dxf>
              <fill>
                <patternFill>
                  <bgColor theme="5"/>
                </patternFill>
              </fill>
            </x14:dxf>
          </x14:cfRule>
          <xm:sqref>M10:M114</xm:sqref>
        </x14:conditionalFormatting>
        <x14:conditionalFormatting xmlns:xm="http://schemas.microsoft.com/office/excel/2006/main">
          <x14:cfRule type="expression" priority="1001" id="{056A75C6-FB7A-4672-91DE-16098DD59A68}">
            <xm:f>AND($AQ10=TRUE,OR($H10=インデックス!$CJ$184,$H10=インデックス!$CJ$185,$H10=インデックス!$CJ$186),ISBLANK($N10))</xm:f>
            <x14:dxf>
              <fill>
                <patternFill>
                  <bgColor theme="5"/>
                </patternFill>
              </fill>
            </x14:dxf>
          </x14:cfRule>
          <xm:sqref>N10:N114</xm:sqref>
        </x14:conditionalFormatting>
        <x14:conditionalFormatting xmlns:xm="http://schemas.microsoft.com/office/excel/2006/main">
          <x14:cfRule type="expression" priority="1029" id="{9D7133A7-ADAC-4B8E-8411-D55DF7052EEE}">
            <xm:f>AND($AQ20=TRUE,インデックス!$AL$63=TRUE,$H20=インデックス!$CJ$183,ISBLANK($I20))</xm:f>
            <x14:dxf>
              <fill>
                <patternFill>
                  <bgColor theme="5"/>
                </patternFill>
              </fill>
            </x14:dxf>
          </x14:cfRule>
          <xm:sqref>I20 I28 I34 I95</xm:sqref>
        </x14:conditionalFormatting>
        <x14:conditionalFormatting xmlns:xm="http://schemas.microsoft.com/office/excel/2006/main">
          <x14:cfRule type="expression" priority="1755" id="{421C982D-B940-4A51-9813-339B024E70BC}">
            <xm:f>AND($AQ10=TRUE,$H10=インデックス!$CJ$184,ISBLANK($M10),インデックス!$AL$40=TRUE)</xm:f>
            <x14:dxf>
              <fill>
                <patternFill>
                  <bgColor theme="5"/>
                </patternFill>
              </fill>
            </x14:dxf>
          </x14:cfRule>
          <xm:sqref>M10:M114</xm:sqref>
        </x14:conditionalFormatting>
        <x14:conditionalFormatting xmlns:xm="http://schemas.microsoft.com/office/excel/2006/main">
          <x14:cfRule type="expression" priority="1756" id="{C545896A-BC43-42EB-80D0-D78924D6BB3A}">
            <xm:f>AND($AQ10=TRUE,$H10=インデックス!$CJ$184,ISBLANK($N10),インデックス!$AL$40=TRUE)</xm:f>
            <x14:dxf>
              <fill>
                <patternFill>
                  <bgColor theme="5"/>
                </patternFill>
              </fill>
            </x14:dxf>
          </x14:cfRule>
          <xm:sqref>N16:O16 N56:O56 N46:O46 N49:O49 N63:O63 N90:O91 N10:N15 N26:O26 N17:N25 N31:O32 N27:N30 N39:O40 N33:N38 N51:O52 N50 N72:O73 N64:N71 N92:N114 N53:N55 N41:N45 N47:N48 N57:N62 N74:N89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インデックス!$CJ$183:$CJ$186</xm:f>
          </x14:formula1>
          <xm:sqref>H57:H62 H50 H10:H15 H27:H30 H33:H38 H17:H25 H47:H48 H41:H45 H53:H55 H64:H71 H92:H114 H74:H89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AO113"/>
  <sheetViews>
    <sheetView showGridLines="0" zoomScale="70" zoomScaleNormal="70" workbookViewId="0">
      <pane ySplit="7" topLeftCell="A8" activePane="bottomLeft" state="frozen"/>
      <selection activeCell="AX34" sqref="AX34"/>
      <selection pane="bottomLeft"/>
    </sheetView>
  </sheetViews>
  <sheetFormatPr defaultColWidth="9" defaultRowHeight="18" outlineLevelCol="1"/>
  <cols>
    <col min="1" max="2" width="5.58203125" customWidth="1"/>
    <col min="3" max="3" width="9.08203125" style="2" bestFit="1" customWidth="1"/>
    <col min="4" max="4" width="8.58203125" style="2" customWidth="1"/>
    <col min="5" max="6" width="100.58203125" style="3" customWidth="1"/>
    <col min="7" max="7" width="16.58203125" customWidth="1"/>
    <col min="8" max="8" width="20.58203125" customWidth="1"/>
    <col min="9" max="9" width="55.58203125" style="2" customWidth="1"/>
    <col min="10" max="12" width="15.58203125" hidden="1" customWidth="1" outlineLevel="1"/>
    <col min="13" max="13" width="18.58203125" customWidth="1" collapsed="1"/>
    <col min="14" max="14" width="50.58203125" customWidth="1"/>
    <col min="15" max="15" width="17.58203125" hidden="1" customWidth="1" outlineLevel="1"/>
    <col min="16" max="19" width="15.58203125" style="24" hidden="1" customWidth="1" outlineLevel="1"/>
    <col min="20" max="24" width="15.58203125" style="27" hidden="1" customWidth="1" outlineLevel="1"/>
    <col min="25" max="35" width="15.58203125" style="24" hidden="1" customWidth="1" outlineLevel="1"/>
    <col min="36" max="39" width="15.58203125" hidden="1" customWidth="1" outlineLevel="1"/>
    <col min="40" max="40" width="40.75" customWidth="1" collapsed="1"/>
    <col min="41" max="41" width="18.75" customWidth="1"/>
  </cols>
  <sheetData>
    <row r="1" spans="1:41" ht="32.5">
      <c r="A1" s="43" t="s">
        <v>1109</v>
      </c>
      <c r="C1"/>
      <c r="D1"/>
      <c r="E1" s="50"/>
      <c r="F1" s="2"/>
      <c r="H1" s="24"/>
      <c r="I1" s="48"/>
      <c r="J1" s="24"/>
      <c r="K1" s="24"/>
      <c r="L1" s="24"/>
      <c r="M1" s="387" t="str" cm="1">
        <f t="array" ref="M1">IF(COUNTIF(O10:O109,1)=0,インデックス!$CJ$187,IF(AND(インデックス!$AL$63,SUMPRODUCT((O10:O109=1)*($AN10:$AN109&lt;&gt;""))=0),インデックス!$CJ$188,インデックス!$CJ$189))</f>
        <v>全件評価完了</v>
      </c>
      <c r="N1" s="387"/>
      <c r="O1" s="24"/>
      <c r="T1" s="24"/>
      <c r="U1" s="24"/>
      <c r="V1" s="24"/>
      <c r="W1" s="24"/>
      <c r="X1"/>
      <c r="Y1"/>
      <c r="Z1"/>
      <c r="AA1"/>
      <c r="AB1"/>
      <c r="AC1"/>
      <c r="AD1"/>
      <c r="AE1"/>
      <c r="AF1"/>
      <c r="AG1"/>
      <c r="AH1"/>
      <c r="AI1"/>
    </row>
    <row r="2" spans="1:41" ht="26.5">
      <c r="B2" s="42" t="s">
        <v>713</v>
      </c>
      <c r="C2"/>
      <c r="D2"/>
      <c r="E2" s="50"/>
      <c r="F2" s="2"/>
      <c r="H2" s="24"/>
      <c r="I2" s="48"/>
      <c r="J2" s="24"/>
      <c r="K2" s="24"/>
      <c r="L2" s="24"/>
      <c r="M2" s="387"/>
      <c r="N2" s="387"/>
      <c r="O2" s="24"/>
      <c r="T2" s="24"/>
      <c r="U2" s="24"/>
      <c r="V2" s="24"/>
      <c r="W2" s="24"/>
      <c r="X2"/>
      <c r="Y2"/>
      <c r="Z2"/>
      <c r="AA2"/>
      <c r="AB2"/>
      <c r="AC2"/>
      <c r="AD2"/>
      <c r="AE2"/>
      <c r="AF2"/>
      <c r="AG2"/>
      <c r="AH2"/>
      <c r="AI2"/>
    </row>
    <row r="3" spans="1:41" ht="26.5">
      <c r="B3" s="42" t="s">
        <v>1110</v>
      </c>
      <c r="C3"/>
      <c r="D3"/>
      <c r="E3" s="50"/>
      <c r="F3" s="2"/>
      <c r="H3" s="24"/>
      <c r="I3" s="48"/>
      <c r="J3" s="24"/>
      <c r="K3" s="24"/>
      <c r="L3" s="24"/>
      <c r="M3" s="24"/>
      <c r="N3" s="24"/>
      <c r="O3" s="24"/>
      <c r="T3" s="24"/>
      <c r="U3" s="24"/>
      <c r="V3" s="24"/>
      <c r="W3" s="24"/>
      <c r="X3"/>
      <c r="Y3"/>
      <c r="Z3"/>
      <c r="AA3"/>
      <c r="AB3"/>
      <c r="AC3"/>
      <c r="AD3"/>
      <c r="AE3"/>
      <c r="AF3"/>
      <c r="AG3"/>
      <c r="AH3"/>
      <c r="AI3"/>
    </row>
    <row r="4" spans="1:41" ht="26.5">
      <c r="B4" s="42" t="s">
        <v>1111</v>
      </c>
      <c r="C4"/>
      <c r="D4"/>
      <c r="E4" s="50"/>
      <c r="F4" s="2"/>
      <c r="H4" s="24"/>
      <c r="I4" s="48"/>
      <c r="J4" s="24"/>
      <c r="K4" s="24"/>
      <c r="L4" s="24"/>
      <c r="M4" s="24"/>
      <c r="N4" s="24"/>
      <c r="O4" s="24"/>
      <c r="T4" s="24"/>
      <c r="U4" s="24"/>
      <c r="V4" s="24"/>
      <c r="W4" s="24"/>
      <c r="X4"/>
      <c r="Y4"/>
      <c r="Z4"/>
      <c r="AA4"/>
      <c r="AB4"/>
      <c r="AC4"/>
      <c r="AD4"/>
      <c r="AE4"/>
      <c r="AF4"/>
      <c r="AG4"/>
      <c r="AH4"/>
      <c r="AI4"/>
    </row>
    <row r="5" spans="1:41" ht="26.5">
      <c r="B5" s="42" t="s">
        <v>1112</v>
      </c>
      <c r="C5"/>
      <c r="D5"/>
      <c r="E5" s="50"/>
      <c r="F5" s="2"/>
      <c r="H5" s="24"/>
      <c r="I5" s="48"/>
      <c r="J5" s="24"/>
      <c r="K5" s="24"/>
      <c r="L5" s="24"/>
      <c r="M5" s="24"/>
      <c r="N5" s="24"/>
      <c r="O5" s="24"/>
      <c r="T5" s="24"/>
      <c r="U5" s="24"/>
      <c r="V5" s="24"/>
      <c r="W5" s="24"/>
      <c r="X5"/>
      <c r="Y5"/>
      <c r="Z5"/>
      <c r="AA5"/>
      <c r="AB5"/>
      <c r="AC5"/>
      <c r="AD5"/>
      <c r="AE5"/>
      <c r="AF5"/>
      <c r="AG5"/>
      <c r="AH5"/>
      <c r="AI5"/>
    </row>
    <row r="6" spans="1:41">
      <c r="C6"/>
      <c r="D6"/>
      <c r="J6" s="160"/>
      <c r="K6" s="160"/>
      <c r="L6" s="160"/>
      <c r="M6" s="163" t="s">
        <v>229</v>
      </c>
      <c r="N6" s="161"/>
      <c r="O6" s="161"/>
      <c r="P6" s="25" t="b">
        <f>AND(インデックス!$AL$38,インデックス!$AL$63)</f>
        <v>0</v>
      </c>
      <c r="Q6" s="25" t="b">
        <f>インデックス!$AL$39</f>
        <v>0</v>
      </c>
      <c r="R6" s="25" t="b">
        <f>OR(インデックス!$AL$37,インデックス!$AL$40)</f>
        <v>0</v>
      </c>
      <c r="S6" s="32" t="b">
        <f>インデックス!AL116</f>
        <v>0</v>
      </c>
      <c r="T6" s="26" t="b">
        <f>AND(TRUE,NOT(OR(インデックス!$AL$51,インデックス!$AL$69)))</f>
        <v>1</v>
      </c>
      <c r="U6" s="26" t="b">
        <f>AND(インデックス!$AL$56,NOT(OR(インデックス!$AL$51,インデックス!$AL$69)))</f>
        <v>0</v>
      </c>
      <c r="V6" s="26" t="b">
        <f>AND(インデックス!$AL$57,NOT(OR(インデックス!$AL$51,インデックス!$AL$69)))</f>
        <v>0</v>
      </c>
      <c r="W6" s="26" t="b">
        <f>AND(インデックス!$AL$58,NOT(OR(インデックス!$AL$51,インデックス!$AL$69)))</f>
        <v>0</v>
      </c>
      <c r="X6" s="30" t="b">
        <f>AND(インデックス!$AL$63,NOT(OR(インデックス!$AL$51,インデックス!$AL$69)))</f>
        <v>0</v>
      </c>
      <c r="Y6" s="26" t="b">
        <f>インデックス!$AL$86</f>
        <v>0</v>
      </c>
      <c r="Z6" s="26" t="b">
        <f>インデックス!$AL$88</f>
        <v>0</v>
      </c>
      <c r="AA6" s="26" t="b">
        <f>インデックス!$AL$87</f>
        <v>0</v>
      </c>
      <c r="AB6" s="26" t="b">
        <f>AND(インデックス!$AL$93,NOT(OR(インデックス!$AL$51,インデックス!$AL$69)))</f>
        <v>0</v>
      </c>
      <c r="AC6" s="26" t="b">
        <f>AND(インデックス!$AL$94,NOT(OR(インデックス!$AL$51,インデックス!$AL$69)))</f>
        <v>0</v>
      </c>
      <c r="AD6" s="26" t="b">
        <f>AND(インデックス!$AL$48,NOT(インデックス!$AL$69))</f>
        <v>0</v>
      </c>
      <c r="AE6" s="31" t="b">
        <f>インデックス!$AL$43</f>
        <v>0</v>
      </c>
      <c r="AF6" s="31" t="b">
        <f>OR(インデックス!$AL$48,インデックス!$AL$49)</f>
        <v>0</v>
      </c>
      <c r="AG6" s="31" t="b">
        <f>インデックス!$AL$63</f>
        <v>0</v>
      </c>
      <c r="AH6" s="31" t="b">
        <f>インデックス!$AL$44</f>
        <v>0</v>
      </c>
      <c r="AI6" s="160"/>
      <c r="AJ6" s="162"/>
      <c r="AK6" s="162"/>
      <c r="AL6" s="162"/>
      <c r="AM6" s="162"/>
      <c r="AN6" s="162"/>
      <c r="AO6" s="162"/>
    </row>
    <row r="7" spans="1:41" ht="67.5">
      <c r="A7" s="293"/>
      <c r="B7" s="293"/>
      <c r="C7" s="293" t="s">
        <v>230</v>
      </c>
      <c r="D7" s="293" t="s">
        <v>155</v>
      </c>
      <c r="E7" s="292" t="s">
        <v>1982</v>
      </c>
      <c r="F7" s="292" t="s">
        <v>1113</v>
      </c>
      <c r="G7" s="294" t="s">
        <v>232</v>
      </c>
      <c r="H7" s="64" t="s">
        <v>233</v>
      </c>
      <c r="I7" s="291" t="s">
        <v>1985</v>
      </c>
      <c r="J7" s="64" t="s">
        <v>234</v>
      </c>
      <c r="K7" s="64" t="s">
        <v>235</v>
      </c>
      <c r="L7" s="64" t="s">
        <v>236</v>
      </c>
      <c r="M7" s="159" t="s">
        <v>1998</v>
      </c>
      <c r="N7" s="73" t="s">
        <v>237</v>
      </c>
      <c r="O7" s="290" t="s">
        <v>1989</v>
      </c>
      <c r="P7" s="64" t="s">
        <v>238</v>
      </c>
      <c r="Q7" s="64" t="s">
        <v>239</v>
      </c>
      <c r="R7" s="159" t="s">
        <v>240</v>
      </c>
      <c r="S7" s="64" t="s">
        <v>1114</v>
      </c>
      <c r="T7" s="112" t="s">
        <v>241</v>
      </c>
      <c r="U7" s="74" t="s">
        <v>716</v>
      </c>
      <c r="V7" s="112" t="s">
        <v>717</v>
      </c>
      <c r="W7" s="112" t="s">
        <v>718</v>
      </c>
      <c r="X7" s="112" t="s">
        <v>195</v>
      </c>
      <c r="Y7" s="112" t="s">
        <v>82</v>
      </c>
      <c r="Z7" s="112" t="s">
        <v>84</v>
      </c>
      <c r="AA7" s="112" t="s">
        <v>469</v>
      </c>
      <c r="AB7" s="112" t="s">
        <v>242</v>
      </c>
      <c r="AC7" s="112" t="s">
        <v>466</v>
      </c>
      <c r="AD7" s="112" t="s">
        <v>51</v>
      </c>
      <c r="AE7" s="112" t="s">
        <v>470</v>
      </c>
      <c r="AF7" s="112" t="s">
        <v>467</v>
      </c>
      <c r="AG7" s="112" t="s">
        <v>195</v>
      </c>
      <c r="AH7" s="112" t="s">
        <v>719</v>
      </c>
      <c r="AI7" s="112" t="s">
        <v>243</v>
      </c>
      <c r="AJ7" s="74" t="s">
        <v>244</v>
      </c>
      <c r="AK7" s="74" t="s">
        <v>245</v>
      </c>
      <c r="AL7" s="74" t="s">
        <v>246</v>
      </c>
      <c r="AM7" s="74" t="s">
        <v>247</v>
      </c>
      <c r="AN7" s="74" t="s">
        <v>248</v>
      </c>
      <c r="AO7" s="74" t="s">
        <v>249</v>
      </c>
    </row>
    <row r="8" spans="1:41" ht="22.5">
      <c r="A8" s="52" t="s">
        <v>473</v>
      </c>
      <c r="B8" s="52"/>
      <c r="C8" s="113"/>
      <c r="D8" s="113"/>
      <c r="E8" s="77"/>
      <c r="F8" s="77"/>
      <c r="G8" s="56"/>
      <c r="H8" s="56"/>
      <c r="I8" s="77"/>
      <c r="J8" s="56"/>
      <c r="K8" s="56"/>
      <c r="L8" s="56"/>
      <c r="M8" s="114"/>
      <c r="N8" s="56"/>
      <c r="O8" s="56"/>
      <c r="P8" s="114"/>
      <c r="Q8" s="114"/>
      <c r="R8" s="114"/>
      <c r="S8" s="114"/>
      <c r="T8" s="114"/>
      <c r="U8" s="114"/>
      <c r="V8" s="114"/>
      <c r="W8" s="114"/>
      <c r="X8" s="114"/>
      <c r="Y8" s="114"/>
      <c r="Z8" s="114"/>
      <c r="AA8" s="114"/>
      <c r="AB8" s="114"/>
      <c r="AC8" s="114"/>
      <c r="AD8" s="114"/>
      <c r="AE8" s="114"/>
      <c r="AF8" s="114"/>
      <c r="AG8" s="114"/>
      <c r="AH8" s="114"/>
      <c r="AI8" s="114"/>
      <c r="AJ8" s="114"/>
      <c r="AK8" s="114"/>
      <c r="AL8" s="114"/>
      <c r="AM8" s="114"/>
      <c r="AN8" s="114"/>
      <c r="AO8" s="114"/>
    </row>
    <row r="9" spans="1:41" ht="22.5">
      <c r="A9" s="52"/>
      <c r="B9" s="58" t="s">
        <v>474</v>
      </c>
      <c r="C9" s="115"/>
      <c r="D9" s="115"/>
      <c r="E9" s="84"/>
      <c r="F9" s="84"/>
      <c r="G9" s="59"/>
      <c r="H9" s="182"/>
      <c r="I9" s="183"/>
      <c r="J9" s="116"/>
      <c r="K9" s="116"/>
      <c r="L9" s="116"/>
      <c r="M9" s="117"/>
      <c r="N9" s="116"/>
      <c r="O9" s="116"/>
      <c r="P9" s="117"/>
      <c r="Q9" s="117"/>
      <c r="R9" s="117"/>
      <c r="S9" s="117"/>
      <c r="T9" s="117"/>
      <c r="U9" s="117"/>
      <c r="V9" s="117"/>
      <c r="W9" s="117"/>
      <c r="X9" s="117"/>
      <c r="Y9" s="117"/>
      <c r="Z9" s="117"/>
      <c r="AA9" s="117"/>
      <c r="AB9" s="117"/>
      <c r="AC9" s="117"/>
      <c r="AD9" s="117"/>
      <c r="AE9" s="117"/>
      <c r="AF9" s="117"/>
      <c r="AG9" s="117"/>
      <c r="AH9" s="117"/>
      <c r="AI9" s="117"/>
      <c r="AJ9" s="117"/>
      <c r="AK9" s="117"/>
      <c r="AL9" s="117"/>
      <c r="AM9" s="117"/>
      <c r="AN9" s="117"/>
      <c r="AO9" s="117"/>
    </row>
    <row r="10" spans="1:41" ht="67.5">
      <c r="A10" s="52"/>
      <c r="B10" s="58"/>
      <c r="C10" s="71" t="s">
        <v>1115</v>
      </c>
      <c r="D10" s="71" t="s">
        <v>252</v>
      </c>
      <c r="E10" s="91" t="s">
        <v>1042</v>
      </c>
      <c r="F10" s="91" t="s">
        <v>1116</v>
      </c>
      <c r="G10" s="92" t="s">
        <v>254</v>
      </c>
      <c r="H10" s="61"/>
      <c r="I10" s="107"/>
      <c r="J10" s="60"/>
      <c r="K10" s="60"/>
      <c r="L10" s="60"/>
      <c r="M10" s="123"/>
      <c r="N10" s="243"/>
      <c r="O10" s="111" cm="1">
        <f t="array" ref="O10">IF(AI10=TRUE,_xlfn.IFS(M10=1,2,M10="",IF(N10="",1,2)),0)</f>
        <v>0</v>
      </c>
      <c r="P10" s="69" t="s">
        <v>255</v>
      </c>
      <c r="Q10" s="69" t="s">
        <v>183</v>
      </c>
      <c r="R10" s="69" t="s">
        <v>183</v>
      </c>
      <c r="S10" s="69" t="s">
        <v>183</v>
      </c>
      <c r="T10" s="118" t="s">
        <v>183</v>
      </c>
      <c r="U10" s="118"/>
      <c r="V10" s="118"/>
      <c r="W10" s="118"/>
      <c r="X10" s="118"/>
      <c r="Y10" s="69"/>
      <c r="Z10" s="69"/>
      <c r="AA10" s="69"/>
      <c r="AB10" s="69"/>
      <c r="AC10" s="69"/>
      <c r="AD10" s="69"/>
      <c r="AE10" s="69" t="s">
        <v>183</v>
      </c>
      <c r="AF10" s="69" t="s">
        <v>183</v>
      </c>
      <c r="AG10" s="69"/>
      <c r="AH10" s="69"/>
      <c r="AI10" s="123" t="b">
        <f t="shared" ref="AI10:AI15" si="0">AND(OR(AND($P$6=TRUE,$P10&lt;&gt;""),AND($Q$6=TRUE,$Q10&lt;&gt;""),AND($R$6=TRUE,$R10&lt;&gt;"")),AND($S$6=TRUE,$S10&lt;&gt;""),OR(AND($T$6=TRUE,$T10&lt;&gt;""),AND($U$6=TRUE,$U10&lt;&gt;""),AND($V$6=TRUE,$V10&lt;&gt;""),AND($W$6=TRUE,$W10&lt;&gt;""),AND($X$6=TRUE,$X10&lt;&gt;""),AND($Y$6=TRUE,$Y10&lt;&gt;""),AND($Z$6=TRUE,$Z10&lt;&gt;""),AND($AA$6=TRUE,$AA10&lt;&gt;""),AND($AB$6=TRUE,$AB10&lt;&gt;""),AND($AC$6=TRUE,$AC10&lt;&gt;""),AND($AD$6=TRUE,$AD10&lt;&gt;"")),OR(AND($AE$6=TRUE,$AE10&lt;&gt;""),AND($AF$6=TRUE,$AF10&lt;&gt;""),AND($AG$6=TRUE,$AG10&lt;&gt;""),AND($AH$6=TRUE,$AH10&lt;&gt;"")))</f>
        <v>0</v>
      </c>
      <c r="AJ10" s="123"/>
      <c r="AK10" s="123"/>
      <c r="AL10" s="123"/>
      <c r="AM10" s="123"/>
      <c r="AN10" s="170" t="str">
        <f t="shared" ref="AN10:AN15" si="1">IF(AJ10&lt;&gt;"","セキュリティ管理/","")&amp;IF(AK10&lt;&gt;"","マルウェア/","")&amp;IF(AL10&lt;&gt;"","クラウド/","")&amp;IF(AM10&lt;&gt;"","別表1,2,3","")</f>
        <v/>
      </c>
      <c r="AO10" s="123"/>
    </row>
    <row r="11" spans="1:41" ht="90">
      <c r="A11" s="52"/>
      <c r="B11" s="58"/>
      <c r="C11" s="71" t="s">
        <v>1117</v>
      </c>
      <c r="D11" s="71" t="s">
        <v>478</v>
      </c>
      <c r="E11" s="91" t="str">
        <f>'インフラ(自社DC)'!E9</f>
        <v xml:space="preserve">運用担当者のID発行は必要最低限とし、IDと個人が一対一の関係としているか（IDの共有や貸し借りは禁止しているか）
共有IDにせざるを得ない場合は、後で個人を特定することが可能な仕組みになっているか。
</v>
      </c>
      <c r="F11" s="91" t="s">
        <v>1118</v>
      </c>
      <c r="G11" s="92" t="s">
        <v>254</v>
      </c>
      <c r="H11" s="61"/>
      <c r="I11" s="107"/>
      <c r="J11" s="60"/>
      <c r="K11" s="60"/>
      <c r="L11" s="60"/>
      <c r="M11" s="123"/>
      <c r="N11" s="243"/>
      <c r="O11" s="111" cm="1">
        <f t="array" ref="O11">IF(AI11=TRUE,_xlfn.IFS(M11=1,2,M11="",IF(N11="",1,2)),0)</f>
        <v>0</v>
      </c>
      <c r="P11" s="69" t="s">
        <v>255</v>
      </c>
      <c r="Q11" s="69" t="s">
        <v>183</v>
      </c>
      <c r="R11" s="69" t="s">
        <v>183</v>
      </c>
      <c r="S11" s="69" t="s">
        <v>183</v>
      </c>
      <c r="T11" s="118" t="s">
        <v>183</v>
      </c>
      <c r="U11" s="118"/>
      <c r="V11" s="118"/>
      <c r="W11" s="118"/>
      <c r="X11" s="118" t="s">
        <v>448</v>
      </c>
      <c r="Y11" s="69"/>
      <c r="Z11" s="69"/>
      <c r="AA11" s="69"/>
      <c r="AB11" s="69"/>
      <c r="AC11" s="69"/>
      <c r="AD11" s="69"/>
      <c r="AE11" s="69" t="s">
        <v>183</v>
      </c>
      <c r="AF11" s="69" t="s">
        <v>183</v>
      </c>
      <c r="AG11" s="69" t="s">
        <v>255</v>
      </c>
      <c r="AH11" s="69"/>
      <c r="AI11" s="123" t="b">
        <f t="shared" si="0"/>
        <v>0</v>
      </c>
      <c r="AJ11" s="123" t="s">
        <v>183</v>
      </c>
      <c r="AK11" s="123"/>
      <c r="AL11" s="123"/>
      <c r="AM11" s="123" t="s">
        <v>183</v>
      </c>
      <c r="AN11" s="170" t="str">
        <f t="shared" si="1"/>
        <v>セキュリティ管理/別表1,2,3</v>
      </c>
      <c r="AO11" s="123"/>
    </row>
    <row r="12" spans="1:41" ht="67.5">
      <c r="A12" s="52"/>
      <c r="B12" s="58"/>
      <c r="C12" s="71" t="s">
        <v>1119</v>
      </c>
      <c r="D12" s="71" t="s">
        <v>259</v>
      </c>
      <c r="E12" s="91" t="str">
        <f>'インフラ(自社DC)'!E10</f>
        <v xml:space="preserve">運用担当者や開発担当者がサーバーにアクセスする際の認証について、複数のシステムを同一のグループにせず、システムごとに認証しているか。
</v>
      </c>
      <c r="F12" s="99" t="s">
        <v>1120</v>
      </c>
      <c r="G12" s="92" t="s">
        <v>254</v>
      </c>
      <c r="H12" s="61"/>
      <c r="I12" s="107"/>
      <c r="J12" s="60"/>
      <c r="K12" s="60"/>
      <c r="L12" s="60"/>
      <c r="M12" s="123"/>
      <c r="N12" s="243"/>
      <c r="O12" s="111" cm="1">
        <f t="array" ref="O12">IF(AI12=TRUE,_xlfn.IFS(M12=1,2,M12="",IF(N12="",1,2)),0)</f>
        <v>0</v>
      </c>
      <c r="P12" s="69" t="s">
        <v>255</v>
      </c>
      <c r="Q12" s="69" t="s">
        <v>183</v>
      </c>
      <c r="R12" s="69" t="s">
        <v>183</v>
      </c>
      <c r="S12" s="69" t="s">
        <v>183</v>
      </c>
      <c r="T12" s="118" t="s">
        <v>183</v>
      </c>
      <c r="U12" s="118"/>
      <c r="V12" s="118"/>
      <c r="W12" s="118"/>
      <c r="X12" s="118" t="s">
        <v>448</v>
      </c>
      <c r="Y12" s="69"/>
      <c r="Z12" s="69"/>
      <c r="AA12" s="69"/>
      <c r="AB12" s="69"/>
      <c r="AC12" s="69"/>
      <c r="AD12" s="69"/>
      <c r="AE12" s="69" t="s">
        <v>183</v>
      </c>
      <c r="AF12" s="69" t="s">
        <v>183</v>
      </c>
      <c r="AG12" s="69"/>
      <c r="AH12" s="69"/>
      <c r="AI12" s="123" t="b">
        <f t="shared" si="0"/>
        <v>0</v>
      </c>
      <c r="AJ12" s="123"/>
      <c r="AK12" s="123"/>
      <c r="AL12" s="123"/>
      <c r="AM12" s="123"/>
      <c r="AN12" s="170" t="str">
        <f t="shared" si="1"/>
        <v/>
      </c>
      <c r="AO12" s="123"/>
    </row>
    <row r="13" spans="1:41" ht="22.5">
      <c r="A13" s="52"/>
      <c r="B13" s="58"/>
      <c r="C13" s="71" t="s">
        <v>1121</v>
      </c>
      <c r="D13" s="71" t="s">
        <v>262</v>
      </c>
      <c r="E13" s="91" t="str">
        <f>'インフラ(自社DC)'!E11</f>
        <v>システムの管理・運用に用いるＩＤの桁数は７桁以上としているか</v>
      </c>
      <c r="F13" s="91" t="s">
        <v>1122</v>
      </c>
      <c r="G13" s="92" t="s">
        <v>254</v>
      </c>
      <c r="H13" s="61"/>
      <c r="I13" s="107"/>
      <c r="J13" s="60"/>
      <c r="K13" s="60"/>
      <c r="L13" s="60"/>
      <c r="M13" s="123"/>
      <c r="N13" s="243"/>
      <c r="O13" s="111" cm="1">
        <f t="array" ref="O13">IF(AI13=TRUE,_xlfn.IFS(M13=1,2,M13="",IF(N13="",1,2)),0)</f>
        <v>0</v>
      </c>
      <c r="P13" s="69" t="s">
        <v>255</v>
      </c>
      <c r="Q13" s="69" t="s">
        <v>183</v>
      </c>
      <c r="R13" s="69" t="s">
        <v>183</v>
      </c>
      <c r="S13" s="69" t="s">
        <v>183</v>
      </c>
      <c r="T13" s="118" t="s">
        <v>183</v>
      </c>
      <c r="U13" s="118"/>
      <c r="V13" s="118"/>
      <c r="W13" s="118"/>
      <c r="X13" s="118" t="s">
        <v>448</v>
      </c>
      <c r="Y13" s="69"/>
      <c r="Z13" s="69"/>
      <c r="AA13" s="69"/>
      <c r="AB13" s="69"/>
      <c r="AC13" s="69"/>
      <c r="AD13" s="69"/>
      <c r="AE13" s="69" t="s">
        <v>183</v>
      </c>
      <c r="AF13" s="69" t="s">
        <v>183</v>
      </c>
      <c r="AG13" s="69"/>
      <c r="AH13" s="69"/>
      <c r="AI13" s="123" t="b">
        <f t="shared" si="0"/>
        <v>0</v>
      </c>
      <c r="AJ13" s="123"/>
      <c r="AK13" s="123"/>
      <c r="AL13" s="123"/>
      <c r="AM13" s="123"/>
      <c r="AN13" s="170" t="str">
        <f t="shared" si="1"/>
        <v/>
      </c>
      <c r="AO13" s="123"/>
    </row>
    <row r="14" spans="1:41" ht="135">
      <c r="A14" s="52"/>
      <c r="B14" s="58"/>
      <c r="C14" s="71" t="s">
        <v>1123</v>
      </c>
      <c r="D14" s="71" t="s">
        <v>265</v>
      </c>
      <c r="E14" s="91" t="str">
        <f>'インフラ(自社DC)'!E12</f>
        <v>運用担当者、開発担当者が使用する特認ID※、およびバッチ処理に組み込んで使用するＩＤは、既存の特認ＩＤ種類を使用する運用であり、新たな特認ＩＤ種類やアクセス権限を追加していないか。
新規に特認ＩＤを作成、使用する場合は、ＩＤ管理部門が設計を行うものとしているか。
※特認IDとは、本番環境や本番データにアクセス可能なユーザIDを指す。</v>
      </c>
      <c r="F14" s="91" t="s">
        <v>1124</v>
      </c>
      <c r="G14" s="92" t="s">
        <v>254</v>
      </c>
      <c r="H14" s="61"/>
      <c r="I14" s="107"/>
      <c r="J14" s="60"/>
      <c r="K14" s="60"/>
      <c r="L14" s="60"/>
      <c r="M14" s="123"/>
      <c r="N14" s="243"/>
      <c r="O14" s="111" cm="1">
        <f t="array" ref="O14">IF(AI14=TRUE,_xlfn.IFS(M14=1,2,M14="",IF(N14="",1,2)),0)</f>
        <v>0</v>
      </c>
      <c r="P14" s="69" t="s">
        <v>255</v>
      </c>
      <c r="Q14" s="69" t="s">
        <v>183</v>
      </c>
      <c r="R14" s="69" t="s">
        <v>183</v>
      </c>
      <c r="S14" s="69" t="s">
        <v>183</v>
      </c>
      <c r="T14" s="118" t="s">
        <v>183</v>
      </c>
      <c r="U14" s="118"/>
      <c r="V14" s="118"/>
      <c r="W14" s="118"/>
      <c r="X14" s="118" t="s">
        <v>448</v>
      </c>
      <c r="Y14" s="69"/>
      <c r="Z14" s="69"/>
      <c r="AA14" s="69"/>
      <c r="AB14" s="69"/>
      <c r="AC14" s="69"/>
      <c r="AD14" s="69"/>
      <c r="AE14" s="69" t="s">
        <v>183</v>
      </c>
      <c r="AF14" s="69" t="s">
        <v>183</v>
      </c>
      <c r="AG14" s="69"/>
      <c r="AH14" s="69"/>
      <c r="AI14" s="123" t="b">
        <f t="shared" si="0"/>
        <v>0</v>
      </c>
      <c r="AJ14" s="123"/>
      <c r="AK14" s="123"/>
      <c r="AL14" s="123"/>
      <c r="AM14" s="123"/>
      <c r="AN14" s="170" t="str">
        <f t="shared" si="1"/>
        <v/>
      </c>
      <c r="AO14" s="123"/>
    </row>
    <row r="15" spans="1:41" ht="180">
      <c r="A15" s="52"/>
      <c r="B15" s="58"/>
      <c r="C15" s="71" t="s">
        <v>1125</v>
      </c>
      <c r="D15" s="71" t="s">
        <v>950</v>
      </c>
      <c r="E15" s="91" t="str">
        <f>'インフラ(自社DC)'!E13</f>
        <v>OS・SWのシステムアカウント（デフォルトアカウント※含む）、運用アカウントに関して、利用しない場合は削除（もしくは無効化）しているか。
削除（もしくは無効化）できない場合、使用するパスワードを本Sheetの「ログイン、パスワード管理」に従ったものに変更しているか。
※デフォルトアカウントとは、OS・SW導入時に自動設定されるアカウント（UNIXのnobody、WindowsのGuest、Oracleのscott、WindowsのAdministrator、UNIXのroot、Oracleのsys等）のこと</v>
      </c>
      <c r="F15" s="91" t="s">
        <v>1126</v>
      </c>
      <c r="G15" s="92" t="s">
        <v>254</v>
      </c>
      <c r="H15" s="61"/>
      <c r="I15" s="107"/>
      <c r="J15" s="60"/>
      <c r="K15" s="60"/>
      <c r="L15" s="60"/>
      <c r="M15" s="123"/>
      <c r="N15" s="243"/>
      <c r="O15" s="111" cm="1">
        <f t="array" ref="O15">IF(AI15=TRUE,_xlfn.IFS(M15=1,2,M15="",IF(N15="",1,2)),0)</f>
        <v>0</v>
      </c>
      <c r="P15" s="69" t="s">
        <v>255</v>
      </c>
      <c r="Q15" s="69" t="s">
        <v>183</v>
      </c>
      <c r="R15" s="69" t="s">
        <v>183</v>
      </c>
      <c r="S15" s="69" t="s">
        <v>183</v>
      </c>
      <c r="T15" s="118" t="s">
        <v>183</v>
      </c>
      <c r="U15" s="118"/>
      <c r="V15" s="118"/>
      <c r="W15" s="118"/>
      <c r="X15" s="118" t="s">
        <v>448</v>
      </c>
      <c r="Y15" s="69"/>
      <c r="Z15" s="69"/>
      <c r="AA15" s="69"/>
      <c r="AB15" s="69"/>
      <c r="AC15" s="69"/>
      <c r="AD15" s="69"/>
      <c r="AE15" s="69" t="s">
        <v>183</v>
      </c>
      <c r="AF15" s="69" t="s">
        <v>183</v>
      </c>
      <c r="AG15" s="69"/>
      <c r="AH15" s="69"/>
      <c r="AI15" s="123" t="b">
        <f t="shared" si="0"/>
        <v>0</v>
      </c>
      <c r="AJ15" s="123"/>
      <c r="AK15" s="123"/>
      <c r="AL15" s="123"/>
      <c r="AM15" s="123"/>
      <c r="AN15" s="170" t="str">
        <f t="shared" si="1"/>
        <v/>
      </c>
      <c r="AO15" s="123"/>
    </row>
    <row r="16" spans="1:41" ht="22.5">
      <c r="A16" s="52"/>
      <c r="B16" s="58" t="s">
        <v>488</v>
      </c>
      <c r="C16" s="115"/>
      <c r="D16" s="115"/>
      <c r="E16" s="119"/>
      <c r="F16" s="119"/>
      <c r="G16" s="120"/>
      <c r="H16" s="182"/>
      <c r="I16" s="183"/>
      <c r="J16" s="116"/>
      <c r="K16" s="116"/>
      <c r="L16" s="116"/>
      <c r="M16" s="117"/>
      <c r="N16" s="250"/>
      <c r="O16" s="250"/>
      <c r="P16" s="117"/>
      <c r="Q16" s="117"/>
      <c r="R16" s="117"/>
      <c r="S16" s="117"/>
      <c r="T16" s="117"/>
      <c r="U16" s="117"/>
      <c r="V16" s="117"/>
      <c r="W16" s="117"/>
      <c r="X16" s="117"/>
      <c r="Y16" s="117"/>
      <c r="Z16" s="117"/>
      <c r="AA16" s="117"/>
      <c r="AB16" s="117"/>
      <c r="AC16" s="117"/>
      <c r="AD16" s="117"/>
      <c r="AE16" s="117"/>
      <c r="AF16" s="117"/>
      <c r="AG16" s="117"/>
      <c r="AH16" s="117"/>
      <c r="AI16" s="117" t="s">
        <v>268</v>
      </c>
      <c r="AJ16" s="117"/>
      <c r="AK16" s="117"/>
      <c r="AL16" s="117"/>
      <c r="AM16" s="117"/>
      <c r="AN16" s="117"/>
      <c r="AO16" s="117"/>
    </row>
    <row r="17" spans="1:41" ht="135">
      <c r="A17" s="52"/>
      <c r="B17" s="58"/>
      <c r="C17" s="71" t="s">
        <v>1127</v>
      </c>
      <c r="D17" s="71" t="s">
        <v>490</v>
      </c>
      <c r="E17" s="91" t="str">
        <f>'インフラ(自社DC)'!E15</f>
        <v>運用担当者のIDを知的認証（ＩＤ、パスワード）方式により認証しているか</v>
      </c>
      <c r="F17" s="91" t="s">
        <v>1128</v>
      </c>
      <c r="G17" s="92" t="s">
        <v>254</v>
      </c>
      <c r="H17" s="61"/>
      <c r="I17" s="107"/>
      <c r="J17" s="60" t="s">
        <v>730</v>
      </c>
      <c r="K17" s="60" t="s">
        <v>730</v>
      </c>
      <c r="L17" s="60"/>
      <c r="M17" s="123"/>
      <c r="N17" s="243"/>
      <c r="O17" s="111" cm="1">
        <f t="array" ref="O17">IF(AI17=TRUE,_xlfn.IFS(M17=1,2,M17="",IF(N17="",1,2)),0)</f>
        <v>0</v>
      </c>
      <c r="P17" s="69" t="s">
        <v>255</v>
      </c>
      <c r="Q17" s="69" t="s">
        <v>183</v>
      </c>
      <c r="R17" s="69" t="s">
        <v>183</v>
      </c>
      <c r="S17" s="69" t="s">
        <v>183</v>
      </c>
      <c r="T17" s="118" t="s">
        <v>183</v>
      </c>
      <c r="U17" s="118"/>
      <c r="V17" s="118"/>
      <c r="W17" s="118"/>
      <c r="X17" s="118" t="s">
        <v>448</v>
      </c>
      <c r="Y17" s="69"/>
      <c r="Z17" s="69"/>
      <c r="AA17" s="69"/>
      <c r="AB17" s="69"/>
      <c r="AC17" s="69"/>
      <c r="AD17" s="69"/>
      <c r="AE17" s="69" t="s">
        <v>183</v>
      </c>
      <c r="AF17" s="69" t="s">
        <v>183</v>
      </c>
      <c r="AG17" s="69" t="s">
        <v>255</v>
      </c>
      <c r="AH17" s="69"/>
      <c r="AI17" s="123" t="b">
        <f t="shared" ref="AI17:AI25" si="2">AND(OR(AND($P$6=TRUE,$P17&lt;&gt;""),AND($Q$6=TRUE,$Q17&lt;&gt;""),AND($R$6=TRUE,$R17&lt;&gt;"")),AND($S$6=TRUE,$S17&lt;&gt;""),OR(AND($T$6=TRUE,$T17&lt;&gt;""),AND($U$6=TRUE,$U17&lt;&gt;""),AND($V$6=TRUE,$V17&lt;&gt;""),AND($W$6=TRUE,$W17&lt;&gt;""),AND($X$6=TRUE,$X17&lt;&gt;""),AND($Y$6=TRUE,$Y17&lt;&gt;""),AND($Z$6=TRUE,$Z17&lt;&gt;""),AND($AA$6=TRUE,$AA17&lt;&gt;""),AND($AB$6=TRUE,$AB17&lt;&gt;""),AND($AC$6=TRUE,$AC17&lt;&gt;""),AND($AD$6=TRUE,$AD17&lt;&gt;"")),OR(AND($AE$6=TRUE,$AE17&lt;&gt;""),AND($AF$6=TRUE,$AF17&lt;&gt;""),AND($AG$6=TRUE,$AG17&lt;&gt;""),AND($AH$6=TRUE,$AH17&lt;&gt;"")))</f>
        <v>0</v>
      </c>
      <c r="AJ17" s="123" t="s">
        <v>183</v>
      </c>
      <c r="AK17" s="123"/>
      <c r="AL17" s="123"/>
      <c r="AM17" s="123"/>
      <c r="AN17" s="170" t="str">
        <f t="shared" ref="AN17:AN25" si="3">IF(AJ17&lt;&gt;"","セキュリティ管理/","")&amp;IF(AK17&lt;&gt;"","マルウェア/","")&amp;IF(AL17&lt;&gt;"","クラウド/","")&amp;IF(AM17&lt;&gt;"","別表1,2,3","")</f>
        <v>セキュリティ管理/</v>
      </c>
      <c r="AO17" s="123"/>
    </row>
    <row r="18" spans="1:41" ht="67.5">
      <c r="A18" s="52"/>
      <c r="B18" s="58"/>
      <c r="C18" s="71" t="s">
        <v>1129</v>
      </c>
      <c r="D18" s="71" t="s">
        <v>494</v>
      </c>
      <c r="E18" s="91" t="str">
        <f>'インフラ(自社DC)'!E16</f>
        <v>OS・SWのシステムアカウント及び運用アカウントのパスワードは、ランダムかつユニークなものを設定しているか
特に、パスワードは推測され難いものを設定し、IDやホスト名の文字列を含まないこと。</v>
      </c>
      <c r="F18" s="91" t="s">
        <v>1130</v>
      </c>
      <c r="G18" s="92" t="s">
        <v>254</v>
      </c>
      <c r="H18" s="61"/>
      <c r="I18" s="107"/>
      <c r="J18" s="60"/>
      <c r="K18" s="60"/>
      <c r="L18" s="60"/>
      <c r="M18" s="123"/>
      <c r="N18" s="243"/>
      <c r="O18" s="111" cm="1">
        <f t="array" ref="O18">IF(AI18=TRUE,_xlfn.IFS(M18=1,2,M18="",IF(N18="",1,2)),0)</f>
        <v>0</v>
      </c>
      <c r="P18" s="69" t="s">
        <v>255</v>
      </c>
      <c r="Q18" s="69" t="s">
        <v>183</v>
      </c>
      <c r="R18" s="69" t="s">
        <v>183</v>
      </c>
      <c r="S18" s="69" t="s">
        <v>183</v>
      </c>
      <c r="T18" s="118" t="s">
        <v>732</v>
      </c>
      <c r="U18" s="118"/>
      <c r="V18" s="118"/>
      <c r="W18" s="118"/>
      <c r="X18" s="118" t="s">
        <v>448</v>
      </c>
      <c r="Y18" s="69"/>
      <c r="Z18" s="69"/>
      <c r="AA18" s="69"/>
      <c r="AB18" s="118"/>
      <c r="AC18" s="118"/>
      <c r="AD18" s="118"/>
      <c r="AE18" s="69" t="s">
        <v>183</v>
      </c>
      <c r="AF18" s="69" t="s">
        <v>183</v>
      </c>
      <c r="AG18" s="69"/>
      <c r="AH18" s="69"/>
      <c r="AI18" s="123" t="b">
        <f t="shared" si="2"/>
        <v>0</v>
      </c>
      <c r="AJ18" s="123"/>
      <c r="AK18" s="123"/>
      <c r="AL18" s="123"/>
      <c r="AM18" s="123"/>
      <c r="AN18" s="170" t="str">
        <f t="shared" si="3"/>
        <v/>
      </c>
      <c r="AO18" s="123"/>
    </row>
    <row r="19" spans="1:41" ht="67.5">
      <c r="A19" s="52"/>
      <c r="B19" s="58"/>
      <c r="C19" s="71" t="s">
        <v>1131</v>
      </c>
      <c r="D19" s="71" t="s">
        <v>498</v>
      </c>
      <c r="E19" s="91" t="str">
        <f>'インフラ(自社DC)'!E17</f>
        <v>運用担当者が利用するアカウントの初期パスワードはランダムに生成しているか。
上記が困難な場合はパスワードの有効期限や初回の強制変更を設定するなど確実な変更を促すこと。</v>
      </c>
      <c r="F19" s="91" t="s">
        <v>1132</v>
      </c>
      <c r="G19" s="92" t="s">
        <v>254</v>
      </c>
      <c r="H19" s="61"/>
      <c r="I19" s="107"/>
      <c r="J19" s="60"/>
      <c r="K19" s="60"/>
      <c r="L19" s="60"/>
      <c r="M19" s="123"/>
      <c r="N19" s="243"/>
      <c r="O19" s="111" cm="1">
        <f t="array" ref="O19">IF(AI19=TRUE,_xlfn.IFS(M19=1,2,M19="",IF(N19="",1,2)),0)</f>
        <v>0</v>
      </c>
      <c r="P19" s="69" t="s">
        <v>255</v>
      </c>
      <c r="Q19" s="69" t="s">
        <v>183</v>
      </c>
      <c r="R19" s="69" t="s">
        <v>183</v>
      </c>
      <c r="S19" s="69" t="s">
        <v>183</v>
      </c>
      <c r="T19" s="118" t="s">
        <v>183</v>
      </c>
      <c r="U19" s="118"/>
      <c r="V19" s="118"/>
      <c r="W19" s="118"/>
      <c r="X19" s="118" t="s">
        <v>448</v>
      </c>
      <c r="Y19" s="69"/>
      <c r="Z19" s="69"/>
      <c r="AA19" s="69"/>
      <c r="AB19" s="118"/>
      <c r="AC19" s="118"/>
      <c r="AD19" s="118"/>
      <c r="AE19" s="69" t="s">
        <v>183</v>
      </c>
      <c r="AF19" s="69" t="s">
        <v>183</v>
      </c>
      <c r="AG19" s="69"/>
      <c r="AH19" s="69"/>
      <c r="AI19" s="123" t="b">
        <f t="shared" si="2"/>
        <v>0</v>
      </c>
      <c r="AJ19" s="123"/>
      <c r="AK19" s="123"/>
      <c r="AL19" s="123"/>
      <c r="AM19" s="123"/>
      <c r="AN19" s="170" t="str">
        <f t="shared" si="3"/>
        <v/>
      </c>
      <c r="AO19" s="123"/>
    </row>
    <row r="20" spans="1:41" ht="409.5">
      <c r="A20" s="52"/>
      <c r="B20" s="58"/>
      <c r="C20" s="71" t="s">
        <v>1133</v>
      </c>
      <c r="D20" s="71" t="s">
        <v>501</v>
      </c>
      <c r="E20" s="91" t="str">
        <f>'インフラ(自社DC)'!E18</f>
        <v>（注意）本セルは、記載が多く表示に収まっていないため、セル末尾の★★★ここまで★★★まで確認すること
運用担当者が利用するアカウントのパスワードは以下a群、b群の要件を満たしているか。
（アウトソースシステムは、回答で「YES」を選択した場合でも具体的な要件を備考欄に記入する。）
&lt;a群&gt;
・英字（大文字・小文字）、数字、記号の４種１０桁以上、もしくは３種１２桁以上（※）
・パスワード変更時には、現在のパスワードと同じパスワードや、過去に利用されたパスワードを拒否する
・パスワード入力エラー連続５回以内でアカウントロックする（一定時間経過等による自動でのロック解除は不可。上位者かシステム管理者による解除が必要）
（ただし、OSのシステムアカウントや運用アカウントでアカウントロックさせるのが困難な場合は、パスワード入力エラーが連続5回以上で検知できる仕組みを設けることで代替可能とする）
※EntraID（旧AzureAD）またはTGAAD/TGO365を利用し多要素認証とパスワードを組み合わせる場合、3文字種8文字以上
&lt;b群&gt;
・IDと同じ文字列を含むパスワードを拒否する
・推測されやすいパスワード（単純な文字の羅列、ユーザ自身の名前や誕生日、実在の単語など）を設定しないように、パスワード設定画面に注意文言を表示するか、アカウント利用規約に明記するなど利用者に周知徹底すること。
a群の要件が満たせない場合は、代替策として多要素認証の導入を必須とする。
b群の要件が満たせない場合は、代替策として以下のいずれかの対応を必須とする。
・多要素認証の導入
・ユーザのパスワード有効期限を９０日以内とし、有効期限の到来前に通知を行い変更を促す、もしくは有効期限到来後の初回ログイン時に強制的に変更を要求する
★★★ここまで★★★</v>
      </c>
      <c r="F20" s="91" t="s">
        <v>1130</v>
      </c>
      <c r="G20" s="92" t="s">
        <v>254</v>
      </c>
      <c r="H20" s="61"/>
      <c r="I20" s="107"/>
      <c r="J20" s="60"/>
      <c r="K20" s="60"/>
      <c r="L20" s="60"/>
      <c r="M20" s="123"/>
      <c r="N20" s="243"/>
      <c r="O20" s="111" cm="1">
        <f t="array" ref="O20">IF(AI20=TRUE,_xlfn.IFS(M20=1,2,M20="",IF(N20="",1,2)),0)</f>
        <v>0</v>
      </c>
      <c r="P20" s="69" t="s">
        <v>255</v>
      </c>
      <c r="Q20" s="69" t="s">
        <v>183</v>
      </c>
      <c r="R20" s="69" t="s">
        <v>183</v>
      </c>
      <c r="S20" s="69" t="s">
        <v>183</v>
      </c>
      <c r="T20" s="118" t="s">
        <v>183</v>
      </c>
      <c r="U20" s="118"/>
      <c r="V20" s="118"/>
      <c r="W20" s="118"/>
      <c r="X20" s="118" t="s">
        <v>448</v>
      </c>
      <c r="Y20" s="69"/>
      <c r="Z20" s="69"/>
      <c r="AA20" s="69"/>
      <c r="AB20" s="118"/>
      <c r="AC20" s="118"/>
      <c r="AD20" s="118"/>
      <c r="AE20" s="69" t="s">
        <v>183</v>
      </c>
      <c r="AF20" s="69" t="s">
        <v>183</v>
      </c>
      <c r="AG20" s="69" t="s">
        <v>255</v>
      </c>
      <c r="AH20" s="69"/>
      <c r="AI20" s="123" t="b">
        <f t="shared" si="2"/>
        <v>0</v>
      </c>
      <c r="AJ20" s="123" t="s">
        <v>183</v>
      </c>
      <c r="AK20" s="123"/>
      <c r="AL20" s="123"/>
      <c r="AM20" s="123" t="s">
        <v>183</v>
      </c>
      <c r="AN20" s="170" t="str">
        <f t="shared" si="3"/>
        <v>セキュリティ管理/別表1,2,3</v>
      </c>
      <c r="AO20" s="123" t="s">
        <v>2256</v>
      </c>
    </row>
    <row r="21" spans="1:41" ht="202.5">
      <c r="A21" s="52"/>
      <c r="B21" s="58"/>
      <c r="C21" s="71" t="s">
        <v>1134</v>
      </c>
      <c r="D21" s="71" t="s">
        <v>506</v>
      </c>
      <c r="E21" s="91" t="str">
        <f>'インフラ(自社DC)'!E19</f>
        <v>運用担当者の端末（ブラウザ）において、ブラウザのパスワード記憶機能やオートコンプリート機能を禁止しているか。
これらの機能を用いると、認証情報（ＩＤ・パスワード）が端末上に保存されるので当機能は使用しない設定とし、ブラウザ起動時は、毎回、認証情報（ＩＤ・パスワード）を入力する様にする。
ただし、機械的に生成されたランダムな文字列をパスワードに使用する場合は、ブラウザのパスワードマネージャやツール内でのパスワード保存を許可する。パスワードマネージャーを使用する場合はブラウザにログインしないこと。</v>
      </c>
      <c r="F21" s="91" t="s">
        <v>1135</v>
      </c>
      <c r="G21" s="92" t="s">
        <v>254</v>
      </c>
      <c r="H21" s="61"/>
      <c r="I21" s="107"/>
      <c r="J21" s="60"/>
      <c r="K21" s="60"/>
      <c r="L21" s="60"/>
      <c r="M21" s="123"/>
      <c r="N21" s="243"/>
      <c r="O21" s="111" cm="1">
        <f t="array" ref="O21">IF(AI21=TRUE,_xlfn.IFS(M21=1,2,M21="",IF(N21="",1,2)),0)</f>
        <v>0</v>
      </c>
      <c r="P21" s="69" t="s">
        <v>255</v>
      </c>
      <c r="Q21" s="69" t="s">
        <v>183</v>
      </c>
      <c r="R21" s="69" t="s">
        <v>183</v>
      </c>
      <c r="S21" s="69" t="s">
        <v>183</v>
      </c>
      <c r="T21" s="118" t="s">
        <v>183</v>
      </c>
      <c r="U21" s="118"/>
      <c r="V21" s="118"/>
      <c r="W21" s="118"/>
      <c r="X21" s="118" t="s">
        <v>448</v>
      </c>
      <c r="Y21" s="69"/>
      <c r="Z21" s="69"/>
      <c r="AA21" s="69"/>
      <c r="AB21" s="118"/>
      <c r="AC21" s="118"/>
      <c r="AD21" s="118"/>
      <c r="AE21" s="69" t="s">
        <v>183</v>
      </c>
      <c r="AF21" s="69" t="s">
        <v>183</v>
      </c>
      <c r="AG21" s="69" t="s">
        <v>255</v>
      </c>
      <c r="AH21" s="69"/>
      <c r="AI21" s="123" t="b">
        <f t="shared" si="2"/>
        <v>0</v>
      </c>
      <c r="AJ21" s="123"/>
      <c r="AK21" s="123" t="s">
        <v>183</v>
      </c>
      <c r="AL21" s="123"/>
      <c r="AM21" s="123"/>
      <c r="AN21" s="170" t="str">
        <f t="shared" si="3"/>
        <v>マルウェア/</v>
      </c>
      <c r="AO21" s="123" t="s">
        <v>2257</v>
      </c>
    </row>
    <row r="22" spans="1:41" ht="135">
      <c r="A22" s="52"/>
      <c r="B22" s="58"/>
      <c r="C22" s="71" t="s">
        <v>1136</v>
      </c>
      <c r="D22" s="71" t="s">
        <v>509</v>
      </c>
      <c r="E22" s="91" t="str">
        <f>'インフラ(自社DC)'!E20</f>
        <v>パスワード情報は、保存時または通信時にシステムで暗号化※しているか
また、パスワードの平文をそのまま保存せず、ソルト（乱数）を用いて計算したハッシュ値を保存しているか
※保存時はDISKレベルの暗号化ではなく、ミドルレイヤ(DBMS等）もしくはアプリケーションレイヤでの暗号化が必須</v>
      </c>
      <c r="F22" s="91" t="s">
        <v>1137</v>
      </c>
      <c r="G22" s="92" t="s">
        <v>254</v>
      </c>
      <c r="H22" s="61"/>
      <c r="I22" s="107"/>
      <c r="J22" s="60"/>
      <c r="K22" s="60"/>
      <c r="L22" s="60"/>
      <c r="M22" s="123"/>
      <c r="N22" s="243"/>
      <c r="O22" s="111" cm="1">
        <f t="array" ref="O22">IF(AI22=TRUE,_xlfn.IFS(M22=1,2,M22="",IF(N22="",1,2)),0)</f>
        <v>0</v>
      </c>
      <c r="P22" s="69" t="s">
        <v>255</v>
      </c>
      <c r="Q22" s="69" t="s">
        <v>183</v>
      </c>
      <c r="R22" s="69" t="s">
        <v>183</v>
      </c>
      <c r="S22" s="69" t="s">
        <v>183</v>
      </c>
      <c r="T22" s="118" t="s">
        <v>183</v>
      </c>
      <c r="U22" s="118"/>
      <c r="V22" s="118"/>
      <c r="W22" s="118"/>
      <c r="X22" s="118" t="s">
        <v>448</v>
      </c>
      <c r="Y22" s="69"/>
      <c r="Z22" s="69"/>
      <c r="AA22" s="69"/>
      <c r="AB22" s="118"/>
      <c r="AC22" s="118"/>
      <c r="AD22" s="118"/>
      <c r="AE22" s="69" t="s">
        <v>183</v>
      </c>
      <c r="AF22" s="69" t="s">
        <v>183</v>
      </c>
      <c r="AG22" s="69"/>
      <c r="AH22" s="69"/>
      <c r="AI22" s="123" t="b">
        <f t="shared" si="2"/>
        <v>0</v>
      </c>
      <c r="AJ22" s="123"/>
      <c r="AK22" s="123"/>
      <c r="AL22" s="123"/>
      <c r="AM22" s="123"/>
      <c r="AN22" s="170" t="str">
        <f t="shared" si="3"/>
        <v/>
      </c>
      <c r="AO22" s="123" t="s">
        <v>2198</v>
      </c>
    </row>
    <row r="23" spans="1:41" ht="90">
      <c r="A23" s="52"/>
      <c r="B23" s="58"/>
      <c r="C23" s="71" t="s">
        <v>1138</v>
      </c>
      <c r="D23" s="71" t="s">
        <v>740</v>
      </c>
      <c r="E23" s="91" t="str">
        <f>'インフラ(自社DC)'!E21</f>
        <v>サーバや端末内にアカウントのパスワードを平文で記載したファイルやスクリプトを配置していないか
システム制約上、スクリプトにパスワードが平文でハードコードされる場合は、一般ユーザ（一般ドメインユーザ）がアクセスできないフォルダに配置すること。</v>
      </c>
      <c r="F23" s="99" t="s">
        <v>1120</v>
      </c>
      <c r="G23" s="92" t="s">
        <v>254</v>
      </c>
      <c r="H23" s="61"/>
      <c r="I23" s="107"/>
      <c r="J23" s="60"/>
      <c r="K23" s="60"/>
      <c r="L23" s="60"/>
      <c r="M23" s="123"/>
      <c r="N23" s="243"/>
      <c r="O23" s="111" cm="1">
        <f t="array" ref="O23">IF(AI23=TRUE,_xlfn.IFS(M23=1,2,M23="",IF(N23="",1,2)),0)</f>
        <v>0</v>
      </c>
      <c r="P23" s="69" t="s">
        <v>255</v>
      </c>
      <c r="Q23" s="69" t="s">
        <v>183</v>
      </c>
      <c r="R23" s="69" t="s">
        <v>183</v>
      </c>
      <c r="S23" s="69" t="s">
        <v>183</v>
      </c>
      <c r="T23" s="118" t="s">
        <v>183</v>
      </c>
      <c r="U23" s="118"/>
      <c r="V23" s="118"/>
      <c r="W23" s="118"/>
      <c r="X23" s="118" t="s">
        <v>448</v>
      </c>
      <c r="Y23" s="69"/>
      <c r="Z23" s="69"/>
      <c r="AA23" s="69"/>
      <c r="AB23" s="118"/>
      <c r="AC23" s="118"/>
      <c r="AD23" s="118"/>
      <c r="AE23" s="69" t="s">
        <v>183</v>
      </c>
      <c r="AF23" s="69" t="s">
        <v>183</v>
      </c>
      <c r="AG23" s="69"/>
      <c r="AH23" s="69"/>
      <c r="AI23" s="123" t="b">
        <f t="shared" si="2"/>
        <v>0</v>
      </c>
      <c r="AJ23" s="123"/>
      <c r="AK23" s="123"/>
      <c r="AL23" s="123"/>
      <c r="AM23" s="123"/>
      <c r="AN23" s="170" t="str">
        <f t="shared" si="3"/>
        <v/>
      </c>
      <c r="AO23" s="123"/>
    </row>
    <row r="24" spans="1:41" ht="112.5">
      <c r="A24" s="52"/>
      <c r="B24" s="58"/>
      <c r="C24" s="71" t="s">
        <v>1139</v>
      </c>
      <c r="D24" s="71" t="s">
        <v>743</v>
      </c>
      <c r="E24" s="91" t="str">
        <f>'インフラ(自社DC)'!E22</f>
        <v>原則として運用担当者のログイン時に前回のログイン日時を表示するようにしているか　</v>
      </c>
      <c r="F24" s="91" t="s">
        <v>1140</v>
      </c>
      <c r="G24" s="60" t="s">
        <v>503</v>
      </c>
      <c r="H24" s="61"/>
      <c r="I24" s="107"/>
      <c r="J24" s="60"/>
      <c r="K24" s="60"/>
      <c r="L24" s="60"/>
      <c r="M24" s="123"/>
      <c r="N24" s="243"/>
      <c r="O24" s="111" cm="1">
        <f t="array" ref="O24">IF(AI24=TRUE,_xlfn.IFS(M24=1,2,M24="",IF(N24="",1,2)),0)</f>
        <v>0</v>
      </c>
      <c r="P24" s="69" t="s">
        <v>255</v>
      </c>
      <c r="Q24" s="69" t="s">
        <v>183</v>
      </c>
      <c r="R24" s="69" t="s">
        <v>183</v>
      </c>
      <c r="S24" s="69" t="s">
        <v>183</v>
      </c>
      <c r="T24" s="118" t="s">
        <v>183</v>
      </c>
      <c r="U24" s="118"/>
      <c r="V24" s="118"/>
      <c r="W24" s="118"/>
      <c r="X24" s="118"/>
      <c r="Y24" s="69"/>
      <c r="Z24" s="69"/>
      <c r="AA24" s="69"/>
      <c r="AB24" s="118"/>
      <c r="AC24" s="118"/>
      <c r="AD24" s="118"/>
      <c r="AE24" s="69" t="s">
        <v>183</v>
      </c>
      <c r="AF24" s="69" t="s">
        <v>183</v>
      </c>
      <c r="AG24" s="69"/>
      <c r="AH24" s="69"/>
      <c r="AI24" s="123" t="b">
        <f t="shared" si="2"/>
        <v>0</v>
      </c>
      <c r="AJ24" s="123"/>
      <c r="AK24" s="123"/>
      <c r="AL24" s="123"/>
      <c r="AM24" s="123"/>
      <c r="AN24" s="170" t="str">
        <f t="shared" si="3"/>
        <v/>
      </c>
      <c r="AO24" s="123" t="s">
        <v>747</v>
      </c>
    </row>
    <row r="25" spans="1:41" ht="45">
      <c r="A25" s="52"/>
      <c r="B25" s="58"/>
      <c r="C25" s="71" t="s">
        <v>1141</v>
      </c>
      <c r="D25" s="71" t="s">
        <v>517</v>
      </c>
      <c r="E25" s="91" t="str">
        <f>'インフラ(自社DC)'!E23</f>
        <v>原則として同一の運用担当者のIDによる同時使用（同時ログイン)を禁止しているか</v>
      </c>
      <c r="F25" s="91" t="s">
        <v>1142</v>
      </c>
      <c r="G25" s="60" t="s">
        <v>503</v>
      </c>
      <c r="H25" s="61"/>
      <c r="I25" s="107"/>
      <c r="J25" s="60"/>
      <c r="K25" s="60"/>
      <c r="L25" s="60"/>
      <c r="M25" s="123"/>
      <c r="N25" s="243"/>
      <c r="O25" s="111" cm="1">
        <f t="array" ref="O25">IF(AI25=TRUE,_xlfn.IFS(M25=1,2,M25="",IF(N25="",1,2)),0)</f>
        <v>0</v>
      </c>
      <c r="P25" s="69" t="s">
        <v>255</v>
      </c>
      <c r="Q25" s="69" t="s">
        <v>183</v>
      </c>
      <c r="R25" s="69" t="s">
        <v>183</v>
      </c>
      <c r="S25" s="69" t="s">
        <v>183</v>
      </c>
      <c r="T25" s="118" t="s">
        <v>183</v>
      </c>
      <c r="U25" s="118"/>
      <c r="V25" s="118"/>
      <c r="W25" s="118"/>
      <c r="X25" s="118" t="s">
        <v>448</v>
      </c>
      <c r="Y25" s="69"/>
      <c r="Z25" s="69"/>
      <c r="AA25" s="69"/>
      <c r="AB25" s="118"/>
      <c r="AC25" s="118"/>
      <c r="AD25" s="118"/>
      <c r="AE25" s="69" t="s">
        <v>183</v>
      </c>
      <c r="AF25" s="69" t="s">
        <v>183</v>
      </c>
      <c r="AG25" s="69"/>
      <c r="AH25" s="69"/>
      <c r="AI25" s="123" t="b">
        <f t="shared" si="2"/>
        <v>0</v>
      </c>
      <c r="AJ25" s="123"/>
      <c r="AK25" s="123"/>
      <c r="AL25" s="123"/>
      <c r="AM25" s="123"/>
      <c r="AN25" s="170" t="str">
        <f t="shared" si="3"/>
        <v/>
      </c>
      <c r="AO25" s="123" t="s">
        <v>747</v>
      </c>
    </row>
    <row r="26" spans="1:41" ht="22.5">
      <c r="A26" s="52"/>
      <c r="B26" s="58" t="s">
        <v>551</v>
      </c>
      <c r="C26" s="115"/>
      <c r="D26" s="115"/>
      <c r="E26" s="84"/>
      <c r="F26" s="84"/>
      <c r="G26" s="59"/>
      <c r="H26" s="182"/>
      <c r="I26" s="183"/>
      <c r="J26" s="116"/>
      <c r="K26" s="116"/>
      <c r="L26" s="116"/>
      <c r="M26" s="117"/>
      <c r="N26" s="250"/>
      <c r="O26" s="250"/>
      <c r="P26" s="117"/>
      <c r="Q26" s="117"/>
      <c r="R26" s="117"/>
      <c r="S26" s="117"/>
      <c r="T26" s="117"/>
      <c r="U26" s="117"/>
      <c r="V26" s="117"/>
      <c r="W26" s="117"/>
      <c r="X26" s="117"/>
      <c r="Y26" s="117"/>
      <c r="Z26" s="117"/>
      <c r="AA26" s="117"/>
      <c r="AB26" s="117"/>
      <c r="AC26" s="117"/>
      <c r="AD26" s="117"/>
      <c r="AE26" s="117"/>
      <c r="AF26" s="117"/>
      <c r="AG26" s="117"/>
      <c r="AH26" s="117"/>
      <c r="AI26" s="117" t="s">
        <v>268</v>
      </c>
      <c r="AJ26" s="117"/>
      <c r="AK26" s="117"/>
      <c r="AL26" s="117"/>
      <c r="AM26" s="117"/>
      <c r="AN26" s="117"/>
      <c r="AO26" s="117"/>
    </row>
    <row r="27" spans="1:41" ht="45">
      <c r="A27" s="52"/>
      <c r="B27" s="58"/>
      <c r="C27" s="71" t="s">
        <v>1143</v>
      </c>
      <c r="D27" s="71" t="s">
        <v>553</v>
      </c>
      <c r="E27" s="91" t="s">
        <v>1042</v>
      </c>
      <c r="F27" s="91" t="s">
        <v>1144</v>
      </c>
      <c r="G27" s="92" t="s">
        <v>254</v>
      </c>
      <c r="H27" s="61"/>
      <c r="I27" s="107"/>
      <c r="J27" s="60"/>
      <c r="K27" s="60"/>
      <c r="L27" s="60"/>
      <c r="M27" s="123"/>
      <c r="N27" s="243"/>
      <c r="O27" s="111" cm="1">
        <f t="array" ref="O27">IF(AI27=TRUE,_xlfn.IFS(M27=1,2,M27="",IF(N27="",1,2)),0)</f>
        <v>0</v>
      </c>
      <c r="P27" s="69" t="s">
        <v>255</v>
      </c>
      <c r="Q27" s="69" t="s">
        <v>255</v>
      </c>
      <c r="R27" s="69" t="s">
        <v>255</v>
      </c>
      <c r="S27" s="69" t="s">
        <v>183</v>
      </c>
      <c r="T27" s="118" t="s">
        <v>255</v>
      </c>
      <c r="U27" s="118"/>
      <c r="V27" s="118"/>
      <c r="W27" s="118"/>
      <c r="X27" s="118"/>
      <c r="Y27" s="69"/>
      <c r="Z27" s="69"/>
      <c r="AA27" s="69"/>
      <c r="AB27" s="118"/>
      <c r="AC27" s="118"/>
      <c r="AD27" s="118"/>
      <c r="AE27" s="69" t="s">
        <v>183</v>
      </c>
      <c r="AF27" s="69" t="s">
        <v>183</v>
      </c>
      <c r="AG27" s="69"/>
      <c r="AH27" s="69"/>
      <c r="AI27" s="123" t="b">
        <f>AND(OR(AND($P$6=TRUE,$P27&lt;&gt;""),AND($Q$6=TRUE,$Q27&lt;&gt;""),AND($R$6=TRUE,$R27&lt;&gt;"")),AND($S$6=TRUE,$S27&lt;&gt;""),OR(AND($T$6=TRUE,$T27&lt;&gt;""),AND($U$6=TRUE,$U27&lt;&gt;""),AND($V$6=TRUE,$V27&lt;&gt;""),AND($W$6=TRUE,$W27&lt;&gt;""),AND($X$6=TRUE,$X27&lt;&gt;""),AND($Y$6=TRUE,$Y27&lt;&gt;""),AND($Z$6=TRUE,$Z27&lt;&gt;""),AND($AA$6=TRUE,$AA27&lt;&gt;""),AND($AB$6=TRUE,$AB27&lt;&gt;""),AND($AC$6=TRUE,$AC27&lt;&gt;""),AND($AD$6=TRUE,$AD27&lt;&gt;"")),OR(AND($AE$6=TRUE,$AE27&lt;&gt;""),AND($AF$6=TRUE,$AF27&lt;&gt;""),AND($AG$6=TRUE,$AG27&lt;&gt;""),AND($AH$6=TRUE,$AH27&lt;&gt;"")))</f>
        <v>0</v>
      </c>
      <c r="AJ27" s="123"/>
      <c r="AK27" s="123"/>
      <c r="AL27" s="123"/>
      <c r="AM27" s="123"/>
      <c r="AN27" s="170" t="str">
        <f>IF(AJ27&lt;&gt;"","セキュリティ管理/","")&amp;IF(AK27&lt;&gt;"","マルウェア/","")&amp;IF(AL27&lt;&gt;"","クラウド/","")&amp;IF(AM27&lt;&gt;"","別表1,2,3","")</f>
        <v/>
      </c>
      <c r="AO27" s="123"/>
    </row>
    <row r="28" spans="1:41" ht="382.5">
      <c r="A28" s="52"/>
      <c r="B28" s="58"/>
      <c r="C28" s="71" t="s">
        <v>1145</v>
      </c>
      <c r="D28" s="71" t="s">
        <v>556</v>
      </c>
      <c r="E28" s="91" t="str">
        <f>'インフラ(自社DC)'!E25</f>
        <v>ユーザアカウントを役割（ID管理者、暗号鍵管理者、基盤運用者 等）ごとに分離し、システムアカウントや開発・運用アカウントを含めて、各アカウントに付与する権限を必要最小限にする。
また、システム導入時のデフォルト管理者権限（スーパー権限）の利用を禁止しているか。
特に、以下の権限については、アクセスルールの規定に従い、ユーザID・属性により機械的に制限すること。
（アウトソースシステムは、回答で「YES」を選択した場合でも実施している対策を備考欄に記入する。）
・オンライントランザクションの実行
・データベースアクセス範囲
・共有ファイルのアクセス可否
・データベース操作内容（挿入、更新、削除、参照）
・インフラ関連の設定変更
・PCへのダウンロード(業務用、個人用へのダウンロード）、ファイルの書き出し
・インターネットへのアクセス（Webメール、掲示板、SNS、オンラインストレージなど）</v>
      </c>
      <c r="F28" s="91" t="s">
        <v>1146</v>
      </c>
      <c r="G28" s="92" t="s">
        <v>254</v>
      </c>
      <c r="H28" s="61"/>
      <c r="I28" s="107"/>
      <c r="J28" s="60" t="s">
        <v>730</v>
      </c>
      <c r="K28" s="60"/>
      <c r="L28" s="60"/>
      <c r="M28" s="123"/>
      <c r="N28" s="243"/>
      <c r="O28" s="111" cm="1">
        <f t="array" ref="O28">IF(AI28=TRUE,_xlfn.IFS(M28=1,2,M28="",IF(N28="",1,2)),0)</f>
        <v>0</v>
      </c>
      <c r="P28" s="69" t="s">
        <v>255</v>
      </c>
      <c r="Q28" s="69" t="s">
        <v>255</v>
      </c>
      <c r="R28" s="69" t="s">
        <v>255</v>
      </c>
      <c r="S28" s="69" t="s">
        <v>183</v>
      </c>
      <c r="T28" s="118" t="s">
        <v>255</v>
      </c>
      <c r="U28" s="118"/>
      <c r="V28" s="118"/>
      <c r="W28" s="118"/>
      <c r="X28" s="118" t="s">
        <v>448</v>
      </c>
      <c r="Y28" s="69"/>
      <c r="Z28" s="69"/>
      <c r="AA28" s="69"/>
      <c r="AB28" s="118"/>
      <c r="AC28" s="118"/>
      <c r="AD28" s="118"/>
      <c r="AE28" s="69" t="s">
        <v>183</v>
      </c>
      <c r="AF28" s="69" t="s">
        <v>183</v>
      </c>
      <c r="AG28" s="69" t="s">
        <v>255</v>
      </c>
      <c r="AH28" s="69"/>
      <c r="AI28" s="123" t="b">
        <f>AND(OR(AND($P$6=TRUE,$P28&lt;&gt;""),AND($Q$6=TRUE,$Q28&lt;&gt;""),AND($R$6=TRUE,$R28&lt;&gt;"")),AND($S$6=TRUE,$S28&lt;&gt;""),OR(AND($T$6=TRUE,$T28&lt;&gt;""),AND($U$6=TRUE,$U28&lt;&gt;""),AND($V$6=TRUE,$V28&lt;&gt;""),AND($W$6=TRUE,$W28&lt;&gt;""),AND($X$6=TRUE,$X28&lt;&gt;""),AND($Y$6=TRUE,$Y28&lt;&gt;""),AND($Z$6=TRUE,$Z28&lt;&gt;""),AND($AA$6=TRUE,$AA28&lt;&gt;""),AND($AB$6=TRUE,$AB28&lt;&gt;""),AND($AC$6=TRUE,$AC28&lt;&gt;""),AND($AD$6=TRUE,$AD28&lt;&gt;"")),OR(AND($AE$6=TRUE,$AE28&lt;&gt;""),AND($AF$6=TRUE,$AF28&lt;&gt;""),AND($AG$6=TRUE,$AG28&lt;&gt;""),AND($AH$6=TRUE,$AH28&lt;&gt;"")))</f>
        <v>0</v>
      </c>
      <c r="AJ28" s="123" t="s">
        <v>183</v>
      </c>
      <c r="AK28" s="123"/>
      <c r="AL28" s="123"/>
      <c r="AM28" s="123"/>
      <c r="AN28" s="170" t="str">
        <f>IF(AJ28&lt;&gt;"","セキュリティ管理/","")&amp;IF(AK28&lt;&gt;"","マルウェア/","")&amp;IF(AL28&lt;&gt;"","クラウド/","")&amp;IF(AM28&lt;&gt;"","別表1,2,3","")</f>
        <v>セキュリティ管理/</v>
      </c>
      <c r="AO28" s="123"/>
    </row>
    <row r="29" spans="1:41" ht="45">
      <c r="A29" s="52"/>
      <c r="B29" s="58"/>
      <c r="C29" s="71" t="s">
        <v>1147</v>
      </c>
      <c r="D29" s="71" t="s">
        <v>1148</v>
      </c>
      <c r="E29" s="91" t="str">
        <f>'インフラ(自社DC)'!E26</f>
        <v>センシティブ情報を保管する場合は、参照権限者を限定しているか。</v>
      </c>
      <c r="F29" s="99" t="s">
        <v>1149</v>
      </c>
      <c r="G29" s="92" t="s">
        <v>254</v>
      </c>
      <c r="H29" s="61"/>
      <c r="I29" s="107"/>
      <c r="J29" s="60"/>
      <c r="K29" s="60"/>
      <c r="L29" s="60"/>
      <c r="M29" s="123"/>
      <c r="N29" s="243"/>
      <c r="O29" s="111" cm="1">
        <f t="array" ref="O29">IF(AI29=TRUE,_xlfn.IFS(M29=1,2,M29="",IF(N29="",1,2)),0)</f>
        <v>0</v>
      </c>
      <c r="P29" s="69" t="s">
        <v>255</v>
      </c>
      <c r="Q29" s="69" t="s">
        <v>183</v>
      </c>
      <c r="R29" s="69" t="s">
        <v>183</v>
      </c>
      <c r="S29" s="69" t="s">
        <v>183</v>
      </c>
      <c r="T29" s="118" t="s">
        <v>183</v>
      </c>
      <c r="U29" s="118"/>
      <c r="V29" s="118"/>
      <c r="W29" s="118"/>
      <c r="X29" s="118" t="s">
        <v>448</v>
      </c>
      <c r="Y29" s="69"/>
      <c r="Z29" s="69"/>
      <c r="AA29" s="69"/>
      <c r="AB29" s="118"/>
      <c r="AC29" s="118"/>
      <c r="AD29" s="118"/>
      <c r="AE29" s="69" t="s">
        <v>183</v>
      </c>
      <c r="AF29" s="69" t="s">
        <v>183</v>
      </c>
      <c r="AG29" s="69"/>
      <c r="AH29" s="69"/>
      <c r="AI29" s="123" t="b">
        <f>AND(OR(AND($P$6=TRUE,$P29&lt;&gt;""),AND($Q$6=TRUE,$Q29&lt;&gt;""),AND($R$6=TRUE,$R29&lt;&gt;"")),AND($S$6=TRUE,$S29&lt;&gt;""),OR(AND($T$6=TRUE,$T29&lt;&gt;""),AND($U$6=TRUE,$U29&lt;&gt;""),AND($V$6=TRUE,$V29&lt;&gt;""),AND($W$6=TRUE,$W29&lt;&gt;""),AND($X$6=TRUE,$X29&lt;&gt;""),AND($Y$6=TRUE,$Y29&lt;&gt;""),AND($Z$6=TRUE,$Z29&lt;&gt;""),AND($AA$6=TRUE,$AA29&lt;&gt;""),AND($AB$6=TRUE,$AB29&lt;&gt;""),AND($AC$6=TRUE,$AC29&lt;&gt;""),AND($AD$6=TRUE,$AD29&lt;&gt;"")),OR(AND($AE$6=TRUE,$AE29&lt;&gt;""),AND($AF$6=TRUE,$AF29&lt;&gt;""),AND($AG$6=TRUE,$AG29&lt;&gt;""),AND($AH$6=TRUE,$AH29&lt;&gt;"")))</f>
        <v>0</v>
      </c>
      <c r="AJ29" s="123"/>
      <c r="AK29" s="123"/>
      <c r="AL29" s="123"/>
      <c r="AM29" s="123"/>
      <c r="AN29" s="170" t="str">
        <f>IF(AJ29&lt;&gt;"","セキュリティ管理/","")&amp;IF(AK29&lt;&gt;"","マルウェア/","")&amp;IF(AL29&lt;&gt;"","クラウド/","")&amp;IF(AM29&lt;&gt;"","別表1,2,3","")</f>
        <v/>
      </c>
      <c r="AO29" s="123"/>
    </row>
    <row r="30" spans="1:41" ht="45">
      <c r="A30" s="52"/>
      <c r="B30" s="58"/>
      <c r="C30" s="71" t="s">
        <v>1150</v>
      </c>
      <c r="D30" s="71" t="s">
        <v>980</v>
      </c>
      <c r="E30" s="107" t="str">
        <f>'インフラ(自社DC)'!E27</f>
        <v>取得したログは厳格にアクセス制御しているか、又は一回書き込み型の装置を使用するなどの改ざん防止措置を行っているか</v>
      </c>
      <c r="F30" s="126" t="s">
        <v>1151</v>
      </c>
      <c r="G30" s="60" t="s">
        <v>254</v>
      </c>
      <c r="H30" s="61"/>
      <c r="I30" s="107"/>
      <c r="J30" s="60"/>
      <c r="K30" s="60"/>
      <c r="L30" s="60"/>
      <c r="M30" s="123"/>
      <c r="N30" s="243"/>
      <c r="O30" s="111" cm="1">
        <f t="array" ref="O30">IF(AI30=TRUE,_xlfn.IFS(M30=1,2,M30="",IF(N30="",1,2)),0)</f>
        <v>0</v>
      </c>
      <c r="P30" s="69" t="s">
        <v>255</v>
      </c>
      <c r="Q30" s="69" t="s">
        <v>183</v>
      </c>
      <c r="R30" s="69" t="s">
        <v>183</v>
      </c>
      <c r="S30" s="69" t="s">
        <v>183</v>
      </c>
      <c r="T30" s="69" t="s">
        <v>183</v>
      </c>
      <c r="U30" s="69"/>
      <c r="V30" s="69"/>
      <c r="W30" s="69"/>
      <c r="X30" s="118" t="s">
        <v>448</v>
      </c>
      <c r="Y30" s="69"/>
      <c r="Z30" s="69"/>
      <c r="AA30" s="69"/>
      <c r="AB30" s="118"/>
      <c r="AC30" s="118"/>
      <c r="AD30" s="118"/>
      <c r="AE30" s="69" t="s">
        <v>183</v>
      </c>
      <c r="AF30" s="69" t="s">
        <v>183</v>
      </c>
      <c r="AG30" s="69"/>
      <c r="AH30" s="69"/>
      <c r="AI30" s="123" t="b">
        <f>AND(OR(AND($P$6=TRUE,$P30&lt;&gt;""),AND($Q$6=TRUE,$Q30&lt;&gt;""),AND($R$6=TRUE,$R30&lt;&gt;"")),AND($S$6=TRUE,$S30&lt;&gt;""),OR(AND($T$6=TRUE,$T30&lt;&gt;""),AND($U$6=TRUE,$U30&lt;&gt;""),AND($V$6=TRUE,$V30&lt;&gt;""),AND($W$6=TRUE,$W30&lt;&gt;""),AND($X$6=TRUE,$X30&lt;&gt;""),AND($Y$6=TRUE,$Y30&lt;&gt;""),AND($Z$6=TRUE,$Z30&lt;&gt;""),AND($AA$6=TRUE,$AA30&lt;&gt;""),AND($AB$6=TRUE,$AB30&lt;&gt;""),AND($AC$6=TRUE,$AC30&lt;&gt;""),AND($AD$6=TRUE,$AD30&lt;&gt;"")),OR(AND($AE$6=TRUE,$AE30&lt;&gt;""),AND($AF$6=TRUE,$AF30&lt;&gt;""),AND($AG$6=TRUE,$AG30&lt;&gt;""),AND($AH$6=TRUE,$AH30&lt;&gt;"")))</f>
        <v>0</v>
      </c>
      <c r="AJ30" s="123"/>
      <c r="AK30" s="123"/>
      <c r="AL30" s="123"/>
      <c r="AM30" s="123"/>
      <c r="AN30" s="170" t="str">
        <f>IF(AJ30&lt;&gt;"","セキュリティ管理/","")&amp;IF(AK30&lt;&gt;"","マルウェア/","")&amp;IF(AL30&lt;&gt;"","クラウド/","")&amp;IF(AM30&lt;&gt;"","別表1,2,3","")</f>
        <v/>
      </c>
      <c r="AO30" s="123"/>
    </row>
    <row r="31" spans="1:41" ht="22.5">
      <c r="A31" s="52" t="s">
        <v>559</v>
      </c>
      <c r="B31" s="52"/>
      <c r="C31" s="113"/>
      <c r="D31" s="113"/>
      <c r="E31" s="77"/>
      <c r="F31" s="77"/>
      <c r="G31" s="56"/>
      <c r="H31" s="56"/>
      <c r="I31" s="77"/>
      <c r="J31" s="56"/>
      <c r="K31" s="56"/>
      <c r="L31" s="56"/>
      <c r="M31" s="114"/>
      <c r="N31" s="249"/>
      <c r="O31" s="249"/>
      <c r="P31" s="114"/>
      <c r="Q31" s="114"/>
      <c r="R31" s="114"/>
      <c r="S31" s="114"/>
      <c r="T31" s="114"/>
      <c r="U31" s="114"/>
      <c r="V31" s="114"/>
      <c r="W31" s="114"/>
      <c r="X31" s="114"/>
      <c r="Y31" s="114"/>
      <c r="Z31" s="114"/>
      <c r="AA31" s="114"/>
      <c r="AB31" s="114"/>
      <c r="AC31" s="114"/>
      <c r="AD31" s="114"/>
      <c r="AE31" s="114"/>
      <c r="AF31" s="114"/>
      <c r="AG31" s="114"/>
      <c r="AH31" s="114"/>
      <c r="AI31" s="114" t="s">
        <v>268</v>
      </c>
      <c r="AJ31" s="114"/>
      <c r="AK31" s="114"/>
      <c r="AL31" s="114"/>
      <c r="AM31" s="114"/>
      <c r="AN31" s="114"/>
      <c r="AO31" s="114"/>
    </row>
    <row r="32" spans="1:41" ht="22.5">
      <c r="A32" s="52"/>
      <c r="B32" s="58"/>
      <c r="C32" s="58"/>
      <c r="D32" s="58"/>
      <c r="E32" s="115"/>
      <c r="F32" s="115"/>
      <c r="G32" s="58"/>
      <c r="H32" s="59"/>
      <c r="I32" s="84"/>
      <c r="J32" s="58"/>
      <c r="K32" s="58"/>
      <c r="L32" s="58"/>
      <c r="M32" s="122"/>
      <c r="N32" s="244"/>
      <c r="O32" s="244"/>
      <c r="P32" s="122"/>
      <c r="Q32" s="122"/>
      <c r="R32" s="122"/>
      <c r="S32" s="122"/>
      <c r="T32" s="122"/>
      <c r="U32" s="122"/>
      <c r="V32" s="122"/>
      <c r="W32" s="122"/>
      <c r="X32" s="122"/>
      <c r="Y32" s="122"/>
      <c r="Z32" s="122"/>
      <c r="AA32" s="122"/>
      <c r="AB32" s="122"/>
      <c r="AC32" s="122"/>
      <c r="AD32" s="122"/>
      <c r="AE32" s="122"/>
      <c r="AF32" s="122"/>
      <c r="AG32" s="122"/>
      <c r="AH32" s="122"/>
      <c r="AI32" s="122" t="s">
        <v>268</v>
      </c>
      <c r="AJ32" s="122"/>
      <c r="AK32" s="122"/>
      <c r="AL32" s="122"/>
      <c r="AM32" s="122"/>
      <c r="AN32" s="122"/>
      <c r="AO32" s="122"/>
    </row>
    <row r="33" spans="1:41" ht="157.5">
      <c r="A33" s="52"/>
      <c r="B33" s="58"/>
      <c r="C33" s="71" t="s">
        <v>1152</v>
      </c>
      <c r="D33" s="71" t="s">
        <v>270</v>
      </c>
      <c r="E33" s="91" t="s">
        <v>1042</v>
      </c>
      <c r="F33" s="91" t="s">
        <v>1153</v>
      </c>
      <c r="G33" s="92" t="s">
        <v>254</v>
      </c>
      <c r="H33" s="61"/>
      <c r="I33" s="107"/>
      <c r="J33" s="60"/>
      <c r="K33" s="60"/>
      <c r="L33" s="60"/>
      <c r="M33" s="123"/>
      <c r="N33" s="243"/>
      <c r="O33" s="111" cm="1">
        <f t="array" ref="O33">IF(AI33=TRUE,_xlfn.IFS(M33=1,2,M33="",IF(N33="",1,2)),0)</f>
        <v>0</v>
      </c>
      <c r="P33" s="69" t="s">
        <v>255</v>
      </c>
      <c r="Q33" s="69" t="s">
        <v>255</v>
      </c>
      <c r="R33" s="69" t="s">
        <v>255</v>
      </c>
      <c r="S33" s="69" t="s">
        <v>183</v>
      </c>
      <c r="T33" s="118" t="s">
        <v>255</v>
      </c>
      <c r="U33" s="118"/>
      <c r="V33" s="118"/>
      <c r="W33" s="118"/>
      <c r="X33" s="118"/>
      <c r="Y33" s="69"/>
      <c r="Z33" s="69"/>
      <c r="AA33" s="69"/>
      <c r="AB33" s="118"/>
      <c r="AC33" s="118"/>
      <c r="AD33" s="118"/>
      <c r="AE33" s="69" t="s">
        <v>183</v>
      </c>
      <c r="AF33" s="69" t="s">
        <v>183</v>
      </c>
      <c r="AG33" s="69"/>
      <c r="AH33" s="69"/>
      <c r="AI33" s="123" t="b">
        <f t="shared" ref="AI33:AI38" si="4">AND(OR(AND($P$6=TRUE,$P33&lt;&gt;""),AND($Q$6=TRUE,$Q33&lt;&gt;""),AND($R$6=TRUE,$R33&lt;&gt;"")),AND($S$6=TRUE,$S33&lt;&gt;""),OR(AND($T$6=TRUE,$T33&lt;&gt;""),AND($U$6=TRUE,$U33&lt;&gt;""),AND($V$6=TRUE,$V33&lt;&gt;""),AND($W$6=TRUE,$W33&lt;&gt;""),AND($X$6=TRUE,$X33&lt;&gt;""),AND($Y$6=TRUE,$Y33&lt;&gt;""),AND($Z$6=TRUE,$Z33&lt;&gt;""),AND($AA$6=TRUE,$AA33&lt;&gt;""),AND($AB$6=TRUE,$AB33&lt;&gt;""),AND($AC$6=TRUE,$AC33&lt;&gt;""),AND($AD$6=TRUE,$AD33&lt;&gt;"")),OR(AND($AE$6=TRUE,$AE33&lt;&gt;""),AND($AF$6=TRUE,$AF33&lt;&gt;""),AND($AG$6=TRUE,$AG33&lt;&gt;""),AND($AH$6=TRUE,$AH33&lt;&gt;"")))</f>
        <v>0</v>
      </c>
      <c r="AJ33" s="123"/>
      <c r="AK33" s="123"/>
      <c r="AL33" s="123"/>
      <c r="AM33" s="123"/>
      <c r="AN33" s="170" t="str">
        <f t="shared" ref="AN33:AN38" si="5">IF(AJ33&lt;&gt;"","セキュリティ管理/","")&amp;IF(AK33&lt;&gt;"","マルウェア/","")&amp;IF(AL33&lt;&gt;"","クラウド/","")&amp;IF(AM33&lt;&gt;"","別表1,2,3","")</f>
        <v/>
      </c>
      <c r="AO33" s="123"/>
    </row>
    <row r="34" spans="1:41" ht="270">
      <c r="A34" s="52"/>
      <c r="B34" s="58"/>
      <c r="C34" s="71" t="s">
        <v>1154</v>
      </c>
      <c r="D34" s="71" t="s">
        <v>562</v>
      </c>
      <c r="E34" s="91" t="str">
        <f>'インフラ(自社DC)'!E30</f>
        <v>機密情報を扱うシステムでは、保存データをミドルレイヤ(DBMS等）もしくはアプリケーションレイヤでの暗号化を行っているか。
センシティブ情報(損害サービス対応にかかわる重要コメント含む)、マイナンバー(法人番号は含まない)については暗号化を必須とし、特にマイナンバーの復号鍵は、データとは別の筐体に保管して保護、もしくはアクセス制御等によりデータと同等の保護策を実施する。
上記以外のデータで、レスポンス悪化などの影響を踏まえて暗号化しない場合は、以下の通りにデータ保護を行っているか。
　・主要データ・ＤＢへのシステム的なアクセス制限
　・主要データ・ＤＢへのアクセス状況のモニタリング
（アウトソースシステムにおいては、回答で「YES」を選択した場合でも、実施している対策を備考欄に記入する。）</v>
      </c>
      <c r="F34" s="91" t="s">
        <v>1155</v>
      </c>
      <c r="G34" s="92" t="s">
        <v>254</v>
      </c>
      <c r="H34" s="61"/>
      <c r="I34" s="107"/>
      <c r="J34" s="60"/>
      <c r="K34" s="60"/>
      <c r="L34" s="60"/>
      <c r="M34" s="123"/>
      <c r="N34" s="243"/>
      <c r="O34" s="111" cm="1">
        <f t="array" ref="O34">IF(AI34=TRUE,_xlfn.IFS(M34=1,2,M34="",IF(N34="",1,2)),0)</f>
        <v>0</v>
      </c>
      <c r="P34" s="69" t="s">
        <v>255</v>
      </c>
      <c r="Q34" s="69" t="s">
        <v>255</v>
      </c>
      <c r="R34" s="69" t="s">
        <v>255</v>
      </c>
      <c r="S34" s="69" t="s">
        <v>183</v>
      </c>
      <c r="T34" s="118" t="s">
        <v>183</v>
      </c>
      <c r="U34" s="118"/>
      <c r="V34" s="118"/>
      <c r="W34" s="118"/>
      <c r="X34" s="118" t="s">
        <v>448</v>
      </c>
      <c r="Y34" s="69"/>
      <c r="Z34" s="69"/>
      <c r="AA34" s="69"/>
      <c r="AB34" s="118"/>
      <c r="AC34" s="118" t="s">
        <v>183</v>
      </c>
      <c r="AD34" s="118"/>
      <c r="AE34" s="69" t="s">
        <v>183</v>
      </c>
      <c r="AF34" s="69" t="s">
        <v>183</v>
      </c>
      <c r="AG34" s="69" t="s">
        <v>255</v>
      </c>
      <c r="AH34" s="69"/>
      <c r="AI34" s="123" t="b">
        <f t="shared" si="4"/>
        <v>0</v>
      </c>
      <c r="AJ34" s="123" t="s">
        <v>183</v>
      </c>
      <c r="AK34" s="123"/>
      <c r="AL34" s="123"/>
      <c r="AM34" s="123"/>
      <c r="AN34" s="170" t="str">
        <f t="shared" si="5"/>
        <v>セキュリティ管理/</v>
      </c>
      <c r="AO34" s="123" t="s">
        <v>2198</v>
      </c>
    </row>
    <row r="35" spans="1:41" ht="112.5">
      <c r="A35" s="52"/>
      <c r="B35" s="58"/>
      <c r="C35" s="71" t="s">
        <v>1156</v>
      </c>
      <c r="D35" s="71" t="s">
        <v>565</v>
      </c>
      <c r="E35" s="91" t="str">
        <f>'インフラ(自社DC)'!E31</f>
        <v>ハッシュ関数や暗号アルゴリズムは、「電子政府推奨暗号リスト※」に記載されているものを採用しているか
※電子政府推奨暗号リストは下記URLを参照
https://www.cryptrec.go.jp/list.html</v>
      </c>
      <c r="F35" s="99" t="s">
        <v>1120</v>
      </c>
      <c r="G35" s="92" t="s">
        <v>254</v>
      </c>
      <c r="H35" s="61"/>
      <c r="I35" s="107"/>
      <c r="J35" s="60"/>
      <c r="K35" s="60"/>
      <c r="L35" s="60"/>
      <c r="M35" s="123"/>
      <c r="N35" s="243"/>
      <c r="O35" s="111" cm="1">
        <f t="array" ref="O35">IF(AI35=TRUE,_xlfn.IFS(M35=1,2,M35="",IF(N35="",1,2)),0)</f>
        <v>0</v>
      </c>
      <c r="P35" s="69" t="s">
        <v>255</v>
      </c>
      <c r="Q35" s="69" t="s">
        <v>183</v>
      </c>
      <c r="R35" s="69" t="s">
        <v>183</v>
      </c>
      <c r="S35" s="69" t="s">
        <v>183</v>
      </c>
      <c r="T35" s="118" t="s">
        <v>183</v>
      </c>
      <c r="U35" s="118"/>
      <c r="V35" s="118"/>
      <c r="W35" s="118"/>
      <c r="X35" s="118" t="s">
        <v>448</v>
      </c>
      <c r="Y35" s="69"/>
      <c r="Z35" s="69"/>
      <c r="AA35" s="69"/>
      <c r="AB35" s="118"/>
      <c r="AC35" s="118"/>
      <c r="AD35" s="118"/>
      <c r="AE35" s="69" t="s">
        <v>183</v>
      </c>
      <c r="AF35" s="69" t="s">
        <v>183</v>
      </c>
      <c r="AG35" s="69"/>
      <c r="AH35" s="69"/>
      <c r="AI35" s="123" t="b">
        <f t="shared" si="4"/>
        <v>0</v>
      </c>
      <c r="AJ35" s="123"/>
      <c r="AK35" s="123"/>
      <c r="AL35" s="123"/>
      <c r="AM35" s="123"/>
      <c r="AN35" s="170" t="str">
        <f t="shared" si="5"/>
        <v/>
      </c>
      <c r="AO35" s="123"/>
    </row>
    <row r="36" spans="1:41" ht="45">
      <c r="A36" s="52"/>
      <c r="B36" s="58"/>
      <c r="C36" s="71" t="s">
        <v>1157</v>
      </c>
      <c r="D36" s="71" t="s">
        <v>756</v>
      </c>
      <c r="E36" s="91" t="str">
        <f>'インフラ(自社DC)'!E32</f>
        <v>暗号鍵を耐タンパー性を有する暗号モジュールへ格納しているか。
また、暗号鍵は、管理者以外アクセス不可能な保存媒体及び保存場所へ格納しているか</v>
      </c>
      <c r="F36" s="91" t="s">
        <v>1158</v>
      </c>
      <c r="G36" s="92" t="s">
        <v>254</v>
      </c>
      <c r="H36" s="61"/>
      <c r="I36" s="107"/>
      <c r="J36" s="60"/>
      <c r="K36" s="60"/>
      <c r="L36" s="60"/>
      <c r="M36" s="123"/>
      <c r="N36" s="243"/>
      <c r="O36" s="111" cm="1">
        <f t="array" ref="O36">IF(AI36=TRUE,_xlfn.IFS(M36=1,2,M36="",IF(N36="",1,2)),0)</f>
        <v>0</v>
      </c>
      <c r="P36" s="69" t="s">
        <v>255</v>
      </c>
      <c r="Q36" s="69" t="s">
        <v>183</v>
      </c>
      <c r="R36" s="69" t="s">
        <v>183</v>
      </c>
      <c r="S36" s="69" t="s">
        <v>183</v>
      </c>
      <c r="T36" s="118" t="s">
        <v>183</v>
      </c>
      <c r="U36" s="118"/>
      <c r="V36" s="118"/>
      <c r="W36" s="118"/>
      <c r="X36" s="118" t="s">
        <v>448</v>
      </c>
      <c r="Y36" s="69"/>
      <c r="Z36" s="69"/>
      <c r="AA36" s="69"/>
      <c r="AB36" s="118"/>
      <c r="AC36" s="118"/>
      <c r="AD36" s="118"/>
      <c r="AE36" s="69" t="s">
        <v>183</v>
      </c>
      <c r="AF36" s="69" t="s">
        <v>183</v>
      </c>
      <c r="AG36" s="69"/>
      <c r="AH36" s="69"/>
      <c r="AI36" s="123" t="b">
        <f t="shared" si="4"/>
        <v>0</v>
      </c>
      <c r="AJ36" s="123"/>
      <c r="AK36" s="123"/>
      <c r="AL36" s="123"/>
      <c r="AM36" s="123"/>
      <c r="AN36" s="170" t="str">
        <f t="shared" si="5"/>
        <v/>
      </c>
      <c r="AO36" s="123"/>
    </row>
    <row r="37" spans="1:41" ht="369.65" customHeight="1">
      <c r="A37" s="52"/>
      <c r="B37" s="58"/>
      <c r="C37" s="71" t="s">
        <v>1159</v>
      </c>
      <c r="D37" s="71" t="s">
        <v>758</v>
      </c>
      <c r="E37" s="107" t="str">
        <f>'インフラ(自社DC)'!E33</f>
        <v>インターネット回線を用いて重要情報※を取扱う場合は、以下の通り通信を保護しているか。
※重要情報の定義は情報セキュリティ管理マニュアルを参照すること。
・非暗号化通信によるアクセスができないように設定する。もしくは非暗号化通信によるアクセスがあった場合には、暗号化通信のURLにリダイレクトするようにHSTSを設定する。
・原則TLS 1.2以上のみを許可する。システムの新規構築時は、TLS 1.3にも対応する。
・TLSの暗号アルゴリズムは「電子政府推奨暗号リスト」の他、IPA「TLS暗号設定ガイドライン」の推奨セキュリティ型にあたる利用禁止アルゴリズムと利用推奨暗号アルゴリズムに対応する。
・TLSに利用するサーバー証明書は信頼できる機関から発行されたものを利用する。
・匿名認証（ADH)による暗号化通信を拒否するよう検討する。
・本番サーバのSSL証明書はOV SSL（企業認証）またはEV SSL（Extended Validation SSL）を利用すること。さらにクレジットカード情報等の決済情報を取り扱うような、より高度な信頼性が求められるシステムにおいては、ユーザの身元情報等をより厳格に審査したうえで発行されるEV SSLを必須とする。
・通信の暗号化が行えない場合は、閉鎖的な通信回線とする</v>
      </c>
      <c r="F37" s="91" t="s">
        <v>1160</v>
      </c>
      <c r="G37" s="92" t="s">
        <v>254</v>
      </c>
      <c r="H37" s="61"/>
      <c r="I37" s="107"/>
      <c r="J37" s="123"/>
      <c r="K37" s="124"/>
      <c r="L37" s="124"/>
      <c r="M37" s="124"/>
      <c r="N37" s="243"/>
      <c r="O37" s="111" cm="1">
        <f t="array" ref="O37">IF(AI37=TRUE,_xlfn.IFS(M37=1,2,M37="",IF(N37="",1,2)),0)</f>
        <v>0</v>
      </c>
      <c r="P37" s="121" t="s">
        <v>255</v>
      </c>
      <c r="Q37" s="69" t="s">
        <v>183</v>
      </c>
      <c r="R37" s="69" t="s">
        <v>183</v>
      </c>
      <c r="S37" s="69" t="s">
        <v>183</v>
      </c>
      <c r="T37" s="69" t="s">
        <v>183</v>
      </c>
      <c r="U37" s="69"/>
      <c r="V37" s="69"/>
      <c r="W37" s="69"/>
      <c r="X37" s="69" t="s">
        <v>183</v>
      </c>
      <c r="Y37" s="69"/>
      <c r="Z37" s="69"/>
      <c r="AA37" s="69"/>
      <c r="AB37" s="69"/>
      <c r="AC37" s="69"/>
      <c r="AD37" s="69"/>
      <c r="AE37" s="69"/>
      <c r="AF37" s="69" t="s">
        <v>183</v>
      </c>
      <c r="AG37" s="69"/>
      <c r="AH37" s="69"/>
      <c r="AI37" s="123" t="b">
        <f t="shared" si="4"/>
        <v>0</v>
      </c>
      <c r="AJ37" s="123"/>
      <c r="AK37" s="123"/>
      <c r="AL37" s="123"/>
      <c r="AM37" s="123"/>
      <c r="AN37" s="170" t="str">
        <f t="shared" si="5"/>
        <v/>
      </c>
      <c r="AO37" s="124" t="s">
        <v>2198</v>
      </c>
    </row>
    <row r="38" spans="1:41" ht="67.5">
      <c r="A38" s="52"/>
      <c r="B38" s="58"/>
      <c r="C38" s="71" t="s">
        <v>2272</v>
      </c>
      <c r="D38" s="71" t="s">
        <v>992</v>
      </c>
      <c r="E38" s="91" t="str">
        <f>'インフラ(自社DC)'!E34</f>
        <v>他企業とのデータ交換は通信の暗号化、もしくは専用線を利用しているか。
なお、マイナンバー（法人番号は含まない）を外部委託先等とデータ交換する際は暗号化を必須とし、媒体は原則使用しない。</v>
      </c>
      <c r="F38" s="99" t="s">
        <v>1120</v>
      </c>
      <c r="G38" s="92" t="s">
        <v>254</v>
      </c>
      <c r="H38" s="61"/>
      <c r="I38" s="107"/>
      <c r="J38" s="60"/>
      <c r="K38" s="60"/>
      <c r="L38" s="60"/>
      <c r="M38" s="123"/>
      <c r="N38" s="243"/>
      <c r="O38" s="111" cm="1">
        <f t="array" ref="O38">IF(AI38=TRUE,_xlfn.IFS(M38=1,2,M38="",IF(N38="",1,2)),0)</f>
        <v>0</v>
      </c>
      <c r="P38" s="69" t="s">
        <v>255</v>
      </c>
      <c r="Q38" s="69" t="s">
        <v>183</v>
      </c>
      <c r="R38" s="69" t="s">
        <v>183</v>
      </c>
      <c r="S38" s="69" t="s">
        <v>183</v>
      </c>
      <c r="T38" s="118" t="s">
        <v>183</v>
      </c>
      <c r="U38" s="118"/>
      <c r="V38" s="118"/>
      <c r="W38" s="118"/>
      <c r="X38" s="118" t="s">
        <v>448</v>
      </c>
      <c r="Y38" s="69"/>
      <c r="Z38" s="69"/>
      <c r="AA38" s="69"/>
      <c r="AB38" s="118"/>
      <c r="AC38" s="118" t="s">
        <v>183</v>
      </c>
      <c r="AD38" s="118"/>
      <c r="AE38" s="69" t="s">
        <v>183</v>
      </c>
      <c r="AF38" s="69" t="s">
        <v>183</v>
      </c>
      <c r="AG38" s="69"/>
      <c r="AH38" s="69"/>
      <c r="AI38" s="123" t="b">
        <f t="shared" si="4"/>
        <v>0</v>
      </c>
      <c r="AJ38" s="123"/>
      <c r="AK38" s="123"/>
      <c r="AL38" s="123"/>
      <c r="AM38" s="123"/>
      <c r="AN38" s="170" t="str">
        <f t="shared" si="5"/>
        <v/>
      </c>
      <c r="AO38" s="123"/>
    </row>
    <row r="39" spans="1:41" ht="22.5">
      <c r="A39" s="52" t="s">
        <v>760</v>
      </c>
      <c r="B39" s="52"/>
      <c r="C39" s="113"/>
      <c r="D39" s="113"/>
      <c r="E39" s="77"/>
      <c r="F39" s="77"/>
      <c r="G39" s="56"/>
      <c r="H39" s="56"/>
      <c r="I39" s="77"/>
      <c r="J39" s="56"/>
      <c r="K39" s="56"/>
      <c r="L39" s="56"/>
      <c r="M39" s="114"/>
      <c r="N39" s="249"/>
      <c r="O39" s="249"/>
      <c r="P39" s="114"/>
      <c r="Q39" s="114"/>
      <c r="R39" s="114"/>
      <c r="S39" s="114"/>
      <c r="T39" s="114"/>
      <c r="U39" s="114"/>
      <c r="V39" s="114"/>
      <c r="W39" s="114"/>
      <c r="X39" s="114"/>
      <c r="Y39" s="114"/>
      <c r="Z39" s="114"/>
      <c r="AA39" s="114"/>
      <c r="AB39" s="114"/>
      <c r="AC39" s="114"/>
      <c r="AD39" s="114"/>
      <c r="AE39" s="114"/>
      <c r="AF39" s="114"/>
      <c r="AG39" s="114"/>
      <c r="AH39" s="114"/>
      <c r="AI39" s="114" t="s">
        <v>268</v>
      </c>
      <c r="AJ39" s="114"/>
      <c r="AK39" s="114"/>
      <c r="AL39" s="114"/>
      <c r="AM39" s="114"/>
      <c r="AN39" s="114"/>
      <c r="AO39" s="114"/>
    </row>
    <row r="40" spans="1:41" ht="22.5">
      <c r="A40" s="52"/>
      <c r="B40" s="58" t="s">
        <v>761</v>
      </c>
      <c r="C40" s="58"/>
      <c r="D40" s="58"/>
      <c r="E40" s="115"/>
      <c r="F40" s="115"/>
      <c r="G40" s="58"/>
      <c r="H40" s="59"/>
      <c r="I40" s="84"/>
      <c r="J40" s="58"/>
      <c r="K40" s="58"/>
      <c r="L40" s="58"/>
      <c r="M40" s="122"/>
      <c r="N40" s="244"/>
      <c r="O40" s="244"/>
      <c r="P40" s="122"/>
      <c r="Q40" s="122"/>
      <c r="R40" s="122"/>
      <c r="S40" s="122"/>
      <c r="T40" s="122"/>
      <c r="U40" s="122"/>
      <c r="V40" s="122"/>
      <c r="W40" s="122"/>
      <c r="X40" s="122"/>
      <c r="Y40" s="122"/>
      <c r="Z40" s="122"/>
      <c r="AA40" s="122"/>
      <c r="AB40" s="122"/>
      <c r="AC40" s="122"/>
      <c r="AD40" s="122"/>
      <c r="AE40" s="122"/>
      <c r="AF40" s="122"/>
      <c r="AG40" s="122"/>
      <c r="AH40" s="122"/>
      <c r="AI40" s="122" t="s">
        <v>268</v>
      </c>
      <c r="AJ40" s="122"/>
      <c r="AK40" s="122"/>
      <c r="AL40" s="122"/>
      <c r="AM40" s="122"/>
      <c r="AN40" s="122"/>
      <c r="AO40" s="122"/>
    </row>
    <row r="41" spans="1:41" ht="135">
      <c r="A41" s="52"/>
      <c r="B41" s="58"/>
      <c r="C41" s="71" t="s">
        <v>1161</v>
      </c>
      <c r="D41" s="71" t="s">
        <v>274</v>
      </c>
      <c r="E41" s="91" t="str">
        <f>'インフラ(自社DC)'!E37</f>
        <v xml:space="preserve">本番環境やプレ本環境にアクセス出来るエリアは、ゾーニングエリアを設置し、入室管理・端末利用管理・持ち込み／持ち出し管理を徹底しているか。
・本番環境 ：本番検証室の端末もしくはひとり一台端末を利用
・プレ本環境　 ：プレ本検証室の端末を利用
</v>
      </c>
      <c r="F41" s="99" t="s">
        <v>1151</v>
      </c>
      <c r="G41" s="92" t="s">
        <v>254</v>
      </c>
      <c r="H41" s="61"/>
      <c r="I41" s="107"/>
      <c r="J41" s="60"/>
      <c r="K41" s="60"/>
      <c r="L41" s="60"/>
      <c r="M41" s="123"/>
      <c r="N41" s="243"/>
      <c r="O41" s="111" cm="1">
        <f t="array" ref="O41">IF(AI41=TRUE,_xlfn.IFS(M41=1,2,M41="",IF(N41="",1,2)),0)</f>
        <v>0</v>
      </c>
      <c r="P41" s="69" t="s">
        <v>255</v>
      </c>
      <c r="Q41" s="69" t="s">
        <v>183</v>
      </c>
      <c r="R41" s="69" t="s">
        <v>183</v>
      </c>
      <c r="S41" s="69" t="s">
        <v>183</v>
      </c>
      <c r="T41" s="118" t="s">
        <v>183</v>
      </c>
      <c r="U41" s="118"/>
      <c r="V41" s="118"/>
      <c r="W41" s="118"/>
      <c r="X41" s="118" t="s">
        <v>448</v>
      </c>
      <c r="Y41" s="69"/>
      <c r="Z41" s="69"/>
      <c r="AA41" s="69"/>
      <c r="AB41" s="118"/>
      <c r="AC41" s="118"/>
      <c r="AD41" s="118"/>
      <c r="AE41" s="69" t="s">
        <v>183</v>
      </c>
      <c r="AF41" s="69" t="s">
        <v>183</v>
      </c>
      <c r="AG41" s="69" t="s">
        <v>255</v>
      </c>
      <c r="AH41" s="69"/>
      <c r="AI41" s="123" t="b">
        <f>AND(OR(AND($P$6=TRUE,$P41&lt;&gt;""),AND($Q$6=TRUE,$Q41&lt;&gt;""),AND($R$6=TRUE,$R41&lt;&gt;"")),AND($S$6=TRUE,$S41&lt;&gt;""),OR(AND($T$6=TRUE,$T41&lt;&gt;""),AND($U$6=TRUE,$U41&lt;&gt;""),AND($V$6=TRUE,$V41&lt;&gt;""),AND($W$6=TRUE,$W41&lt;&gt;""),AND($X$6=TRUE,$X41&lt;&gt;""),AND($Y$6=TRUE,$Y41&lt;&gt;""),AND($Z$6=TRUE,$Z41&lt;&gt;""),AND($AA$6=TRUE,$AA41&lt;&gt;""),AND($AB$6=TRUE,$AB41&lt;&gt;""),AND($AC$6=TRUE,$AC41&lt;&gt;""),AND($AD$6=TRUE,$AD41&lt;&gt;"")),OR(AND($AE$6=TRUE,$AE41&lt;&gt;""),AND($AF$6=TRUE,$AF41&lt;&gt;""),AND($AG$6=TRUE,$AG41&lt;&gt;""),AND($AH$6=TRUE,$AH41&lt;&gt;"")))</f>
        <v>0</v>
      </c>
      <c r="AJ41" s="123" t="s">
        <v>183</v>
      </c>
      <c r="AK41" s="123"/>
      <c r="AL41" s="123"/>
      <c r="AM41" s="123" t="s">
        <v>183</v>
      </c>
      <c r="AN41" s="170" t="str">
        <f>IF(AJ41&lt;&gt;"","セキュリティ管理/","")&amp;IF(AK41&lt;&gt;"","マルウェア/","")&amp;IF(AL41&lt;&gt;"","クラウド/","")&amp;IF(AM41&lt;&gt;"","別表1,2,3","")</f>
        <v>セキュリティ管理/別表1,2,3</v>
      </c>
      <c r="AO41" s="123"/>
    </row>
    <row r="42" spans="1:41" ht="337.5">
      <c r="A42" s="109"/>
      <c r="B42" s="101"/>
      <c r="C42" s="71" t="s">
        <v>1162</v>
      </c>
      <c r="D42" s="71" t="s">
        <v>277</v>
      </c>
      <c r="E42" s="91" t="str">
        <f>'インフラ(自社DC)'!E38</f>
        <v xml:space="preserve">本番サーバへのログインは、専用のセグメントに設置した運用管理専用の端末（TMNFにおいてはセキュア環境）（※)を経由しているか。
また、直接特権ＩＤでログインせずに、個人ＩＤでログイン後に特権ＩＤへ切り替える等、作業者を特定できるようにしているか
※以下を満たす本番環境接続時の環境を指す。
　・社内LAN接続不可
　・インターネットアクセスおよびメール送受信不可
　　(セキュリティパッチ適用やウィルスパターンファイル更新も社内の運用管理サーバ経由で適用することが好ましい）
　・印刷不可
　・踏み台環境より外（操作元のPCなど）へのデータ持ち出しやカット＆ペースト不可
　・環境内での操作記録
　・サーバやNW機器の認証情報を端末内に残さない
</v>
      </c>
      <c r="F42" s="91" t="s">
        <v>1163</v>
      </c>
      <c r="G42" s="60" t="s">
        <v>254</v>
      </c>
      <c r="H42" s="61"/>
      <c r="I42" s="107"/>
      <c r="J42" s="60"/>
      <c r="K42" s="60"/>
      <c r="L42" s="60"/>
      <c r="M42" s="123"/>
      <c r="N42" s="243"/>
      <c r="O42" s="111" cm="1">
        <f t="array" ref="O42">IF(AI42=TRUE,_xlfn.IFS(M42=1,2,M42="",IF(N42="",1,2)),0)</f>
        <v>0</v>
      </c>
      <c r="P42" s="69" t="s">
        <v>255</v>
      </c>
      <c r="Q42" s="69" t="s">
        <v>183</v>
      </c>
      <c r="R42" s="69" t="s">
        <v>183</v>
      </c>
      <c r="S42" s="69" t="s">
        <v>183</v>
      </c>
      <c r="T42" s="118" t="s">
        <v>183</v>
      </c>
      <c r="U42" s="118"/>
      <c r="V42" s="118"/>
      <c r="W42" s="118"/>
      <c r="X42" s="118" t="s">
        <v>448</v>
      </c>
      <c r="Y42" s="69"/>
      <c r="Z42" s="69"/>
      <c r="AA42" s="69"/>
      <c r="AB42" s="118"/>
      <c r="AC42" s="118"/>
      <c r="AD42" s="118"/>
      <c r="AE42" s="69" t="s">
        <v>183</v>
      </c>
      <c r="AF42" s="69" t="s">
        <v>183</v>
      </c>
      <c r="AG42" s="69" t="s">
        <v>255</v>
      </c>
      <c r="AH42" s="69"/>
      <c r="AI42" s="123" t="b">
        <f>AND(OR(AND($P$6=TRUE,$P42&lt;&gt;""),AND($Q$6=TRUE,$Q42&lt;&gt;""),AND($R$6=TRUE,$R42&lt;&gt;"")),AND($S$6=TRUE,$S42&lt;&gt;""),OR(AND($T$6=TRUE,$T42&lt;&gt;""),AND($U$6=TRUE,$U42&lt;&gt;""),AND($V$6=TRUE,$V42&lt;&gt;""),AND($W$6=TRUE,$W42&lt;&gt;""),AND($X$6=TRUE,$X42&lt;&gt;""),AND($Y$6=TRUE,$Y42&lt;&gt;""),AND($Z$6=TRUE,$Z42&lt;&gt;""),AND($AA$6=TRUE,$AA42&lt;&gt;""),AND($AB$6=TRUE,$AB42&lt;&gt;""),AND($AC$6=TRUE,$AC42&lt;&gt;""),AND($AD$6=TRUE,$AD42&lt;&gt;"")),OR(AND($AE$6=TRUE,$AE42&lt;&gt;""),AND($AF$6=TRUE,$AF42&lt;&gt;""),AND($AG$6=TRUE,$AG42&lt;&gt;""),AND($AH$6=TRUE,$AH42&lt;&gt;"")))</f>
        <v>0</v>
      </c>
      <c r="AJ42" s="123" t="s">
        <v>183</v>
      </c>
      <c r="AK42" s="123" t="s">
        <v>183</v>
      </c>
      <c r="AL42" s="123"/>
      <c r="AM42" s="123" t="s">
        <v>183</v>
      </c>
      <c r="AN42" s="170" t="str">
        <f>IF(AJ42&lt;&gt;"","セキュリティ管理/","")&amp;IF(AK42&lt;&gt;"","マルウェア/","")&amp;IF(AL42&lt;&gt;"","クラウド/","")&amp;IF(AM42&lt;&gt;"","別表1,2,3","")</f>
        <v>セキュリティ管理/マルウェア/別表1,2,3</v>
      </c>
      <c r="AO42" s="123"/>
    </row>
    <row r="43" spans="1:41" ht="45">
      <c r="A43" s="52"/>
      <c r="B43" s="58"/>
      <c r="C43" s="71" t="s">
        <v>1164</v>
      </c>
      <c r="D43" s="71" t="s">
        <v>280</v>
      </c>
      <c r="E43" s="91" t="str">
        <f>'インフラ(自社DC)'!E39</f>
        <v>通信回線装置やサーバの時刻は、常にUTCを基準とした時刻と同期を取っているか</v>
      </c>
      <c r="F43" s="91" t="s">
        <v>1165</v>
      </c>
      <c r="G43" s="92" t="s">
        <v>361</v>
      </c>
      <c r="H43" s="61"/>
      <c r="I43" s="107"/>
      <c r="J43" s="60"/>
      <c r="K43" s="60"/>
      <c r="L43" s="60"/>
      <c r="M43" s="123"/>
      <c r="N43" s="243"/>
      <c r="O43" s="111" cm="1">
        <f t="array" ref="O43">IF(AI43=TRUE,_xlfn.IFS(M43=1,2,M43="",IF(N43="",1,2)),0)</f>
        <v>0</v>
      </c>
      <c r="P43" s="69" t="s">
        <v>255</v>
      </c>
      <c r="Q43" s="69" t="s">
        <v>183</v>
      </c>
      <c r="R43" s="69" t="s">
        <v>183</v>
      </c>
      <c r="S43" s="69" t="s">
        <v>183</v>
      </c>
      <c r="T43" s="118" t="s">
        <v>183</v>
      </c>
      <c r="U43" s="118"/>
      <c r="V43" s="118"/>
      <c r="W43" s="118"/>
      <c r="X43" s="118" t="s">
        <v>448</v>
      </c>
      <c r="Y43" s="69"/>
      <c r="Z43" s="69"/>
      <c r="AA43" s="69"/>
      <c r="AB43" s="118"/>
      <c r="AC43" s="118"/>
      <c r="AD43" s="118"/>
      <c r="AE43" s="69" t="s">
        <v>183</v>
      </c>
      <c r="AF43" s="69" t="s">
        <v>183</v>
      </c>
      <c r="AG43" s="69"/>
      <c r="AH43" s="69"/>
      <c r="AI43" s="123" t="b">
        <f>AND(OR(AND($P$6=TRUE,$P43&lt;&gt;""),AND($Q$6=TRUE,$Q43&lt;&gt;""),AND($R$6=TRUE,$R43&lt;&gt;"")),AND($S$6=TRUE,$S43&lt;&gt;""),OR(AND($T$6=TRUE,$T43&lt;&gt;""),AND($U$6=TRUE,$U43&lt;&gt;""),AND($V$6=TRUE,$V43&lt;&gt;""),AND($W$6=TRUE,$W43&lt;&gt;""),AND($X$6=TRUE,$X43&lt;&gt;""),AND($Y$6=TRUE,$Y43&lt;&gt;""),AND($Z$6=TRUE,$Z43&lt;&gt;""),AND($AA$6=TRUE,$AA43&lt;&gt;""),AND($AB$6=TRUE,$AB43&lt;&gt;""),AND($AC$6=TRUE,$AC43&lt;&gt;""),AND($AD$6=TRUE,$AD43&lt;&gt;"")),OR(AND($AE$6=TRUE,$AE43&lt;&gt;""),AND($AF$6=TRUE,$AF43&lt;&gt;""),AND($AG$6=TRUE,$AG43&lt;&gt;""),AND($AH$6=TRUE,$AH43&lt;&gt;"")))</f>
        <v>0</v>
      </c>
      <c r="AJ43" s="123"/>
      <c r="AK43" s="123"/>
      <c r="AL43" s="123"/>
      <c r="AM43" s="123"/>
      <c r="AN43" s="170" t="str">
        <f>IF(AJ43&lt;&gt;"","セキュリティ管理/","")&amp;IF(AK43&lt;&gt;"","マルウェア/","")&amp;IF(AL43&lt;&gt;"","クラウド/","")&amp;IF(AM43&lt;&gt;"","別表1,2,3","")</f>
        <v/>
      </c>
      <c r="AO43" s="123"/>
    </row>
    <row r="44" spans="1:41" ht="180">
      <c r="A44" s="52"/>
      <c r="B44" s="58"/>
      <c r="C44" s="71" t="s">
        <v>1166</v>
      </c>
      <c r="D44" s="71" t="s">
        <v>577</v>
      </c>
      <c r="E44" s="91" t="str">
        <f>'インフラ(自社DC)'!E40</f>
        <v>マイナンバー（法人番号は含まない）を保管するシステムは以下の要件を全て満たしているか。
・参照・登録を行うＷｅｂアプリケーションサーバ（以下Ｗｅｂサーバ）と、データを保管するデータベースサーバ（以下ＤＢサーバ）で構成する
・マイナンバーはＤＢサーバにのみ保管する
・ＤＢサーバに対する通信は、特定の機器からのみ可能とする制御を行う
・ひとり一台端末からの業務利用を前提とし、インターネットからのアクセスを不可とする</v>
      </c>
      <c r="F44" s="99" t="s">
        <v>1120</v>
      </c>
      <c r="G44" s="92" t="s">
        <v>361</v>
      </c>
      <c r="H44" s="61"/>
      <c r="I44" s="107"/>
      <c r="J44" s="60"/>
      <c r="K44" s="60"/>
      <c r="L44" s="60"/>
      <c r="M44" s="123"/>
      <c r="N44" s="243"/>
      <c r="O44" s="111" cm="1">
        <f t="array" ref="O44">IF(AI44=TRUE,_xlfn.IFS(M44=1,2,M44="",IF(N44="",1,2)),0)</f>
        <v>0</v>
      </c>
      <c r="P44" s="69" t="s">
        <v>255</v>
      </c>
      <c r="Q44" s="69" t="s">
        <v>183</v>
      </c>
      <c r="R44" s="69" t="s">
        <v>183</v>
      </c>
      <c r="S44" s="69" t="s">
        <v>183</v>
      </c>
      <c r="U44" s="118"/>
      <c r="V44" s="118"/>
      <c r="W44" s="118"/>
      <c r="X44" s="118" t="s">
        <v>448</v>
      </c>
      <c r="Y44" s="69"/>
      <c r="Z44" s="69"/>
      <c r="AA44" s="69"/>
      <c r="AB44" s="118"/>
      <c r="AC44" s="118" t="s">
        <v>183</v>
      </c>
      <c r="AD44" s="118"/>
      <c r="AE44" s="69" t="s">
        <v>183</v>
      </c>
      <c r="AF44" s="69" t="s">
        <v>183</v>
      </c>
      <c r="AG44" s="69"/>
      <c r="AH44" s="69"/>
      <c r="AI44" s="123" t="b">
        <f>AND(OR(AND($P$6=TRUE,$P44&lt;&gt;""),AND($Q$6=TRUE,$Q44&lt;&gt;""),AND($R$6=TRUE,$R44&lt;&gt;"")),AND($S$6=TRUE,$S44&lt;&gt;""),OR(AND($T$6=TRUE,$T44&lt;&gt;""),AND($U$6=TRUE,$U44&lt;&gt;""),AND($V$6=TRUE,$V44&lt;&gt;""),AND($W$6=TRUE,$W44&lt;&gt;""),AND($X$6=TRUE,$X44&lt;&gt;""),AND($Y$6=TRUE,$Y44&lt;&gt;""),AND($Z$6=TRUE,$Z44&lt;&gt;""),AND($AA$6=TRUE,$AA44&lt;&gt;""),AND($AB$6=TRUE,$AB44&lt;&gt;""),AND($AC$6=TRUE,$AC44&lt;&gt;""),AND($AD$6=TRUE,$AD44&lt;&gt;"")),OR(AND($AE$6=TRUE,$AE44&lt;&gt;""),AND($AF$6=TRUE,$AF44&lt;&gt;""),AND($AG$6=TRUE,$AG44&lt;&gt;""),AND($AH$6=TRUE,$AH44&lt;&gt;"")))</f>
        <v>0</v>
      </c>
      <c r="AJ44" s="123"/>
      <c r="AK44" s="123"/>
      <c r="AL44" s="123"/>
      <c r="AM44" s="123"/>
      <c r="AN44" s="170" t="str">
        <f>IF(AJ44&lt;&gt;"","セキュリティ管理/","")&amp;IF(AK44&lt;&gt;"","マルウェア/","")&amp;IF(AL44&lt;&gt;"","クラウド/","")&amp;IF(AM44&lt;&gt;"","別表1,2,3","")</f>
        <v/>
      </c>
      <c r="AO44" s="123" t="s">
        <v>768</v>
      </c>
    </row>
    <row r="45" spans="1:41" ht="202.5">
      <c r="A45" s="52"/>
      <c r="B45" s="58"/>
      <c r="C45" s="71" t="s">
        <v>1167</v>
      </c>
      <c r="D45" s="71" t="s">
        <v>581</v>
      </c>
      <c r="E45" s="107" t="str">
        <f>'インフラ(自社DC)'!E41</f>
        <v>対応ランクAシステムは、セキュリティインシデントによりサーバが停止した（あるいは停止せざるを得ない）場合に備えて、同一サーバ以外の環境からユーザにサービス停止の旨を案内するSorryページを用意しているか。
同一サーバ以外とは、例えば別のサーバやクラウド環境が挙げられる。
なお、オンプレセキュアドGWを通る環境については、共通的なSorryページの仕組みを構築している。実装にあたっては、以下キャビネに掲載の方法を参照願う。
https://cc.tm.millea.co.jp/fw/dfw/SFDCLI/common/Login?startURL=https%3A%2F%2Ftokiomarine--c.vf.force.com%2Fa091000007009KAAAY</v>
      </c>
      <c r="F45" s="126" t="s">
        <v>1120</v>
      </c>
      <c r="G45" s="92" t="s">
        <v>361</v>
      </c>
      <c r="H45" s="61"/>
      <c r="I45" s="107"/>
      <c r="J45" s="60"/>
      <c r="K45" s="60"/>
      <c r="L45" s="60"/>
      <c r="M45" s="123"/>
      <c r="N45" s="243"/>
      <c r="O45" s="111" cm="1">
        <f t="array" ref="O45">IF(AI45=TRUE,_xlfn.IFS(M45=1,2,M45="",IF(N45="",1,2)),0)</f>
        <v>0</v>
      </c>
      <c r="P45" s="69" t="s">
        <v>255</v>
      </c>
      <c r="Q45" s="69" t="s">
        <v>183</v>
      </c>
      <c r="R45" s="69" t="s">
        <v>183</v>
      </c>
      <c r="S45" s="69" t="s">
        <v>183</v>
      </c>
      <c r="U45" s="118"/>
      <c r="V45" s="118"/>
      <c r="W45" s="118"/>
      <c r="X45" s="118" t="s">
        <v>448</v>
      </c>
      <c r="Y45" s="69"/>
      <c r="Z45" s="69"/>
      <c r="AA45" s="69"/>
      <c r="AB45" s="118"/>
      <c r="AC45" s="118"/>
      <c r="AD45" s="118" t="s">
        <v>183</v>
      </c>
      <c r="AE45" s="69" t="s">
        <v>183</v>
      </c>
      <c r="AF45" s="69" t="s">
        <v>183</v>
      </c>
      <c r="AG45" s="69"/>
      <c r="AH45" s="69"/>
      <c r="AI45" s="123" t="b">
        <f>AND(OR(AND($P$6=TRUE,$P45&lt;&gt;""),AND($Q$6=TRUE,$Q45&lt;&gt;""),AND($R$6=TRUE,$R45&lt;&gt;"")),AND($S$6=TRUE,$S45&lt;&gt;""),OR(AND($T$6=TRUE,$T45&lt;&gt;""),AND($U$6=TRUE,$U45&lt;&gt;""),AND($V$6=TRUE,$V45&lt;&gt;""),AND($W$6=TRUE,$W45&lt;&gt;""),AND($X$6=TRUE,$X45&lt;&gt;""),AND($Y$6=TRUE,$Y45&lt;&gt;""),AND($Z$6=TRUE,$Z45&lt;&gt;""),AND($AA$6=TRUE,$AA45&lt;&gt;""),AND($AB$6=TRUE,$AB45&lt;&gt;""),AND($AC$6=TRUE,$AC45&lt;&gt;""),AND($AD$6=TRUE,$AD45&lt;&gt;"")),OR(AND($AE$6=TRUE,$AE45&lt;&gt;""),AND($AF$6=TRUE,$AF45&lt;&gt;""),AND($AG$6=TRUE,$AG45&lt;&gt;""),AND($AH$6=TRUE,$AH45&lt;&gt;"")))</f>
        <v>0</v>
      </c>
      <c r="AJ45" s="123"/>
      <c r="AK45" s="123"/>
      <c r="AL45" s="123"/>
      <c r="AM45" s="123"/>
      <c r="AN45" s="170" t="str">
        <f>IF(AJ45&lt;&gt;"","セキュリティ管理/","")&amp;IF(AK45&lt;&gt;"","マルウェア/","")&amp;IF(AL45&lt;&gt;"","クラウド/","")&amp;IF(AM45&lt;&gt;"","別表1,2,3","")</f>
        <v/>
      </c>
      <c r="AO45" s="123" t="s">
        <v>575</v>
      </c>
    </row>
    <row r="46" spans="1:41" ht="22.5">
      <c r="A46" s="52"/>
      <c r="B46" s="58" t="s">
        <v>771</v>
      </c>
      <c r="C46" s="58"/>
      <c r="D46" s="58"/>
      <c r="E46" s="115"/>
      <c r="F46" s="115"/>
      <c r="G46" s="58"/>
      <c r="H46" s="59"/>
      <c r="I46" s="84"/>
      <c r="J46" s="58"/>
      <c r="K46" s="58"/>
      <c r="L46" s="58"/>
      <c r="M46" s="122"/>
      <c r="N46" s="244"/>
      <c r="O46" s="244"/>
      <c r="P46" s="122"/>
      <c r="Q46" s="122"/>
      <c r="R46" s="122"/>
      <c r="S46" s="122"/>
      <c r="T46" s="122"/>
      <c r="U46" s="122"/>
      <c r="V46" s="122"/>
      <c r="W46" s="122"/>
      <c r="X46" s="122"/>
      <c r="Y46" s="122"/>
      <c r="Z46" s="122"/>
      <c r="AA46" s="122"/>
      <c r="AB46" s="122"/>
      <c r="AC46" s="122"/>
      <c r="AD46" s="122"/>
      <c r="AE46" s="122"/>
      <c r="AF46" s="122"/>
      <c r="AG46" s="122"/>
      <c r="AH46" s="122"/>
      <c r="AI46" s="122" t="s">
        <v>268</v>
      </c>
      <c r="AJ46" s="122"/>
      <c r="AK46" s="122"/>
      <c r="AL46" s="122"/>
      <c r="AM46" s="122"/>
      <c r="AN46" s="122"/>
      <c r="AO46" s="122"/>
    </row>
    <row r="47" spans="1:41" ht="45">
      <c r="A47" s="52"/>
      <c r="B47" s="58"/>
      <c r="C47" s="71" t="s">
        <v>1168</v>
      </c>
      <c r="D47" s="71" t="s">
        <v>772</v>
      </c>
      <c r="E47" s="91" t="str">
        <f>'インフラ(自社DC)'!E43</f>
        <v>本番運用に用いる端末、サーバ等へのログオン後、端末操作が最長で１０分間ない場合は、画面を自動的にログオフし、再ログオンが必要となるよう設定にしているか</v>
      </c>
      <c r="F47" s="91" t="s">
        <v>1003</v>
      </c>
      <c r="G47" s="92" t="s">
        <v>254</v>
      </c>
      <c r="H47" s="61"/>
      <c r="I47" s="107"/>
      <c r="J47" s="60"/>
      <c r="K47" s="60"/>
      <c r="L47" s="60"/>
      <c r="M47" s="123"/>
      <c r="N47" s="243"/>
      <c r="O47" s="111" cm="1">
        <f t="array" ref="O47">IF(AI47=TRUE,_xlfn.IFS(M47=1,2,M47="",IF(N47="",1,2)),0)</f>
        <v>0</v>
      </c>
      <c r="P47" s="69" t="s">
        <v>255</v>
      </c>
      <c r="Q47" s="69" t="s">
        <v>183</v>
      </c>
      <c r="R47" s="69" t="s">
        <v>183</v>
      </c>
      <c r="S47" s="69" t="s">
        <v>183</v>
      </c>
      <c r="T47" s="118" t="s">
        <v>183</v>
      </c>
      <c r="U47" s="118"/>
      <c r="V47" s="118"/>
      <c r="W47" s="118"/>
      <c r="X47" s="118" t="s">
        <v>448</v>
      </c>
      <c r="Y47" s="69"/>
      <c r="Z47" s="69"/>
      <c r="AA47" s="69"/>
      <c r="AB47" s="118"/>
      <c r="AC47" s="118"/>
      <c r="AD47" s="118"/>
      <c r="AE47" s="69" t="s">
        <v>183</v>
      </c>
      <c r="AF47" s="69" t="s">
        <v>183</v>
      </c>
      <c r="AG47" s="69"/>
      <c r="AH47" s="69"/>
      <c r="AI47" s="123" t="b">
        <f>AND(OR(AND($P$6=TRUE,$P47&lt;&gt;""),AND($Q$6=TRUE,$Q47&lt;&gt;""),AND($R$6=TRUE,$R47&lt;&gt;"")),AND($S$6=TRUE,$S47&lt;&gt;""),OR(AND($T$6=TRUE,$T47&lt;&gt;""),AND($U$6=TRUE,$U47&lt;&gt;""),AND($V$6=TRUE,$V47&lt;&gt;""),AND($W$6=TRUE,$W47&lt;&gt;""),AND($X$6=TRUE,$X47&lt;&gt;""),AND($Y$6=TRUE,$Y47&lt;&gt;""),AND($Z$6=TRUE,$Z47&lt;&gt;""),AND($AA$6=TRUE,$AA47&lt;&gt;""),AND($AB$6=TRUE,$AB47&lt;&gt;""),AND($AC$6=TRUE,$AC47&lt;&gt;""),AND($AD$6=TRUE,$AD47&lt;&gt;"")),OR(AND($AE$6=TRUE,$AE47&lt;&gt;""),AND($AF$6=TRUE,$AF47&lt;&gt;""),AND($AG$6=TRUE,$AG47&lt;&gt;""),AND($AH$6=TRUE,$AH47&lt;&gt;"")))</f>
        <v>0</v>
      </c>
      <c r="AJ47" s="123"/>
      <c r="AK47" s="123"/>
      <c r="AL47" s="123"/>
      <c r="AM47" s="123"/>
      <c r="AN47" s="170" t="str">
        <f>IF(AJ47&lt;&gt;"","セキュリティ管理/","")&amp;IF(AK47&lt;&gt;"","マルウェア/","")&amp;IF(AL47&lt;&gt;"","クラウド/","")&amp;IF(AM47&lt;&gt;"","別表1,2,3","")</f>
        <v/>
      </c>
      <c r="AO47" s="123" t="s">
        <v>2209</v>
      </c>
    </row>
    <row r="48" spans="1:41" ht="409.5">
      <c r="A48" s="52"/>
      <c r="B48" s="58"/>
      <c r="C48" s="71" t="s">
        <v>1169</v>
      </c>
      <c r="D48" s="71" t="s">
        <v>773</v>
      </c>
      <c r="E48" s="107" t="str">
        <f>'インフラ(自社DC)'!E44</f>
        <v>（注意）本セルは、記載が多く表示に収まっていないため、セル末尾の★★★ここまで★★★まで確認すること
本要件は、以下の●全てを満たす場合に回答すること。
●構築または改修対象が社内向けシステム(※)である
●上記システムへのテレワークによるリモートアクセスが想定される
　※「ひとり一台端末」等の社内業務端末も社内向けシステムの定義に含む
上記の条件を満たす場合、テレワークの際にリモートアクセス元となる端末（手元端末）は、以下の全ての要件を満たしているか。
なお、既にリモートアクセスを行っている手元端末(ひとり一台の手元端末やIntune管理されたスマートフォン)の場合は、既に下記を満たしているため「YES」と回答願う。
・手元端末にログインする際のパスワードは3種12桁以上もしくは4種10桁以上を設定する
・アンチウイルスソフトやOS 等のファイアウォール機能の有効化を行うよう利用者に周知徹底する
・アクセス時は業務上必要のない機能を無効化するよう利用者に周知徹底する
・公衆無線LAN 等のネットワークは使用しないよう利用者に周知徹底する
・個人所有ネットワーク機器から社内端末へのアクセスを許可する場合は、同一のネットワークに接続する別の端末や機器についてのセキュリティ対策を定義し、必要な対策を利用者に周知徹底する
・無線LANルータを利用する場合は、WPA2（Wi-Fi Protected Access 2）またはWPA3（Wi-Fi Protected Access 3）方式を採用し、暗号化のためのパスワード及び無線LAN ルータの管理者パスワードを第三者に推測されにくいものにするよう利用者に周知徹底する
・手元端末を廃棄する場合はデータが完全に復元不可能な状態となる措置を講ずる
・手元端末の紛失・盗難に備え、MDM（Mobile Device Management）ソリューション等を導入し、遠隔制御でのデータ・アカウント初期化、ログイン時のパスワード認証の強制、HDD やSSD の暗号化等の機能を有効化する
・手元端末が社内ネットワークを経由せずにインターネットに接続できる構成を採用する場合は、クラウドプロキシサービス等の外部の通信制御を行うサービスを利用する
・手元端末へのデータ保存を制限する
★★★ここまで★★★</v>
      </c>
      <c r="F48" s="99" t="s">
        <v>1120</v>
      </c>
      <c r="G48" s="92" t="s">
        <v>254</v>
      </c>
      <c r="H48" s="61"/>
      <c r="I48" s="107"/>
      <c r="J48" s="60"/>
      <c r="K48" s="60"/>
      <c r="L48" s="60"/>
      <c r="M48" s="123"/>
      <c r="N48" s="243"/>
      <c r="O48" s="111" cm="1">
        <f t="array" ref="O48">IF(AI48=TRUE,_xlfn.IFS(M48=1,2,M48="",IF(N48="",1,2)),0)</f>
        <v>0</v>
      </c>
      <c r="P48" s="69" t="s">
        <v>255</v>
      </c>
      <c r="Q48" s="69" t="s">
        <v>183</v>
      </c>
      <c r="R48" s="69" t="s">
        <v>183</v>
      </c>
      <c r="S48" s="69" t="s">
        <v>183</v>
      </c>
      <c r="T48" s="118" t="s">
        <v>183</v>
      </c>
      <c r="U48" s="118"/>
      <c r="V48" s="118"/>
      <c r="W48" s="118"/>
      <c r="X48" s="118" t="s">
        <v>448</v>
      </c>
      <c r="Y48" s="69"/>
      <c r="Z48" s="69"/>
      <c r="AA48" s="69"/>
      <c r="AB48" s="118"/>
      <c r="AC48" s="118"/>
      <c r="AD48" s="118"/>
      <c r="AE48" s="69" t="s">
        <v>183</v>
      </c>
      <c r="AF48" s="69" t="s">
        <v>183</v>
      </c>
      <c r="AG48" s="69"/>
      <c r="AH48" s="69"/>
      <c r="AI48" s="123" t="b">
        <f>AND(OR(AND($P$6=TRUE,$P48&lt;&gt;""),AND($Q$6=TRUE,$Q48&lt;&gt;""),AND($R$6=TRUE,$R48&lt;&gt;"")),AND($S$6=TRUE,$S48&lt;&gt;""),OR(AND($T$6=TRUE,$T48&lt;&gt;""),AND($U$6=TRUE,$U48&lt;&gt;""),AND($V$6=TRUE,$V48&lt;&gt;""),AND($W$6=TRUE,$W48&lt;&gt;""),AND($X$6=TRUE,$X48&lt;&gt;""),AND($Y$6=TRUE,$Y48&lt;&gt;""),AND($Z$6=TRUE,$Z48&lt;&gt;""),AND($AA$6=TRUE,$AA48&lt;&gt;""),AND($AB$6=TRUE,$AB48&lt;&gt;""),AND($AC$6=TRUE,$AC48&lt;&gt;""),AND($AD$6=TRUE,$AD48&lt;&gt;"")),OR(AND($AE$6=TRUE,$AE48&lt;&gt;""),AND($AF$6=TRUE,$AF48&lt;&gt;""),AND($AG$6=TRUE,$AG48&lt;&gt;""),AND($AH$6=TRUE,$AH48&lt;&gt;"")))</f>
        <v>0</v>
      </c>
      <c r="AJ48" s="123"/>
      <c r="AK48" s="123"/>
      <c r="AL48" s="123"/>
      <c r="AM48" s="123"/>
      <c r="AN48" s="170" t="str">
        <f>IF(AJ48&lt;&gt;"","セキュリティ管理/","")&amp;IF(AK48&lt;&gt;"","マルウェア/","")&amp;IF(AL48&lt;&gt;"","クラウド/","")&amp;IF(AM48&lt;&gt;"","別表1,2,3","")</f>
        <v/>
      </c>
      <c r="AO48" s="261" t="s">
        <v>575</v>
      </c>
    </row>
    <row r="49" spans="1:41" ht="22.5">
      <c r="A49" s="52"/>
      <c r="B49" s="101" t="s">
        <v>775</v>
      </c>
      <c r="C49" s="58"/>
      <c r="D49" s="58"/>
      <c r="E49" s="115"/>
      <c r="F49" s="115"/>
      <c r="G49" s="58"/>
      <c r="H49" s="59"/>
      <c r="I49" s="84"/>
      <c r="J49" s="58"/>
      <c r="K49" s="58"/>
      <c r="L49" s="58"/>
      <c r="M49" s="122"/>
      <c r="N49" s="244"/>
      <c r="O49" s="244"/>
      <c r="P49" s="122"/>
      <c r="Q49" s="122"/>
      <c r="R49" s="122"/>
      <c r="S49" s="122"/>
      <c r="T49" s="122"/>
      <c r="U49" s="122"/>
      <c r="V49" s="122"/>
      <c r="W49" s="122"/>
      <c r="X49" s="122"/>
      <c r="Y49" s="122"/>
      <c r="Z49" s="122"/>
      <c r="AA49" s="122"/>
      <c r="AB49" s="122"/>
      <c r="AC49" s="122"/>
      <c r="AD49" s="122"/>
      <c r="AE49" s="122"/>
      <c r="AF49" s="122"/>
      <c r="AG49" s="122"/>
      <c r="AH49" s="122"/>
      <c r="AI49" s="122" t="s">
        <v>268</v>
      </c>
      <c r="AJ49" s="122"/>
      <c r="AK49" s="122"/>
      <c r="AL49" s="122"/>
      <c r="AM49" s="122"/>
      <c r="AN49" s="122"/>
      <c r="AO49" s="122"/>
    </row>
    <row r="50" spans="1:41" ht="135">
      <c r="A50" s="52"/>
      <c r="B50" s="58"/>
      <c r="C50" s="71" t="s">
        <v>2130</v>
      </c>
      <c r="D50" s="196" t="s">
        <v>776</v>
      </c>
      <c r="E50" s="91" t="str">
        <f>'インフラ(自社DC)'!E46</f>
        <v>業務データを扱う機器、電子媒体および書類等については、以下の盗難・紛失防止策を講じているか。
例：
・施錠できるキャビネット・書庫等への保管
・機器盗難防止のためのセキュリティワイヤーによる固定</v>
      </c>
      <c r="F50" s="317" t="s">
        <v>1224</v>
      </c>
      <c r="G50" s="92" t="s">
        <v>254</v>
      </c>
      <c r="H50" s="61"/>
      <c r="I50" s="107"/>
      <c r="J50" s="60"/>
      <c r="K50" s="60"/>
      <c r="L50" s="60"/>
      <c r="M50" s="123"/>
      <c r="N50" s="243"/>
      <c r="O50" s="111" cm="1">
        <f t="array" ref="O50">IF(AI50=TRUE,_xlfn.IFS(M50=1,2,M50="",IF(N50="",1,2)),0)</f>
        <v>0</v>
      </c>
      <c r="P50" s="69" t="s">
        <v>255</v>
      </c>
      <c r="Q50" s="69" t="s">
        <v>183</v>
      </c>
      <c r="R50" s="69" t="s">
        <v>183</v>
      </c>
      <c r="S50" s="69" t="s">
        <v>183</v>
      </c>
      <c r="T50" s="118" t="s">
        <v>183</v>
      </c>
      <c r="U50" s="118"/>
      <c r="V50" s="118"/>
      <c r="W50" s="118"/>
      <c r="X50" s="118" t="s">
        <v>448</v>
      </c>
      <c r="Y50" s="69"/>
      <c r="Z50" s="69"/>
      <c r="AA50" s="69"/>
      <c r="AB50" s="118"/>
      <c r="AC50" s="118"/>
      <c r="AD50" s="118"/>
      <c r="AE50" s="69" t="s">
        <v>183</v>
      </c>
      <c r="AF50" s="69" t="s">
        <v>183</v>
      </c>
      <c r="AG50" s="69"/>
      <c r="AH50" s="69"/>
      <c r="AI50" s="123" t="b">
        <f>AND(OR(AND($P$6=TRUE,$P50&lt;&gt;""),AND($Q$6=TRUE,$Q50&lt;&gt;""),AND($R$6=TRUE,$R50&lt;&gt;"")),AND($S$6=TRUE,$S50&lt;&gt;""),OR(AND($T$6=TRUE,$T50&lt;&gt;""),AND($U$6=TRUE,$U50&lt;&gt;""),AND($V$6=TRUE,$V50&lt;&gt;""),AND($W$6=TRUE,$W50&lt;&gt;""),AND($X$6=TRUE,$X50&lt;&gt;""),AND($Y$6=TRUE,$Y50&lt;&gt;""),AND($Z$6=TRUE,$Z50&lt;&gt;""),AND($AA$6=TRUE,$AA50&lt;&gt;""),AND($AB$6=TRUE,$AB50&lt;&gt;""),AND($AC$6=TRUE,$AC50&lt;&gt;""),AND($AD$6=TRUE,$AD50&lt;&gt;"")),OR(AND($AE$6=TRUE,$AE50&lt;&gt;""),AND($AF$6=TRUE,$AF50&lt;&gt;""),AND($AG$6=TRUE,$AG50&lt;&gt;""),AND($AH$6=TRUE,$AH50&lt;&gt;"")))</f>
        <v>0</v>
      </c>
      <c r="AJ50" s="123"/>
      <c r="AK50" s="123"/>
      <c r="AL50" s="123"/>
      <c r="AM50" s="123"/>
      <c r="AN50" s="170" t="str">
        <f>IF(AJ50&lt;&gt;"","セキュリティ管理/","")&amp;IF(AK50&lt;&gt;"","マルウェア/","")&amp;IF(AL50&lt;&gt;"","クラウド/","")&amp;IF(AM50&lt;&gt;"","別表1,2,3","")</f>
        <v/>
      </c>
      <c r="AO50" s="261" t="s">
        <v>2225</v>
      </c>
    </row>
    <row r="51" spans="1:41" ht="22.5">
      <c r="A51" s="52" t="s">
        <v>778</v>
      </c>
      <c r="B51" s="52"/>
      <c r="C51" s="113"/>
      <c r="D51" s="113"/>
      <c r="E51" s="77"/>
      <c r="F51" s="77"/>
      <c r="G51" s="56"/>
      <c r="H51" s="56"/>
      <c r="I51" s="77"/>
      <c r="J51" s="56"/>
      <c r="K51" s="56"/>
      <c r="L51" s="56"/>
      <c r="M51" s="114"/>
      <c r="N51" s="249"/>
      <c r="O51" s="249"/>
      <c r="P51" s="114"/>
      <c r="Q51" s="114"/>
      <c r="R51" s="114"/>
      <c r="S51" s="114"/>
      <c r="T51" s="114"/>
      <c r="U51" s="114"/>
      <c r="V51" s="114"/>
      <c r="W51" s="114"/>
      <c r="X51" s="114"/>
      <c r="Y51" s="114"/>
      <c r="Z51" s="114"/>
      <c r="AA51" s="114"/>
      <c r="AB51" s="114"/>
      <c r="AC51" s="114"/>
      <c r="AD51" s="114"/>
      <c r="AE51" s="114"/>
      <c r="AF51" s="114"/>
      <c r="AG51" s="114"/>
      <c r="AH51" s="114"/>
      <c r="AI51" s="114" t="s">
        <v>268</v>
      </c>
      <c r="AJ51" s="114"/>
      <c r="AK51" s="114"/>
      <c r="AL51" s="114"/>
      <c r="AM51" s="114"/>
      <c r="AN51" s="114"/>
      <c r="AO51" s="114"/>
    </row>
    <row r="52" spans="1:41" ht="22.5">
      <c r="A52" s="52"/>
      <c r="B52" s="58" t="s">
        <v>779</v>
      </c>
      <c r="C52" s="115"/>
      <c r="D52" s="115"/>
      <c r="E52" s="84"/>
      <c r="F52" s="84"/>
      <c r="G52" s="59"/>
      <c r="H52" s="59"/>
      <c r="I52" s="84"/>
      <c r="J52" s="59"/>
      <c r="K52" s="59"/>
      <c r="L52" s="59"/>
      <c r="M52" s="125"/>
      <c r="N52" s="244"/>
      <c r="O52" s="244"/>
      <c r="P52" s="125"/>
      <c r="Q52" s="125"/>
      <c r="R52" s="125"/>
      <c r="S52" s="125"/>
      <c r="T52" s="125"/>
      <c r="U52" s="125"/>
      <c r="V52" s="125"/>
      <c r="W52" s="125"/>
      <c r="X52" s="125"/>
      <c r="Y52" s="125"/>
      <c r="Z52" s="125"/>
      <c r="AA52" s="125"/>
      <c r="AB52" s="125"/>
      <c r="AC52" s="125"/>
      <c r="AD52" s="125"/>
      <c r="AE52" s="125"/>
      <c r="AF52" s="125"/>
      <c r="AG52" s="125"/>
      <c r="AH52" s="125"/>
      <c r="AI52" s="125" t="s">
        <v>268</v>
      </c>
      <c r="AJ52" s="125"/>
      <c r="AK52" s="125"/>
      <c r="AL52" s="125"/>
      <c r="AM52" s="125"/>
      <c r="AN52" s="125"/>
      <c r="AO52" s="125"/>
    </row>
    <row r="53" spans="1:41" ht="409.5">
      <c r="A53" s="52"/>
      <c r="B53" s="58"/>
      <c r="C53" s="71" t="s">
        <v>2131</v>
      </c>
      <c r="D53" s="71" t="s">
        <v>284</v>
      </c>
      <c r="E53" s="91" t="str">
        <f>'インフラ(自社DC)'!E49</f>
        <v>（注意）本セルは、記載が多く表示に収まっていないため、セル末尾の★★★ここまで★★★まで確認すること
（回答で「YES」を選択した場合でも、OSの種別と台数を備考欄に記入する。）
システムの開発、運用、管理に用いる全てのWindows PC、Windowsサーバ、および外部からのファイルの流入が発生し得るWindows”以外”のサーバにアンチウイルスソフトを導入し、以下の対応を行っているか。
「外部からのファイルの流入」とは、当社のガバナンス外で作られたファイルの流入を指し、例えば以下のようなケースが挙げられる。
・システムのエンドユーザ(当社管理外の利用者)がファイルをアップロードする（POST）
・当社システムが、管理外のシステムやサイトからファイルを入手する（GET）
アンチウイルスソフトとは、パターンマッチングとヒューリスティック(振舞検知)機能を持つものを指す。
当社WindowsサーバにおいてはTrendmicro社 ServerProtectが標準である。
・アンチウイルスソフトの検索モジュールとパターンファイルの自動更新（難しい場合は少なくとも週 1 回更新）
・リアルタイムスキャンの常時有効化
・定期的なフルスキャンの実施
・スキャン結果を監査ログとして出力
・サービス稼働に必要なコンポーネントの監視除外
　(アンチウイルスソフトの誤遮断による障害リスクの低減)
★★★ここまで★★★</v>
      </c>
      <c r="F53" s="91" t="s">
        <v>1170</v>
      </c>
      <c r="G53" s="92" t="s">
        <v>254</v>
      </c>
      <c r="H53" s="61"/>
      <c r="I53" s="107" t="s">
        <v>781</v>
      </c>
      <c r="J53" s="60" t="s">
        <v>730</v>
      </c>
      <c r="K53" s="60"/>
      <c r="L53" s="60"/>
      <c r="M53" s="123"/>
      <c r="N53" s="243"/>
      <c r="O53" s="111" cm="1">
        <f t="array" ref="O53">IF(AI53=TRUE,_xlfn.IFS(M53=1,2,M53="",IF(N53="",1,2)),0)</f>
        <v>0</v>
      </c>
      <c r="P53" s="69" t="s">
        <v>255</v>
      </c>
      <c r="Q53" s="69" t="s">
        <v>183</v>
      </c>
      <c r="R53" s="69" t="s">
        <v>183</v>
      </c>
      <c r="S53" s="69" t="s">
        <v>183</v>
      </c>
      <c r="T53" s="118" t="s">
        <v>183</v>
      </c>
      <c r="U53" s="118"/>
      <c r="V53" s="118"/>
      <c r="W53" s="118"/>
      <c r="X53" s="118" t="s">
        <v>448</v>
      </c>
      <c r="Y53" s="69"/>
      <c r="Z53" s="69"/>
      <c r="AA53" s="69"/>
      <c r="AB53" s="118"/>
      <c r="AC53" s="118"/>
      <c r="AD53" s="118"/>
      <c r="AE53" s="69" t="s">
        <v>183</v>
      </c>
      <c r="AF53" s="69" t="s">
        <v>183</v>
      </c>
      <c r="AG53" s="69" t="s">
        <v>255</v>
      </c>
      <c r="AH53" s="69"/>
      <c r="AI53" s="123" t="b">
        <f>AND(OR(AND($P$6=TRUE,$P53&lt;&gt;""),AND($Q$6=TRUE,$Q53&lt;&gt;""),AND($R$6=TRUE,$R53&lt;&gt;"")),AND($S$6=TRUE,$S53&lt;&gt;""),OR(AND($T$6=TRUE,$T53&lt;&gt;""),AND($U$6=TRUE,$U53&lt;&gt;""),AND($V$6=TRUE,$V53&lt;&gt;""),AND($W$6=TRUE,$W53&lt;&gt;""),AND($X$6=TRUE,$X53&lt;&gt;""),AND($Y$6=TRUE,$Y53&lt;&gt;""),AND($Z$6=TRUE,$Z53&lt;&gt;""),AND($AA$6=TRUE,$AA53&lt;&gt;""),AND($AB$6=TRUE,$AB53&lt;&gt;""),AND($AC$6=TRUE,$AC53&lt;&gt;""),AND($AD$6=TRUE,$AD53&lt;&gt;"")),OR(AND($AE$6=TRUE,$AE53&lt;&gt;""),AND($AF$6=TRUE,$AF53&lt;&gt;""),AND($AG$6=TRUE,$AG53&lt;&gt;""),AND($AH$6=TRUE,$AH53&lt;&gt;"")))</f>
        <v>0</v>
      </c>
      <c r="AJ53" s="123" t="s">
        <v>183</v>
      </c>
      <c r="AK53" s="123" t="s">
        <v>183</v>
      </c>
      <c r="AL53" s="123"/>
      <c r="AM53" s="123"/>
      <c r="AN53" s="170" t="str">
        <f>IF(AJ53&lt;&gt;"","セキュリティ管理/","")&amp;IF(AK53&lt;&gt;"","マルウェア/","")&amp;IF(AL53&lt;&gt;"","クラウド/","")&amp;IF(AM53&lt;&gt;"","別表1,2,3","")</f>
        <v>セキュリティ管理/マルウェア/</v>
      </c>
      <c r="AO53" s="123" t="s">
        <v>916</v>
      </c>
    </row>
    <row r="54" spans="1:41" ht="135">
      <c r="A54" s="52"/>
      <c r="B54" s="58"/>
      <c r="C54" s="71" t="s">
        <v>1171</v>
      </c>
      <c r="D54" s="71" t="s">
        <v>287</v>
      </c>
      <c r="E54" s="107" t="str">
        <f>'インフラ(自社DC)'!E50</f>
        <v xml:space="preserve">Windowsのサーバや端末を構築する場合、リモート実行機能を有するタスクスケジューラ、PsExec、PowerShell等を不要であれば使用不可としているか。
利用する場合はイベントログを出力する設定にし、タスクの追加やサービスの起動を監視する設計としているか。
</v>
      </c>
      <c r="F54" s="126" t="s">
        <v>1120</v>
      </c>
      <c r="G54" s="60" t="s">
        <v>254</v>
      </c>
      <c r="H54" s="61"/>
      <c r="I54" s="107"/>
      <c r="J54" s="60"/>
      <c r="K54" s="60"/>
      <c r="L54" s="60"/>
      <c r="M54" s="123"/>
      <c r="N54" s="243"/>
      <c r="O54" s="111" cm="1">
        <f t="array" ref="O54">IF(AI54=TRUE,_xlfn.IFS(M54=1,2,M54="",IF(N54="",1,2)),0)</f>
        <v>0</v>
      </c>
      <c r="P54" s="69" t="s">
        <v>255</v>
      </c>
      <c r="Q54" s="69" t="s">
        <v>183</v>
      </c>
      <c r="R54" s="69" t="s">
        <v>183</v>
      </c>
      <c r="S54" s="69" t="s">
        <v>183</v>
      </c>
      <c r="T54" s="69" t="s">
        <v>183</v>
      </c>
      <c r="U54" s="69"/>
      <c r="V54" s="69"/>
      <c r="W54" s="69"/>
      <c r="X54" s="118" t="s">
        <v>448</v>
      </c>
      <c r="Y54" s="69"/>
      <c r="Z54" s="69"/>
      <c r="AA54" s="69"/>
      <c r="AB54" s="118"/>
      <c r="AC54" s="118"/>
      <c r="AD54" s="118"/>
      <c r="AE54" s="69" t="s">
        <v>183</v>
      </c>
      <c r="AF54" s="69" t="s">
        <v>183</v>
      </c>
      <c r="AG54" s="69"/>
      <c r="AH54" s="69"/>
      <c r="AI54" s="123" t="b">
        <f>AND(OR(AND($P$6=TRUE,$P54&lt;&gt;""),AND($Q$6=TRUE,$Q54&lt;&gt;""),AND($R$6=TRUE,$R54&lt;&gt;"")),AND($S$6=TRUE,$S54&lt;&gt;""),OR(AND($T$6=TRUE,$T54&lt;&gt;""),AND($U$6=TRUE,$U54&lt;&gt;""),AND($V$6=TRUE,$V54&lt;&gt;""),AND($W$6=TRUE,$W54&lt;&gt;""),AND($X$6=TRUE,$X54&lt;&gt;""),AND($Y$6=TRUE,$Y54&lt;&gt;""),AND($Z$6=TRUE,$Z54&lt;&gt;""),AND($AA$6=TRUE,$AA54&lt;&gt;""),AND($AB$6=TRUE,$AB54&lt;&gt;""),AND($AC$6=TRUE,$AC54&lt;&gt;""),AND($AD$6=TRUE,$AD54&lt;&gt;"")),OR(AND($AE$6=TRUE,$AE54&lt;&gt;""),AND($AF$6=TRUE,$AF54&lt;&gt;""),AND($AG$6=TRUE,$AG54&lt;&gt;""),AND($AH$6=TRUE,$AH54&lt;&gt;"")))</f>
        <v>0</v>
      </c>
      <c r="AJ54" s="123"/>
      <c r="AK54" s="123"/>
      <c r="AL54" s="123"/>
      <c r="AM54" s="123"/>
      <c r="AN54" s="170" t="str">
        <f>IF(AJ54&lt;&gt;"","セキュリティ管理/","")&amp;IF(AK54&lt;&gt;"","マルウェア/","")&amp;IF(AL54&lt;&gt;"","クラウド/","")&amp;IF(AM54&lt;&gt;"","別表1,2,3","")</f>
        <v/>
      </c>
      <c r="AO54" s="123"/>
    </row>
    <row r="55" spans="1:41" ht="180">
      <c r="A55" s="52"/>
      <c r="B55" s="58"/>
      <c r="C55" s="71" t="s">
        <v>2132</v>
      </c>
      <c r="D55" s="71" t="s">
        <v>783</v>
      </c>
      <c r="E55" s="91" t="str">
        <f>'インフラ(自社DC)'!E51</f>
        <v>未知の脅威に備え、不審な挙動の検知、侵入経路や感染端末、影響範囲を特定するための対策ソフト（EDR※）を構築対象システムの全てのサーバや端末に導入しているか。
外部委託先が管理運用するシステムやサービスについてもEDRを導入することが望ましいが、実現が困難な場合は他のマルウェア対策要件を満たすことで見送り可能とする。
その場合回答はNOを選択し、備考欄に導入不可である理由と対策内容を記載すること。
※当社内環境や当社の責任・管理範囲のサーバ・端末については、EDR共通基盤の利用を前提とする。</v>
      </c>
      <c r="F55" s="126" t="s">
        <v>1120</v>
      </c>
      <c r="G55" s="60" t="s">
        <v>254</v>
      </c>
      <c r="H55" s="61"/>
      <c r="I55" s="91"/>
      <c r="J55" s="60"/>
      <c r="K55" s="60"/>
      <c r="L55" s="60"/>
      <c r="M55" s="123"/>
      <c r="N55" s="243"/>
      <c r="O55" s="111" cm="1">
        <f t="array" ref="O55">IF(AI55=TRUE,_xlfn.IFS(M55=1,2,M55="",IF(N55="",1,2)),0)</f>
        <v>0</v>
      </c>
      <c r="P55" s="69" t="s">
        <v>255</v>
      </c>
      <c r="Q55" s="69" t="s">
        <v>183</v>
      </c>
      <c r="R55" s="69" t="s">
        <v>183</v>
      </c>
      <c r="S55" s="69" t="s">
        <v>183</v>
      </c>
      <c r="T55" s="69" t="s">
        <v>183</v>
      </c>
      <c r="U55" s="69"/>
      <c r="V55" s="69"/>
      <c r="W55" s="69"/>
      <c r="X55" s="118" t="s">
        <v>448</v>
      </c>
      <c r="Y55" s="69"/>
      <c r="Z55" s="69"/>
      <c r="AA55" s="69"/>
      <c r="AB55" s="118"/>
      <c r="AC55" s="118"/>
      <c r="AD55" s="118"/>
      <c r="AE55" s="69" t="s">
        <v>183</v>
      </c>
      <c r="AF55" s="69" t="s">
        <v>183</v>
      </c>
      <c r="AG55" s="69"/>
      <c r="AH55" s="69"/>
      <c r="AI55" s="123" t="b">
        <f>AND(OR(AND($P$6=TRUE,$P55&lt;&gt;""),AND($Q$6=TRUE,$Q55&lt;&gt;""),AND($R$6=TRUE,$R55&lt;&gt;"")),AND($S$6=TRUE,$S55&lt;&gt;""),OR(AND($T$6=TRUE,$T55&lt;&gt;""),AND($U$6=TRUE,$U55&lt;&gt;""),AND($V$6=TRUE,$V55&lt;&gt;""),AND($W$6=TRUE,$W55&lt;&gt;""),AND($X$6=TRUE,$X55&lt;&gt;""),AND($Y$6=TRUE,$Y55&lt;&gt;""),AND($Z$6=TRUE,$Z55&lt;&gt;""),AND($AA$6=TRUE,$AA55&lt;&gt;""),AND($AB$6=TRUE,$AB55&lt;&gt;""),AND($AC$6=TRUE,$AC55&lt;&gt;""),AND($AD$6=TRUE,$AD55&lt;&gt;"")),OR(AND($AE$6=TRUE,$AE55&lt;&gt;""),AND($AF$6=TRUE,$AF55&lt;&gt;""),AND($AG$6=TRUE,$AG55&lt;&gt;""),AND($AH$6=TRUE,$AH55&lt;&gt;"")))</f>
        <v>0</v>
      </c>
      <c r="AJ55" s="123"/>
      <c r="AK55" s="123"/>
      <c r="AL55" s="123"/>
      <c r="AM55" s="123"/>
      <c r="AN55" s="170" t="str">
        <f>IF(AJ55&lt;&gt;"","セキュリティ管理/","")&amp;IF(AK55&lt;&gt;"","マルウェア/","")&amp;IF(AL55&lt;&gt;"","クラウド/","")&amp;IF(AM55&lt;&gt;"","別表1,2,3","")</f>
        <v/>
      </c>
      <c r="AO55" s="124" t="s">
        <v>2279</v>
      </c>
    </row>
    <row r="56" spans="1:41" ht="22.5">
      <c r="A56" s="52"/>
      <c r="B56" s="58" t="s">
        <v>784</v>
      </c>
      <c r="C56" s="115"/>
      <c r="D56" s="115"/>
      <c r="E56" s="84"/>
      <c r="F56" s="84"/>
      <c r="G56" s="59"/>
      <c r="H56" s="59"/>
      <c r="I56" s="84"/>
      <c r="J56" s="59"/>
      <c r="K56" s="59"/>
      <c r="L56" s="59"/>
      <c r="M56" s="125"/>
      <c r="N56" s="244"/>
      <c r="O56" s="244"/>
      <c r="P56" s="125"/>
      <c r="Q56" s="125"/>
      <c r="R56" s="125"/>
      <c r="S56" s="125"/>
      <c r="T56" s="125"/>
      <c r="U56" s="125"/>
      <c r="V56" s="125"/>
      <c r="W56" s="125"/>
      <c r="X56" s="125"/>
      <c r="Y56" s="125"/>
      <c r="Z56" s="125"/>
      <c r="AA56" s="125"/>
      <c r="AB56" s="125"/>
      <c r="AC56" s="125"/>
      <c r="AD56" s="125"/>
      <c r="AE56" s="125"/>
      <c r="AF56" s="125"/>
      <c r="AG56" s="125"/>
      <c r="AH56" s="125"/>
      <c r="AI56" s="125" t="s">
        <v>268</v>
      </c>
      <c r="AJ56" s="125"/>
      <c r="AK56" s="125"/>
      <c r="AL56" s="125"/>
      <c r="AM56" s="125"/>
      <c r="AN56" s="125"/>
      <c r="AO56" s="125"/>
    </row>
    <row r="57" spans="1:41" ht="112.5">
      <c r="A57" s="52"/>
      <c r="B57" s="58"/>
      <c r="C57" s="71" t="s">
        <v>2133</v>
      </c>
      <c r="D57" s="71" t="s">
        <v>785</v>
      </c>
      <c r="E57" s="107" t="str">
        <f>'インフラ(自社DC)'!E53</f>
        <v>システム障害やランサムウェアによりデータおよびシステム領域が破壊された場合に備えて、以下について定期的にバックアップを取得しているか。
　a. 業務データ
　b. プログラム
　c. ドキュメント（システム設計書、操作手順書、復旧手順書）</v>
      </c>
      <c r="F57" s="126" t="s">
        <v>1120</v>
      </c>
      <c r="G57" s="60" t="s">
        <v>254</v>
      </c>
      <c r="H57" s="61"/>
      <c r="I57" s="107"/>
      <c r="J57" s="60"/>
      <c r="K57" s="60"/>
      <c r="L57" s="60"/>
      <c r="M57" s="123"/>
      <c r="N57" s="243"/>
      <c r="O57" s="111" cm="1">
        <f t="array" ref="O57">IF(AI57=TRUE,_xlfn.IFS(M57=1,2,M57="",IF(N57="",1,2)),0)</f>
        <v>0</v>
      </c>
      <c r="P57" s="69" t="s">
        <v>255</v>
      </c>
      <c r="Q57" s="69" t="s">
        <v>183</v>
      </c>
      <c r="R57" s="69" t="s">
        <v>183</v>
      </c>
      <c r="S57" s="69" t="s">
        <v>183</v>
      </c>
      <c r="T57" s="118" t="s">
        <v>183</v>
      </c>
      <c r="U57" s="118"/>
      <c r="V57" s="118"/>
      <c r="W57" s="118"/>
      <c r="X57" s="118" t="s">
        <v>448</v>
      </c>
      <c r="Y57" s="69"/>
      <c r="Z57" s="69"/>
      <c r="AA57" s="69"/>
      <c r="AB57" s="118"/>
      <c r="AC57" s="118"/>
      <c r="AD57" s="118"/>
      <c r="AE57" s="69" t="s">
        <v>183</v>
      </c>
      <c r="AF57" s="69" t="s">
        <v>183</v>
      </c>
      <c r="AG57" s="69"/>
      <c r="AH57" s="69"/>
      <c r="AI57" s="123" t="b">
        <f t="shared" ref="AI57:AI62" si="6">AND(OR(AND($P$6=TRUE,$P57&lt;&gt;""),AND($Q$6=TRUE,$Q57&lt;&gt;""),AND($R$6=TRUE,$R57&lt;&gt;"")),AND($S$6=TRUE,$S57&lt;&gt;""),OR(AND($T$6=TRUE,$T57&lt;&gt;""),AND($U$6=TRUE,$U57&lt;&gt;""),AND($V$6=TRUE,$V57&lt;&gt;""),AND($W$6=TRUE,$W57&lt;&gt;""),AND($X$6=TRUE,$X57&lt;&gt;""),AND($Y$6=TRUE,$Y57&lt;&gt;""),AND($Z$6=TRUE,$Z57&lt;&gt;""),AND($AA$6=TRUE,$AA57&lt;&gt;""),AND($AB$6=TRUE,$AB57&lt;&gt;""),AND($AC$6=TRUE,$AC57&lt;&gt;""),AND($AD$6=TRUE,$AD57&lt;&gt;"")),OR(AND($AE$6=TRUE,$AE57&lt;&gt;""),AND($AF$6=TRUE,$AF57&lt;&gt;""),AND($AG$6=TRUE,$AG57&lt;&gt;""),AND($AH$6=TRUE,$AH57&lt;&gt;"")))</f>
        <v>0</v>
      </c>
      <c r="AJ57" s="123"/>
      <c r="AK57" s="123"/>
      <c r="AL57" s="123"/>
      <c r="AM57" s="123"/>
      <c r="AN57" s="170" t="str">
        <f t="shared" ref="AN57:AN62" si="7">IF(AJ57&lt;&gt;"","セキュリティ管理/","")&amp;IF(AK57&lt;&gt;"","マルウェア/","")&amp;IF(AL57&lt;&gt;"","クラウド/","")&amp;IF(AM57&lt;&gt;"","別表1,2,3","")</f>
        <v/>
      </c>
      <c r="AO57" s="123" t="s">
        <v>575</v>
      </c>
    </row>
    <row r="58" spans="1:41" ht="67.5">
      <c r="A58" s="52"/>
      <c r="B58" s="58"/>
      <c r="C58" s="71" t="s">
        <v>1173</v>
      </c>
      <c r="D58" s="71" t="s">
        <v>787</v>
      </c>
      <c r="E58" s="91" t="str">
        <f>'インフラ(自社DC)'!E54</f>
        <v>サービスレベルを満たす適切なバックアップ方式（全または差分）と、バックアップの保存サイクル、保存世代数が決められ実装されているか
また、バックアップは正副を取得しているか</v>
      </c>
      <c r="F58" s="91" t="s">
        <v>1172</v>
      </c>
      <c r="G58" s="60" t="s">
        <v>254</v>
      </c>
      <c r="H58" s="61"/>
      <c r="I58" s="107"/>
      <c r="J58" s="60"/>
      <c r="K58" s="60"/>
      <c r="L58" s="60"/>
      <c r="M58" s="123"/>
      <c r="N58" s="243"/>
      <c r="O58" s="111" cm="1">
        <f t="array" ref="O58">IF(AI58=TRUE,_xlfn.IFS(M58=1,2,M58="",IF(N58="",1,2)),0)</f>
        <v>0</v>
      </c>
      <c r="P58" s="69" t="s">
        <v>255</v>
      </c>
      <c r="Q58" s="69" t="s">
        <v>183</v>
      </c>
      <c r="R58" s="69" t="s">
        <v>183</v>
      </c>
      <c r="S58" s="69" t="s">
        <v>183</v>
      </c>
      <c r="T58" s="118" t="s">
        <v>183</v>
      </c>
      <c r="U58" s="118"/>
      <c r="V58" s="118"/>
      <c r="W58" s="118"/>
      <c r="X58" s="118" t="s">
        <v>448</v>
      </c>
      <c r="Y58" s="69"/>
      <c r="Z58" s="69"/>
      <c r="AA58" s="69"/>
      <c r="AB58" s="118"/>
      <c r="AC58" s="118"/>
      <c r="AD58" s="118"/>
      <c r="AE58" s="69" t="s">
        <v>183</v>
      </c>
      <c r="AF58" s="69" t="s">
        <v>183</v>
      </c>
      <c r="AG58" s="69"/>
      <c r="AH58" s="69"/>
      <c r="AI58" s="123" t="b">
        <f t="shared" si="6"/>
        <v>0</v>
      </c>
      <c r="AJ58" s="123"/>
      <c r="AK58" s="123"/>
      <c r="AL58" s="123"/>
      <c r="AM58" s="123"/>
      <c r="AN58" s="170" t="str">
        <f t="shared" si="7"/>
        <v/>
      </c>
      <c r="AO58" s="123"/>
    </row>
    <row r="59" spans="1:41" ht="337.5">
      <c r="A59" s="52"/>
      <c r="B59" s="58"/>
      <c r="C59" s="71" t="s">
        <v>1175</v>
      </c>
      <c r="D59" s="71" t="s">
        <v>1174</v>
      </c>
      <c r="E59" s="91" t="str">
        <f>'インフラ(自社DC)'!E55</f>
        <v xml:space="preserve">ランサムウェア等によるデータおよびシステム領域の破壊が行われた場合に備えて、ランサムウェア対応分類A,Bのシステムについては、インシデントに気づけるタイミング(※)を想定した上で、十分なバックアップの保持期間を決めているか。
(最後に取得したバックアップの保持期間を過ぎてからインシデントに気づき、リストアできないような事態を避ける）
なお、TMNFオンプレの仮想化基盤が提供する標準機能のバックアップを使用している場合は、自動的に本要件を満たしているためYESと回答する。
※以下のようにシステムごとに気づけるまでの時間が異なるため、それを考慮したバックアップの保持が必要。
例1：24365システムであれば常時稼働しているため、システムエラー等によりインシデントをすぐに検知できる。夜間や休日を含めても遅くともX時間以内にはFFAを開催できる
例2：システム稼働時間が限られているため、連休などを考慮すると最長でX営業日はインシデントに気づかない可能性がある
</v>
      </c>
      <c r="F59" s="99" t="s">
        <v>1120</v>
      </c>
      <c r="G59" s="60" t="s">
        <v>254</v>
      </c>
      <c r="H59" s="61"/>
      <c r="I59" s="107"/>
      <c r="J59" s="60"/>
      <c r="K59" s="60"/>
      <c r="L59" s="60"/>
      <c r="M59" s="123"/>
      <c r="N59" s="243"/>
      <c r="O59" s="111" cm="1">
        <f t="array" ref="O59">IF(AI59=TRUE,_xlfn.IFS(M59=1,2,M59="",IF(N59="",1,2)),0)</f>
        <v>0</v>
      </c>
      <c r="P59" s="69" t="s">
        <v>255</v>
      </c>
      <c r="Q59" s="69" t="s">
        <v>183</v>
      </c>
      <c r="R59" s="69" t="s">
        <v>183</v>
      </c>
      <c r="S59" s="69" t="s">
        <v>183</v>
      </c>
      <c r="T59" s="118"/>
      <c r="U59" s="118" t="s">
        <v>183</v>
      </c>
      <c r="V59" s="118" t="s">
        <v>183</v>
      </c>
      <c r="W59" s="118"/>
      <c r="X59" s="118" t="s">
        <v>448</v>
      </c>
      <c r="Y59" s="69"/>
      <c r="Z59" s="69"/>
      <c r="AA59" s="69"/>
      <c r="AB59" s="118"/>
      <c r="AC59" s="118"/>
      <c r="AD59" s="118"/>
      <c r="AE59" s="69" t="s">
        <v>183</v>
      </c>
      <c r="AF59" s="69" t="s">
        <v>183</v>
      </c>
      <c r="AG59" s="69"/>
      <c r="AH59" s="69"/>
      <c r="AI59" s="123" t="b">
        <f t="shared" si="6"/>
        <v>0</v>
      </c>
      <c r="AJ59" s="123"/>
      <c r="AK59" s="123"/>
      <c r="AL59" s="123"/>
      <c r="AM59" s="123"/>
      <c r="AN59" s="170" t="str">
        <f t="shared" si="7"/>
        <v/>
      </c>
      <c r="AO59" s="123"/>
    </row>
    <row r="60" spans="1:41" ht="112.5">
      <c r="A60" s="52"/>
      <c r="B60" s="58"/>
      <c r="C60" s="71" t="s">
        <v>1176</v>
      </c>
      <c r="D60" s="71" t="s">
        <v>794</v>
      </c>
      <c r="E60" s="91" t="str">
        <f>'インフラ(自社DC)'!E56</f>
        <v>ランサムウェア等によるデータおよびシステム領域の破壊が行われた場合に備えて、ランサムウェア対応分類A,Bのシステムについては、バックアップを最低2世代取得する設計としているか。
また、必要世代以前の古いバックアップについて、上述のバックアップの保持期間を迎える前に削除されないよう考慮した上で、削除タイミングを設計しているか。</v>
      </c>
      <c r="F60" s="99" t="s">
        <v>1120</v>
      </c>
      <c r="G60" s="60" t="s">
        <v>254</v>
      </c>
      <c r="H60" s="61"/>
      <c r="I60" s="107"/>
      <c r="J60" s="60"/>
      <c r="K60" s="60"/>
      <c r="L60" s="60"/>
      <c r="M60" s="123"/>
      <c r="N60" s="243"/>
      <c r="O60" s="111" cm="1">
        <f t="array" ref="O60">IF(AI60=TRUE,_xlfn.IFS(M60=1,2,M60="",IF(N60="",1,2)),0)</f>
        <v>0</v>
      </c>
      <c r="P60" s="69" t="s">
        <v>255</v>
      </c>
      <c r="Q60" s="69" t="s">
        <v>183</v>
      </c>
      <c r="R60" s="69" t="s">
        <v>183</v>
      </c>
      <c r="S60" s="69" t="s">
        <v>183</v>
      </c>
      <c r="T60" s="118"/>
      <c r="U60" s="118" t="s">
        <v>183</v>
      </c>
      <c r="V60" s="118" t="s">
        <v>183</v>
      </c>
      <c r="W60" s="118"/>
      <c r="X60" s="118" t="s">
        <v>448</v>
      </c>
      <c r="Y60" s="69"/>
      <c r="Z60" s="69"/>
      <c r="AA60" s="69"/>
      <c r="AB60" s="118"/>
      <c r="AC60" s="118"/>
      <c r="AD60" s="118"/>
      <c r="AE60" s="69" t="s">
        <v>183</v>
      </c>
      <c r="AF60" s="69" t="s">
        <v>183</v>
      </c>
      <c r="AG60" s="69"/>
      <c r="AH60" s="69"/>
      <c r="AI60" s="123" t="b">
        <f t="shared" si="6"/>
        <v>0</v>
      </c>
      <c r="AJ60" s="123"/>
      <c r="AK60" s="123"/>
      <c r="AL60" s="123"/>
      <c r="AM60" s="123"/>
      <c r="AN60" s="170" t="str">
        <f t="shared" si="7"/>
        <v/>
      </c>
      <c r="AO60" s="123" t="s">
        <v>487</v>
      </c>
    </row>
    <row r="61" spans="1:41" ht="409.5">
      <c r="A61" s="52"/>
      <c r="B61" s="58"/>
      <c r="C61" s="71" t="s">
        <v>1177</v>
      </c>
      <c r="D61" s="71" t="s">
        <v>798</v>
      </c>
      <c r="E61" s="91" t="str">
        <f>'インフラ(自社DC)'!E57</f>
        <v>（注意）本セルは、記載が多く表示に収まっていないため、セル末尾の★★★ここまで★★★まで確認すること
ランサムウェア等によりバックアップ自体が破壊されることを防ぐために、ランサムウェア対応分類A,Bのシステムについては、バックアップを業務サービス(サーバOSやネットワーク)からオフラインの環境で保護しているか。
例：
・テープなどに保存し、都度オフラインする
・ストレージ機能でのバックアップ取得を実施し、管理コンソールおよび取得領域には業務LANからは隔離された管理LANからしかアクセスできないようにする（業務LAN・管理LAN両方にアクセス可能なOSは存在しないことが重要）
なお、ランサムウェア対応分類Bのシステムについては、以下の2つの対策をともに満たすことで、上記のオフライン化の代替策として認める。以下はバックアップデータに対する高権限ID（OSのAdmin/rootや、サービスを管理するIDなど）を悪用した変更・破壊の試みを阻止する対策である。
・「バックアップ対象システム」と、「バックアップシステム（専用ソフトウェア、別サーバなど）」および「取得したバックアップデータ」のアクセス権を分離する。
分離とは、バックアップ対象システムの高権限IDを用いて、「バックアップシステムや取得したバックアップデータを変更できない」ことと「バックアップシステムのID管理作業（パスワードリセットやID作成等）ができない」状態を指す。
・バックアップシステムのIDおよびパスワードを推測できないもの（Admin/rootや、ホスト名、システム名およびこれらが含まれるものも不可）にする。可能であれば、2要素認証を導入する。
★★★ここまで★★★</v>
      </c>
      <c r="F61" s="99" t="s">
        <v>1120</v>
      </c>
      <c r="G61" s="60" t="s">
        <v>254</v>
      </c>
      <c r="H61" s="61"/>
      <c r="I61" s="107"/>
      <c r="J61" s="60"/>
      <c r="K61" s="60"/>
      <c r="L61" s="60"/>
      <c r="M61" s="123"/>
      <c r="N61" s="243"/>
      <c r="O61" s="111" cm="1">
        <f t="array" ref="O61">IF(AI61=TRUE,_xlfn.IFS(M61=1,2,M61="",IF(N61="",1,2)),0)</f>
        <v>0</v>
      </c>
      <c r="P61" s="69" t="s">
        <v>255</v>
      </c>
      <c r="Q61" s="69" t="s">
        <v>183</v>
      </c>
      <c r="R61" s="69" t="s">
        <v>183</v>
      </c>
      <c r="S61" s="69" t="s">
        <v>183</v>
      </c>
      <c r="T61" s="118"/>
      <c r="U61" s="118" t="s">
        <v>183</v>
      </c>
      <c r="V61" s="118" t="s">
        <v>183</v>
      </c>
      <c r="W61" s="118"/>
      <c r="X61" s="118" t="s">
        <v>448</v>
      </c>
      <c r="Y61" s="69"/>
      <c r="Z61" s="69"/>
      <c r="AA61" s="69"/>
      <c r="AB61" s="118"/>
      <c r="AC61" s="118"/>
      <c r="AD61" s="118"/>
      <c r="AE61" s="69" t="s">
        <v>183</v>
      </c>
      <c r="AF61" s="69" t="s">
        <v>183</v>
      </c>
      <c r="AG61" s="69"/>
      <c r="AH61" s="69"/>
      <c r="AI61" s="123" t="b">
        <f t="shared" si="6"/>
        <v>0</v>
      </c>
      <c r="AJ61" s="123"/>
      <c r="AK61" s="123"/>
      <c r="AL61" s="123"/>
      <c r="AM61" s="123"/>
      <c r="AN61" s="170" t="str">
        <f t="shared" si="7"/>
        <v/>
      </c>
      <c r="AO61" s="123" t="s">
        <v>487</v>
      </c>
    </row>
    <row r="62" spans="1:41" ht="135">
      <c r="A62" s="52"/>
      <c r="B62" s="58"/>
      <c r="C62" s="71" t="s">
        <v>2134</v>
      </c>
      <c r="D62" s="71" t="s">
        <v>801</v>
      </c>
      <c r="E62" s="91" t="str">
        <f>'インフラ(自社DC)'!E58</f>
        <v>ランサムウェア感染時の対策として、ランサムウェア対応分類A,Bのシステムについては、(システム障害時の一部分の戻しだけでなく）バックアップデータからの全リストアを想定したRTO,RPOを定義しているか。
また、ランサムウェア対応分類Aのシステムについては、サービスイン後のリストアテストの実施を想定した環境（テストが可能な開発・プレ本環境の構築、もしくは本番環境でテストできるような非機能要件の設計）を準備しているか。</v>
      </c>
      <c r="F62" s="99" t="s">
        <v>1120</v>
      </c>
      <c r="G62" s="60" t="s">
        <v>254</v>
      </c>
      <c r="H62" s="61"/>
      <c r="I62" s="107"/>
      <c r="J62" s="60"/>
      <c r="K62" s="60"/>
      <c r="L62" s="60"/>
      <c r="M62" s="123"/>
      <c r="N62" s="243"/>
      <c r="O62" s="111" cm="1">
        <f t="array" ref="O62">IF(AI62=TRUE,_xlfn.IFS(M62=1,2,M62="",IF(N62="",1,2)),0)</f>
        <v>0</v>
      </c>
      <c r="P62" s="69" t="s">
        <v>255</v>
      </c>
      <c r="Q62" s="69" t="s">
        <v>183</v>
      </c>
      <c r="R62" s="69" t="s">
        <v>183</v>
      </c>
      <c r="S62" s="69" t="s">
        <v>183</v>
      </c>
      <c r="T62" s="118"/>
      <c r="U62" s="118" t="s">
        <v>183</v>
      </c>
      <c r="V62" s="118" t="s">
        <v>183</v>
      </c>
      <c r="W62" s="118"/>
      <c r="X62" s="118" t="s">
        <v>448</v>
      </c>
      <c r="Y62" s="69"/>
      <c r="Z62" s="69"/>
      <c r="AA62" s="69"/>
      <c r="AB62" s="118"/>
      <c r="AC62" s="118"/>
      <c r="AD62" s="118"/>
      <c r="AE62" s="69" t="s">
        <v>183</v>
      </c>
      <c r="AF62" s="69" t="s">
        <v>183</v>
      </c>
      <c r="AG62" s="69"/>
      <c r="AH62" s="69"/>
      <c r="AI62" s="123" t="b">
        <f t="shared" si="6"/>
        <v>0</v>
      </c>
      <c r="AJ62" s="123"/>
      <c r="AK62" s="123"/>
      <c r="AL62" s="123"/>
      <c r="AM62" s="123"/>
      <c r="AN62" s="170" t="str">
        <f t="shared" si="7"/>
        <v/>
      </c>
      <c r="AO62" s="123" t="s">
        <v>487</v>
      </c>
    </row>
    <row r="63" spans="1:41" ht="22.5">
      <c r="A63" s="52"/>
      <c r="B63" s="58" t="s">
        <v>803</v>
      </c>
      <c r="C63" s="115"/>
      <c r="D63" s="115"/>
      <c r="E63" s="84"/>
      <c r="F63" s="84"/>
      <c r="G63" s="59"/>
      <c r="H63" s="59"/>
      <c r="I63" s="84"/>
      <c r="J63" s="59"/>
      <c r="K63" s="59"/>
      <c r="L63" s="59"/>
      <c r="M63" s="125"/>
      <c r="N63" s="244"/>
      <c r="O63" s="244"/>
      <c r="P63" s="125"/>
      <c r="Q63" s="125"/>
      <c r="R63" s="125"/>
      <c r="S63" s="125"/>
      <c r="T63" s="125"/>
      <c r="U63" s="125"/>
      <c r="V63" s="125"/>
      <c r="W63" s="125"/>
      <c r="X63" s="125"/>
      <c r="Y63" s="125"/>
      <c r="Z63" s="125"/>
      <c r="AA63" s="125"/>
      <c r="AB63" s="125"/>
      <c r="AC63" s="125"/>
      <c r="AD63" s="125"/>
      <c r="AE63" s="125"/>
      <c r="AF63" s="125"/>
      <c r="AG63" s="125"/>
      <c r="AH63" s="125"/>
      <c r="AI63" s="125" t="s">
        <v>268</v>
      </c>
      <c r="AJ63" s="125"/>
      <c r="AK63" s="125"/>
      <c r="AL63" s="125"/>
      <c r="AM63" s="125"/>
      <c r="AN63" s="125"/>
      <c r="AO63" s="125"/>
    </row>
    <row r="64" spans="1:41" ht="409.15" customHeight="1">
      <c r="A64" s="52"/>
      <c r="B64" s="58"/>
      <c r="C64" s="71" t="s">
        <v>2135</v>
      </c>
      <c r="D64" s="71" t="s">
        <v>804</v>
      </c>
      <c r="E64" s="91" t="s">
        <v>1042</v>
      </c>
      <c r="F64" s="132" t="s">
        <v>2216</v>
      </c>
      <c r="G64" s="92" t="s">
        <v>254</v>
      </c>
      <c r="H64" s="61"/>
      <c r="I64" s="107"/>
      <c r="J64" s="60"/>
      <c r="K64" s="60"/>
      <c r="L64" s="60"/>
      <c r="M64" s="123"/>
      <c r="N64" s="243"/>
      <c r="O64" s="111" cm="1">
        <f t="array" ref="O64">IF(AI64=TRUE,_xlfn.IFS(M64=1,2,M64="",IF(N64="",1,2)),0)</f>
        <v>0</v>
      </c>
      <c r="P64" s="69" t="s">
        <v>255</v>
      </c>
      <c r="Q64" s="69" t="s">
        <v>255</v>
      </c>
      <c r="R64" s="69" t="s">
        <v>255</v>
      </c>
      <c r="S64" s="69" t="s">
        <v>183</v>
      </c>
      <c r="T64" s="118" t="s">
        <v>255</v>
      </c>
      <c r="U64" s="118"/>
      <c r="V64" s="118"/>
      <c r="W64" s="118"/>
      <c r="X64" s="118"/>
      <c r="Y64" s="69"/>
      <c r="Z64" s="69"/>
      <c r="AA64" s="69"/>
      <c r="AB64" s="118"/>
      <c r="AC64" s="118"/>
      <c r="AD64" s="118"/>
      <c r="AE64" s="69" t="s">
        <v>183</v>
      </c>
      <c r="AF64" s="69" t="s">
        <v>183</v>
      </c>
      <c r="AG64" s="69"/>
      <c r="AH64" s="69"/>
      <c r="AI64" s="123" t="b">
        <f>AND(OR(AND($P$6=TRUE,$P64&lt;&gt;""),AND($Q$6=TRUE,$Q64&lt;&gt;""),AND($R$6=TRUE,$R64&lt;&gt;"")),AND($S$6=TRUE,$S64&lt;&gt;""),OR(AND($T$6=TRUE,$T64&lt;&gt;""),AND($U$6=TRUE,$U64&lt;&gt;""),AND($V$6=TRUE,$V64&lt;&gt;""),AND($W$6=TRUE,$W64&lt;&gt;""),AND($X$6=TRUE,$X64&lt;&gt;""),AND($Y$6=TRUE,$Y64&lt;&gt;""),AND($Z$6=TRUE,$Z64&lt;&gt;""),AND($AA$6=TRUE,$AA64&lt;&gt;""),AND($AB$6=TRUE,$AB64&lt;&gt;""),AND($AC$6=TRUE,$AC64&lt;&gt;""),AND($AD$6=TRUE,$AD64&lt;&gt;"")),OR(AND($AE$6=TRUE,$AE64&lt;&gt;""),AND($AF$6=TRUE,$AF64&lt;&gt;""),AND($AG$6=TRUE,$AG64&lt;&gt;""),AND($AH$6=TRUE,$AH64&lt;&gt;"")))</f>
        <v>0</v>
      </c>
      <c r="AJ64" s="123"/>
      <c r="AK64" s="123"/>
      <c r="AL64" s="123"/>
      <c r="AM64" s="123"/>
      <c r="AN64" s="170" t="str">
        <f>IF(AJ64&lt;&gt;"","セキュリティ管理/","")&amp;IF(AK64&lt;&gt;"","マルウェア/","")&amp;IF(AL64&lt;&gt;"","クラウド/","")&amp;IF(AM64&lt;&gt;"","別表1,2,3","")</f>
        <v/>
      </c>
      <c r="AO64" s="123" t="s">
        <v>2198</v>
      </c>
    </row>
    <row r="65" spans="1:41" ht="135">
      <c r="A65" s="52"/>
      <c r="B65" s="58"/>
      <c r="C65" s="71" t="s">
        <v>2136</v>
      </c>
      <c r="D65" s="71" t="s">
        <v>806</v>
      </c>
      <c r="E65" s="91" t="str">
        <f>'インフラ(自社DC)'!E60</f>
        <v>ソフトウェアおよび機器（以下、製品）を採用する際は、多くの脆弱性が報告される傾向にあるプロダクト（Apache Struts、Word Press等）を避け、提供元（ベンダー、オープンソースプロジェクト運営団体等）がサポートするバージョンの製品を選定しているか
また製品の利用にあたっては、セキュリティ設定を正しく行うため、各製品の提供元が発信する推奨設定情報やセキュリティパッチに関する情報を参考に設定を行っているか。</v>
      </c>
      <c r="F65" s="99" t="s">
        <v>1151</v>
      </c>
      <c r="G65" s="92" t="s">
        <v>254</v>
      </c>
      <c r="H65" s="61"/>
      <c r="I65" s="107"/>
      <c r="J65" s="60" t="s">
        <v>730</v>
      </c>
      <c r="K65" s="60"/>
      <c r="L65" s="60"/>
      <c r="M65" s="123"/>
      <c r="N65" s="243"/>
      <c r="O65" s="111" cm="1">
        <f t="array" ref="O65">IF(AI65=TRUE,_xlfn.IFS(M65=1,2,M65="",IF(N65="",1,2)),0)</f>
        <v>0</v>
      </c>
      <c r="P65" s="69" t="s">
        <v>255</v>
      </c>
      <c r="Q65" s="69" t="s">
        <v>255</v>
      </c>
      <c r="R65" s="69" t="s">
        <v>255</v>
      </c>
      <c r="S65" s="69" t="s">
        <v>183</v>
      </c>
      <c r="T65" s="118" t="s">
        <v>255</v>
      </c>
      <c r="U65" s="118"/>
      <c r="V65" s="118"/>
      <c r="W65" s="118"/>
      <c r="X65" s="118" t="s">
        <v>448</v>
      </c>
      <c r="Y65" s="69"/>
      <c r="Z65" s="69"/>
      <c r="AA65" s="69"/>
      <c r="AB65" s="118"/>
      <c r="AC65" s="118"/>
      <c r="AD65" s="118"/>
      <c r="AE65" s="69" t="s">
        <v>183</v>
      </c>
      <c r="AF65" s="69" t="s">
        <v>183</v>
      </c>
      <c r="AG65" s="69" t="s">
        <v>255</v>
      </c>
      <c r="AH65" s="69"/>
      <c r="AI65" s="123" t="b">
        <f>AND(OR(AND($P$6=TRUE,$P65&lt;&gt;""),AND($Q$6=TRUE,$Q65&lt;&gt;""),AND($R$6=TRUE,$R65&lt;&gt;"")),AND($S$6=TRUE,$S65&lt;&gt;""),OR(AND($T$6=TRUE,$T65&lt;&gt;""),AND($U$6=TRUE,$U65&lt;&gt;""),AND($V$6=TRUE,$V65&lt;&gt;""),AND($W$6=TRUE,$W65&lt;&gt;""),AND($X$6=TRUE,$X65&lt;&gt;""),AND($Y$6=TRUE,$Y65&lt;&gt;""),AND($Z$6=TRUE,$Z65&lt;&gt;""),AND($AA$6=TRUE,$AA65&lt;&gt;""),AND($AB$6=TRUE,$AB65&lt;&gt;""),AND($AC$6=TRUE,$AC65&lt;&gt;""),AND($AD$6=TRUE,$AD65&lt;&gt;"")),OR(AND($AE$6=TRUE,$AE65&lt;&gt;""),AND($AF$6=TRUE,$AF65&lt;&gt;""),AND($AG$6=TRUE,$AG65&lt;&gt;""),AND($AH$6=TRUE,$AH65&lt;&gt;"")))</f>
        <v>0</v>
      </c>
      <c r="AJ65" s="123" t="s">
        <v>183</v>
      </c>
      <c r="AK65" s="123"/>
      <c r="AL65" s="123"/>
      <c r="AM65" s="123"/>
      <c r="AN65" s="170" t="str">
        <f>IF(AJ65&lt;&gt;"","セキュリティ管理/","")&amp;IF(AK65&lt;&gt;"","マルウェア/","")&amp;IF(AL65&lt;&gt;"","クラウド/","")&amp;IF(AM65&lt;&gt;"","別表1,2,3","")</f>
        <v>セキュリティ管理/</v>
      </c>
      <c r="AO65" s="123"/>
    </row>
    <row r="66" spans="1:41" ht="45">
      <c r="A66" s="52"/>
      <c r="B66" s="58"/>
      <c r="C66" s="71" t="s">
        <v>1180</v>
      </c>
      <c r="D66" s="71" t="s">
        <v>808</v>
      </c>
      <c r="E66" s="91" t="str">
        <f>'インフラ(自社DC)'!E61</f>
        <v>サーバや端末、ネットワーク機器の未使用又は不必要なデーモン／サービス／エージェントが全て停止又は削除される設計がされているか</v>
      </c>
      <c r="F66" s="99" t="s">
        <v>1120</v>
      </c>
      <c r="G66" s="92" t="s">
        <v>254</v>
      </c>
      <c r="H66" s="61"/>
      <c r="I66" s="107"/>
      <c r="J66" s="60"/>
      <c r="K66" s="60"/>
      <c r="L66" s="60"/>
      <c r="M66" s="123"/>
      <c r="N66" s="243"/>
      <c r="O66" s="111" cm="1">
        <f t="array" ref="O66">IF(AI66=TRUE,_xlfn.IFS(M66=1,2,M66="",IF(N66="",1,2)),0)</f>
        <v>0</v>
      </c>
      <c r="P66" s="69" t="s">
        <v>255</v>
      </c>
      <c r="Q66" s="69" t="s">
        <v>183</v>
      </c>
      <c r="R66" s="69" t="s">
        <v>183</v>
      </c>
      <c r="S66" s="69" t="s">
        <v>183</v>
      </c>
      <c r="T66" s="118" t="s">
        <v>183</v>
      </c>
      <c r="U66" s="118"/>
      <c r="V66" s="118"/>
      <c r="W66" s="118"/>
      <c r="X66" s="118" t="s">
        <v>448</v>
      </c>
      <c r="Y66" s="69"/>
      <c r="Z66" s="69"/>
      <c r="AA66" s="69"/>
      <c r="AB66" s="118"/>
      <c r="AC66" s="118"/>
      <c r="AD66" s="118"/>
      <c r="AE66" s="69" t="s">
        <v>183</v>
      </c>
      <c r="AF66" s="69" t="s">
        <v>183</v>
      </c>
      <c r="AG66" s="69"/>
      <c r="AH66" s="69"/>
      <c r="AI66" s="123" t="b">
        <f>AND(OR(AND($P$6=TRUE,$P66&lt;&gt;""),AND($Q$6=TRUE,$Q66&lt;&gt;""),AND($R$6=TRUE,$R66&lt;&gt;"")),AND($S$6=TRUE,$S66&lt;&gt;""),OR(AND($T$6=TRUE,$T66&lt;&gt;""),AND($U$6=TRUE,$U66&lt;&gt;""),AND($V$6=TRUE,$V66&lt;&gt;""),AND($W$6=TRUE,$W66&lt;&gt;""),AND($X$6=TRUE,$X66&lt;&gt;""),AND($Y$6=TRUE,$Y66&lt;&gt;""),AND($Z$6=TRUE,$Z66&lt;&gt;""),AND($AA$6=TRUE,$AA66&lt;&gt;""),AND($AB$6=TRUE,$AB66&lt;&gt;""),AND($AC$6=TRUE,$AC66&lt;&gt;""),AND($AD$6=TRUE,$AD66&lt;&gt;"")),OR(AND($AE$6=TRUE,$AE66&lt;&gt;""),AND($AF$6=TRUE,$AF66&lt;&gt;""),AND($AG$6=TRUE,$AG66&lt;&gt;""),AND($AH$6=TRUE,$AH66&lt;&gt;"")))</f>
        <v>0</v>
      </c>
      <c r="AJ66" s="123"/>
      <c r="AK66" s="123"/>
      <c r="AL66" s="123"/>
      <c r="AM66" s="123"/>
      <c r="AN66" s="170" t="str">
        <f>IF(AJ66&lt;&gt;"","セキュリティ管理/","")&amp;IF(AK66&lt;&gt;"","マルウェア/","")&amp;IF(AL66&lt;&gt;"","クラウド/","")&amp;IF(AM66&lt;&gt;"","別表1,2,3","")</f>
        <v/>
      </c>
      <c r="AO66" s="123"/>
    </row>
    <row r="67" spans="1:41" ht="67.5">
      <c r="A67" s="52"/>
      <c r="B67" s="58"/>
      <c r="C67" s="71" t="s">
        <v>1182</v>
      </c>
      <c r="D67" s="71" t="s">
        <v>1178</v>
      </c>
      <c r="E67" s="91" t="str">
        <f>'インフラ(自社DC)'!E62</f>
        <v>インターネットへ公開されているサービスについて、利用している製品の種類・バージョン情報等のシステム構成情報（バナー情報）がHTTPレスポンスヘッダに含まれないようにしているか</v>
      </c>
      <c r="F67" s="99" t="s">
        <v>1149</v>
      </c>
      <c r="G67" s="92" t="s">
        <v>503</v>
      </c>
      <c r="H67" s="61"/>
      <c r="I67" s="107"/>
      <c r="J67" s="60"/>
      <c r="K67" s="60"/>
      <c r="L67" s="60"/>
      <c r="M67" s="123"/>
      <c r="N67" s="243"/>
      <c r="O67" s="111" cm="1">
        <f t="array" ref="O67">IF(AI67=TRUE,_xlfn.IFS(M67=1,2,M67="",IF(N67="",1,2)),0)</f>
        <v>0</v>
      </c>
      <c r="P67" s="69" t="s">
        <v>255</v>
      </c>
      <c r="Q67" s="69" t="s">
        <v>183</v>
      </c>
      <c r="R67" s="69" t="s">
        <v>183</v>
      </c>
      <c r="S67" s="69" t="s">
        <v>183</v>
      </c>
      <c r="T67" s="118"/>
      <c r="U67" s="118"/>
      <c r="V67" s="118"/>
      <c r="W67" s="118"/>
      <c r="X67" s="118"/>
      <c r="Y67" s="69"/>
      <c r="Z67" s="69"/>
      <c r="AA67" s="69"/>
      <c r="AB67" s="118"/>
      <c r="AC67" s="118"/>
      <c r="AD67" s="69" t="s">
        <v>183</v>
      </c>
      <c r="AE67" s="69" t="s">
        <v>183</v>
      </c>
      <c r="AF67" s="69" t="s">
        <v>183</v>
      </c>
      <c r="AG67" s="69"/>
      <c r="AH67" s="69"/>
      <c r="AI67" s="123" t="b">
        <f>AND(OR(AND($P$6=TRUE,$P67&lt;&gt;""),AND($Q$6=TRUE,$Q67&lt;&gt;""),AND($R$6=TRUE,$R67&lt;&gt;"")),AND($S$6=TRUE,$S67&lt;&gt;""),OR(AND($T$6=TRUE,$T67&lt;&gt;""),AND($U$6=TRUE,$U67&lt;&gt;""),AND($V$6=TRUE,$V67&lt;&gt;""),AND($W$6=TRUE,$W67&lt;&gt;""),AND($X$6=TRUE,$X67&lt;&gt;""),AND($Y$6=TRUE,$Y67&lt;&gt;""),AND($Z$6=TRUE,$Z67&lt;&gt;""),AND($AA$6=TRUE,$AA67&lt;&gt;""),AND($AB$6=TRUE,$AB67&lt;&gt;""),AND($AC$6=TRUE,$AC67&lt;&gt;""),AND($AD$6=TRUE,$AD67&lt;&gt;"")),OR(AND($AE$6=TRUE,$AE67&lt;&gt;""),AND($AF$6=TRUE,$AF67&lt;&gt;""),AND($AG$6=TRUE,$AG67&lt;&gt;""),AND($AH$6=TRUE,$AH67&lt;&gt;"")))</f>
        <v>0</v>
      </c>
      <c r="AJ67" s="123"/>
      <c r="AK67" s="123"/>
      <c r="AL67" s="123"/>
      <c r="AM67" s="123"/>
      <c r="AN67" s="170" t="str">
        <f>IF(AJ67&lt;&gt;"","セキュリティ管理/","")&amp;IF(AK67&lt;&gt;"","マルウェア/","")&amp;IF(AL67&lt;&gt;"","クラウド/","")&amp;IF(AM67&lt;&gt;"","別表1,2,3","")</f>
        <v/>
      </c>
      <c r="AO67" s="123"/>
    </row>
    <row r="68" spans="1:41" ht="22.5">
      <c r="A68" s="52" t="s">
        <v>810</v>
      </c>
      <c r="B68" s="52"/>
      <c r="C68" s="113"/>
      <c r="D68" s="113"/>
      <c r="E68" s="77"/>
      <c r="F68" s="77"/>
      <c r="G68" s="56"/>
      <c r="H68" s="56"/>
      <c r="I68" s="77"/>
      <c r="J68" s="56"/>
      <c r="K68" s="56"/>
      <c r="L68" s="56"/>
      <c r="M68" s="114"/>
      <c r="N68" s="249"/>
      <c r="O68" s="249"/>
      <c r="P68" s="114"/>
      <c r="Q68" s="114"/>
      <c r="R68" s="114"/>
      <c r="S68" s="114"/>
      <c r="T68" s="114"/>
      <c r="U68" s="114"/>
      <c r="V68" s="114"/>
      <c r="W68" s="114"/>
      <c r="X68" s="114"/>
      <c r="Y68" s="114"/>
      <c r="Z68" s="114"/>
      <c r="AA68" s="114"/>
      <c r="AB68" s="114"/>
      <c r="AC68" s="114"/>
      <c r="AD68" s="114"/>
      <c r="AE68" s="114"/>
      <c r="AF68" s="114"/>
      <c r="AG68" s="114"/>
      <c r="AH68" s="114"/>
      <c r="AI68" s="114" t="s">
        <v>268</v>
      </c>
      <c r="AJ68" s="114"/>
      <c r="AK68" s="114"/>
      <c r="AL68" s="114"/>
      <c r="AM68" s="114"/>
      <c r="AN68" s="114"/>
      <c r="AO68" s="114"/>
    </row>
    <row r="69" spans="1:41" ht="22.5">
      <c r="A69" s="52"/>
      <c r="B69" s="58"/>
      <c r="C69" s="58"/>
      <c r="D69" s="58"/>
      <c r="E69" s="115"/>
      <c r="F69" s="115"/>
      <c r="G69" s="58"/>
      <c r="H69" s="59"/>
      <c r="I69" s="84"/>
      <c r="J69" s="58"/>
      <c r="K69" s="58"/>
      <c r="L69" s="58"/>
      <c r="M69" s="122"/>
      <c r="N69" s="244"/>
      <c r="O69" s="244"/>
      <c r="P69" s="122"/>
      <c r="Q69" s="122"/>
      <c r="R69" s="122"/>
      <c r="S69" s="122"/>
      <c r="T69" s="122"/>
      <c r="U69" s="122"/>
      <c r="V69" s="122"/>
      <c r="W69" s="122"/>
      <c r="X69" s="122"/>
      <c r="Y69" s="122"/>
      <c r="Z69" s="122"/>
      <c r="AA69" s="122"/>
      <c r="AB69" s="122"/>
      <c r="AC69" s="122"/>
      <c r="AD69" s="122"/>
      <c r="AE69" s="122"/>
      <c r="AF69" s="122"/>
      <c r="AG69" s="122"/>
      <c r="AH69" s="122"/>
      <c r="AI69" s="122" t="s">
        <v>268</v>
      </c>
      <c r="AJ69" s="122"/>
      <c r="AK69" s="122"/>
      <c r="AL69" s="122"/>
      <c r="AM69" s="122"/>
      <c r="AN69" s="122"/>
      <c r="AO69" s="122"/>
    </row>
    <row r="70" spans="1:41" ht="45">
      <c r="A70" s="52"/>
      <c r="B70" s="58"/>
      <c r="C70" s="71" t="s">
        <v>1185</v>
      </c>
      <c r="D70" s="71" t="s">
        <v>436</v>
      </c>
      <c r="E70" s="91" t="s">
        <v>1042</v>
      </c>
      <c r="F70" s="91" t="s">
        <v>1179</v>
      </c>
      <c r="G70" s="92" t="s">
        <v>254</v>
      </c>
      <c r="H70" s="61"/>
      <c r="I70" s="107"/>
      <c r="J70" s="60"/>
      <c r="K70" s="60"/>
      <c r="L70" s="60"/>
      <c r="M70" s="123"/>
      <c r="N70" s="243"/>
      <c r="O70" s="111" cm="1">
        <f t="array" ref="O70">IF(AI70=TRUE,_xlfn.IFS(M70=1,2,M70="",IF(N70="",1,2)),0)</f>
        <v>0</v>
      </c>
      <c r="P70" s="69" t="s">
        <v>255</v>
      </c>
      <c r="Q70" s="69" t="s">
        <v>255</v>
      </c>
      <c r="R70" s="69" t="s">
        <v>255</v>
      </c>
      <c r="S70" s="69" t="s">
        <v>183</v>
      </c>
      <c r="T70" s="118" t="s">
        <v>183</v>
      </c>
      <c r="U70" s="118"/>
      <c r="V70" s="118"/>
      <c r="W70" s="118"/>
      <c r="X70" s="118"/>
      <c r="Y70" s="118"/>
      <c r="Z70" s="69"/>
      <c r="AA70" s="69"/>
      <c r="AB70" s="118"/>
      <c r="AC70" s="118"/>
      <c r="AD70" s="118"/>
      <c r="AE70" s="69" t="s">
        <v>183</v>
      </c>
      <c r="AF70" s="69" t="s">
        <v>183</v>
      </c>
      <c r="AG70" s="69" t="s">
        <v>255</v>
      </c>
      <c r="AH70" s="69"/>
      <c r="AI70" s="123" t="b">
        <f t="shared" ref="AI70:AI84" si="8">AND(OR(AND($P$6=TRUE,$P70&lt;&gt;""),AND($Q$6=TRUE,$Q70&lt;&gt;""),AND($R$6=TRUE,$R70&lt;&gt;"")),AND($S$6=TRUE,$S70&lt;&gt;""),OR(AND($T$6=TRUE,$T70&lt;&gt;""),AND($U$6=TRUE,$U70&lt;&gt;""),AND($V$6=TRUE,$V70&lt;&gt;""),AND($W$6=TRUE,$W70&lt;&gt;""),AND($X$6=TRUE,$X70&lt;&gt;""),AND($Y$6=TRUE,$Y70&lt;&gt;""),AND($Z$6=TRUE,$Z70&lt;&gt;""),AND($AA$6=TRUE,$AA70&lt;&gt;""),AND($AB$6=TRUE,$AB70&lt;&gt;""),AND($AC$6=TRUE,$AC70&lt;&gt;""),AND($AD$6=TRUE,$AD70&lt;&gt;"")),OR(AND($AE$6=TRUE,$AE70&lt;&gt;""),AND($AF$6=TRUE,$AF70&lt;&gt;""),AND($AG$6=TRUE,$AG70&lt;&gt;""),AND($AH$6=TRUE,$AH70&lt;&gt;"")))</f>
        <v>0</v>
      </c>
      <c r="AJ70" s="123"/>
      <c r="AK70" s="123"/>
      <c r="AL70" s="123"/>
      <c r="AM70" s="123"/>
      <c r="AN70" s="170" t="str">
        <f t="shared" ref="AN70:AN82" si="9">IF(AJ70&lt;&gt;"","セキュリティ管理/","")&amp;IF(AK70&lt;&gt;"","マルウェア/","")&amp;IF(AL70&lt;&gt;"","クラウド/","")&amp;IF(AM70&lt;&gt;"","別表1,2,3","")</f>
        <v/>
      </c>
      <c r="AO70" s="123"/>
    </row>
    <row r="71" spans="1:41" ht="45">
      <c r="A71" s="52"/>
      <c r="B71" s="58"/>
      <c r="C71" s="71" t="s">
        <v>1186</v>
      </c>
      <c r="D71" s="71" t="s">
        <v>439</v>
      </c>
      <c r="E71" s="91" t="s">
        <v>940</v>
      </c>
      <c r="F71" s="91" t="s">
        <v>1048</v>
      </c>
      <c r="G71" s="92" t="s">
        <v>254</v>
      </c>
      <c r="H71" s="61"/>
      <c r="I71" s="107"/>
      <c r="J71" s="60"/>
      <c r="K71" s="60"/>
      <c r="L71" s="60"/>
      <c r="M71" s="123"/>
      <c r="N71" s="243"/>
      <c r="O71" s="111" cm="1">
        <f t="array" ref="O71">IF(AI71=TRUE,_xlfn.IFS(M71=1,2,M71="",IF(N71="",1,2)),0)</f>
        <v>0</v>
      </c>
      <c r="P71" s="69" t="s">
        <v>255</v>
      </c>
      <c r="Q71" s="69" t="s">
        <v>255</v>
      </c>
      <c r="R71" s="69" t="s">
        <v>255</v>
      </c>
      <c r="S71" s="69" t="s">
        <v>255</v>
      </c>
      <c r="T71" s="118" t="s">
        <v>183</v>
      </c>
      <c r="U71" s="118"/>
      <c r="V71" s="118"/>
      <c r="W71" s="118"/>
      <c r="X71" s="118"/>
      <c r="Y71" s="69"/>
      <c r="Z71" s="69"/>
      <c r="AA71" s="118"/>
      <c r="AB71" s="118"/>
      <c r="AC71" s="118"/>
      <c r="AD71" s="118"/>
      <c r="AE71" s="69" t="s">
        <v>183</v>
      </c>
      <c r="AF71" s="69" t="s">
        <v>183</v>
      </c>
      <c r="AG71" s="69" t="s">
        <v>255</v>
      </c>
      <c r="AH71" s="69"/>
      <c r="AI71" s="123" t="b">
        <f t="shared" si="8"/>
        <v>0</v>
      </c>
      <c r="AJ71" s="123"/>
      <c r="AK71" s="123"/>
      <c r="AL71" s="123"/>
      <c r="AM71" s="123"/>
      <c r="AN71" s="170" t="str">
        <f t="shared" si="9"/>
        <v/>
      </c>
      <c r="AO71" s="123"/>
    </row>
    <row r="72" spans="1:41" ht="112.5">
      <c r="A72" s="52"/>
      <c r="B72" s="58"/>
      <c r="C72" s="71" t="s">
        <v>1187</v>
      </c>
      <c r="D72" s="71" t="s">
        <v>441</v>
      </c>
      <c r="E72" s="91" t="str">
        <f>'インフラ(自社DC)'!E65</f>
        <v>NWセグメントを、業務内容や取り扱う情報区分ごとに分離（サーバセグメント、運用管理セグメント、ユーザセグメント（必要に応じ部署毎）等）しているか。
また、サーバセグメントの中でも、サービスの種類や重要度に合わせて更に分離し、セグメント間の通信を最小限のサービスのみに制限しているか。</v>
      </c>
      <c r="F72" s="91" t="s">
        <v>1181</v>
      </c>
      <c r="G72" s="92" t="s">
        <v>254</v>
      </c>
      <c r="H72" s="61"/>
      <c r="I72" s="107"/>
      <c r="J72" s="60"/>
      <c r="K72" s="60"/>
      <c r="L72" s="60"/>
      <c r="M72" s="123"/>
      <c r="N72" s="243"/>
      <c r="O72" s="111" cm="1">
        <f t="array" ref="O72">IF(AI72=TRUE,_xlfn.IFS(M72=1,2,M72="",IF(N72="",1,2)),0)</f>
        <v>0</v>
      </c>
      <c r="P72" s="69" t="s">
        <v>255</v>
      </c>
      <c r="Q72" s="69" t="s">
        <v>255</v>
      </c>
      <c r="R72" s="69" t="s">
        <v>255</v>
      </c>
      <c r="S72" s="69" t="s">
        <v>183</v>
      </c>
      <c r="T72" s="118" t="s">
        <v>255</v>
      </c>
      <c r="U72" s="118"/>
      <c r="V72" s="118"/>
      <c r="W72" s="118"/>
      <c r="X72" s="118" t="s">
        <v>448</v>
      </c>
      <c r="Y72" s="69"/>
      <c r="Z72" s="69"/>
      <c r="AA72" s="69"/>
      <c r="AB72" s="118"/>
      <c r="AC72" s="118"/>
      <c r="AD72" s="118"/>
      <c r="AE72" s="69" t="s">
        <v>183</v>
      </c>
      <c r="AF72" s="69" t="s">
        <v>183</v>
      </c>
      <c r="AG72" s="69" t="s">
        <v>255</v>
      </c>
      <c r="AH72" s="69"/>
      <c r="AI72" s="123" t="b">
        <f t="shared" si="8"/>
        <v>0</v>
      </c>
      <c r="AJ72" s="123"/>
      <c r="AK72" s="123" t="s">
        <v>183</v>
      </c>
      <c r="AL72" s="123"/>
      <c r="AM72" s="123"/>
      <c r="AN72" s="170" t="str">
        <f t="shared" si="9"/>
        <v>マルウェア/</v>
      </c>
      <c r="AO72" s="123"/>
    </row>
    <row r="73" spans="1:41" ht="315">
      <c r="A73" s="52"/>
      <c r="B73" s="58"/>
      <c r="C73" s="71" t="s">
        <v>1189</v>
      </c>
      <c r="D73" s="71" t="s">
        <v>443</v>
      </c>
      <c r="E73" s="91" t="str">
        <f>'インフラ(自社DC)'!E66</f>
        <v>インターネットからアクセスを受けるシステムに関しては、DoS、DDoS攻撃に対して、以下の通り帯域幅消費攻撃とシステム資源消費攻撃の双方の対策を行っているか。
なお、アウトソースシステムにおいては、当社へのサービス提供に直接用いていない共用箇所も含み上記の対策ができているか。（詳細は当セルのコメントを参照）
・可能な限りインターネットに近い位置での対策（オンプレよりもISPやCDN、スクラビングセンターなど）
・システム停止時の影響が大きなシステムに おいては、被害を受けた場合の影響を極小化できる構成と緩和策を導入
・無線LANを構築する場合、管理フレームを悪用した通信妨害攻撃対策（IEEE802.11w規格）などの保護対策を導入
・サービスの可用性が高い水準で要求されるシステムや、企業ブランドに関わるコーポレートサイトといった、アクセス不通時の影響が大きなシステムにおいては、DNSサーバーについてもDDos対策を実施</v>
      </c>
      <c r="F73" s="91" t="s">
        <v>1183</v>
      </c>
      <c r="G73" s="92" t="s">
        <v>254</v>
      </c>
      <c r="H73" s="61"/>
      <c r="I73" s="107"/>
      <c r="J73" s="60"/>
      <c r="K73" s="60"/>
      <c r="L73" s="60"/>
      <c r="M73" s="123"/>
      <c r="N73" s="243"/>
      <c r="O73" s="111" cm="1">
        <f t="array" ref="O73">IF(AI73=TRUE,_xlfn.IFS(M73=1,2,M73="",IF(N73="",1,2)),0)</f>
        <v>0</v>
      </c>
      <c r="P73" s="69" t="s">
        <v>255</v>
      </c>
      <c r="Q73" s="69" t="s">
        <v>183</v>
      </c>
      <c r="R73" s="69" t="s">
        <v>183</v>
      </c>
      <c r="S73" s="69" t="s">
        <v>183</v>
      </c>
      <c r="T73" s="118" t="s">
        <v>183</v>
      </c>
      <c r="U73" s="118"/>
      <c r="V73" s="118"/>
      <c r="W73" s="118"/>
      <c r="X73" s="118" t="s">
        <v>448</v>
      </c>
      <c r="Y73" s="69"/>
      <c r="Z73" s="69"/>
      <c r="AA73" s="69"/>
      <c r="AB73" s="118"/>
      <c r="AC73" s="118"/>
      <c r="AD73" s="118"/>
      <c r="AE73" s="69"/>
      <c r="AF73" s="69" t="s">
        <v>183</v>
      </c>
      <c r="AG73" s="69"/>
      <c r="AH73" s="69"/>
      <c r="AI73" s="123" t="b">
        <f t="shared" si="8"/>
        <v>0</v>
      </c>
      <c r="AJ73" s="123"/>
      <c r="AK73" s="123"/>
      <c r="AL73" s="123"/>
      <c r="AM73" s="123"/>
      <c r="AN73" s="170" t="str">
        <f t="shared" si="9"/>
        <v/>
      </c>
      <c r="AO73" s="123"/>
    </row>
    <row r="74" spans="1:41" ht="405">
      <c r="A74" s="52"/>
      <c r="B74" s="58"/>
      <c r="C74" s="71" t="s">
        <v>1190</v>
      </c>
      <c r="D74" s="71" t="s">
        <v>446</v>
      </c>
      <c r="E74" s="91" t="str">
        <f>'インフラ(自社DC)'!E67</f>
        <v>「対応ランクAシステム」または「対応ランクB-1システムの中でも重要情報(※1)を大量に保有もしくは通信し、かつ漏洩時の影響が甚大なシステム」は24365でSOC監視可能な「ファイアウォール、IPS、WAF(※2)」を導入(※3)するとともに、お客様へ公開する資源に対する改ざん検知機能を実装しているか。
（※1）重要情報の定義は情報セキュリティ管理マニュアルを参照すること。
（※2）WAFは以下要件を満たすものを導入すること
・インシデント検知時にSOCから担当者へ電話とメールで連絡が来る仕組みとなっている
・インシデントの内容を技術的な知見を持ったアナリストが詳細解析できる
・カスタムシグネチャを作る機能と運用体制を有している
・誤検知や誤遮断が生じた際に、URL×シグネチャベースで、検知除外のチューニングが行える
・HTTPリクエストだけでなくレスポンスも含めて監視可能
（※3）当社オンプレシステムにおいては、セキュアドGWを経由して接続すること。アウトソースシステムでは同等の仕組みの構築が必要である。外部からのHTTP/HTTPS通信を受ける場合はWAFを必須とし、その他のプロトコルの通信を受ける場合はIPS（IDSは不可）を必須とする</v>
      </c>
      <c r="F74" s="91" t="s">
        <v>1184</v>
      </c>
      <c r="G74" s="92" t="s">
        <v>254</v>
      </c>
      <c r="H74" s="61"/>
      <c r="I74" s="107"/>
      <c r="J74" s="60"/>
      <c r="K74" s="60"/>
      <c r="L74" s="60"/>
      <c r="M74" s="123"/>
      <c r="N74" s="243"/>
      <c r="O74" s="111" cm="1">
        <f t="array" ref="O74">IF(AI74=TRUE,_xlfn.IFS(M74=1,2,M74="",IF(N74="",1,2)),0)</f>
        <v>0</v>
      </c>
      <c r="P74" s="69" t="s">
        <v>255</v>
      </c>
      <c r="Q74" s="69" t="s">
        <v>183</v>
      </c>
      <c r="R74" s="69" t="s">
        <v>183</v>
      </c>
      <c r="S74" s="69" t="s">
        <v>183</v>
      </c>
      <c r="T74" s="69" t="s">
        <v>183</v>
      </c>
      <c r="U74" s="118"/>
      <c r="V74" s="118"/>
      <c r="W74" s="118"/>
      <c r="X74" s="118" t="s">
        <v>448</v>
      </c>
      <c r="Y74" s="69"/>
      <c r="Z74" s="69"/>
      <c r="AA74" s="69"/>
      <c r="AB74" s="118"/>
      <c r="AC74" s="118"/>
      <c r="AD74" s="118"/>
      <c r="AE74" s="69"/>
      <c r="AF74" s="69" t="s">
        <v>183</v>
      </c>
      <c r="AG74" s="69"/>
      <c r="AH74" s="69"/>
      <c r="AI74" s="123" t="b">
        <f t="shared" si="8"/>
        <v>0</v>
      </c>
      <c r="AJ74" s="123"/>
      <c r="AK74" s="123"/>
      <c r="AL74" s="123"/>
      <c r="AM74" s="123"/>
      <c r="AN74" s="170" t="str">
        <f t="shared" si="9"/>
        <v/>
      </c>
      <c r="AO74" s="124" t="s">
        <v>2204</v>
      </c>
    </row>
    <row r="75" spans="1:41" ht="22.5">
      <c r="A75" s="52"/>
      <c r="B75" s="58"/>
      <c r="C75" s="71" t="s">
        <v>1192</v>
      </c>
      <c r="D75" s="71" t="s">
        <v>817</v>
      </c>
      <c r="E75" s="91" t="str">
        <f>'インフラ(自社DC)'!E68</f>
        <v>IPS等セキュリティ機器の定義ファイル、検知ルールなどの最適化を実施しているか</v>
      </c>
      <c r="F75" s="99" t="s">
        <v>1120</v>
      </c>
      <c r="G75" s="92" t="s">
        <v>254</v>
      </c>
      <c r="H75" s="61"/>
      <c r="I75" s="107"/>
      <c r="J75" s="60"/>
      <c r="K75" s="60"/>
      <c r="L75" s="60"/>
      <c r="M75" s="123"/>
      <c r="N75" s="243"/>
      <c r="O75" s="111" cm="1">
        <f t="array" ref="O75">IF(AI75=TRUE,_xlfn.IFS(M75=1,2,M75="",IF(N75="",1,2)),0)</f>
        <v>0</v>
      </c>
      <c r="P75" s="69" t="s">
        <v>255</v>
      </c>
      <c r="Q75" s="69" t="s">
        <v>183</v>
      </c>
      <c r="R75" s="69" t="s">
        <v>183</v>
      </c>
      <c r="S75" s="69" t="s">
        <v>183</v>
      </c>
      <c r="T75" s="118" t="s">
        <v>183</v>
      </c>
      <c r="U75" s="118"/>
      <c r="V75" s="118"/>
      <c r="W75" s="118"/>
      <c r="X75" s="118" t="s">
        <v>448</v>
      </c>
      <c r="Y75" s="69"/>
      <c r="Z75" s="69"/>
      <c r="AA75" s="69"/>
      <c r="AB75" s="118"/>
      <c r="AC75" s="118"/>
      <c r="AD75" s="118"/>
      <c r="AE75" s="69"/>
      <c r="AF75" s="69" t="s">
        <v>183</v>
      </c>
      <c r="AG75" s="69"/>
      <c r="AH75" s="69"/>
      <c r="AI75" s="123" t="b">
        <f t="shared" si="8"/>
        <v>0</v>
      </c>
      <c r="AJ75" s="123"/>
      <c r="AK75" s="123"/>
      <c r="AL75" s="123"/>
      <c r="AM75" s="123"/>
      <c r="AN75" s="170" t="str">
        <f t="shared" si="9"/>
        <v/>
      </c>
      <c r="AO75" s="123"/>
    </row>
    <row r="76" spans="1:41" ht="112.5">
      <c r="A76" s="52"/>
      <c r="B76" s="58"/>
      <c r="C76" s="71" t="s">
        <v>1194</v>
      </c>
      <c r="D76" s="71" t="s">
        <v>820</v>
      </c>
      <c r="E76" s="91" t="str">
        <f>'インフラ(自社DC)'!E69</f>
        <v xml:space="preserve">外部から直接アクセスを受けるサーバ（公開サーバ／専用機等）をDMZに、
情報を保有するサーバ（非公開サーバ）を内部セグメントにそれぞれ配置し、インターネットとDMZの境界、およびDMZと内部セグメントの境界にファイアウォールを導入してセグメント間の通信を必要最小限に制限しているか
</v>
      </c>
      <c r="F76" s="99" t="s">
        <v>1120</v>
      </c>
      <c r="G76" s="92" t="s">
        <v>254</v>
      </c>
      <c r="H76" s="61"/>
      <c r="I76" s="107"/>
      <c r="J76" s="60"/>
      <c r="K76" s="60"/>
      <c r="L76" s="60"/>
      <c r="M76" s="123"/>
      <c r="N76" s="243"/>
      <c r="O76" s="111" cm="1">
        <f t="array" ref="O76">IF(AI76=TRUE,_xlfn.IFS(M76=1,2,M76="",IF(N76="",1,2)),0)</f>
        <v>0</v>
      </c>
      <c r="P76" s="69" t="s">
        <v>255</v>
      </c>
      <c r="Q76" s="69" t="s">
        <v>183</v>
      </c>
      <c r="R76" s="69" t="s">
        <v>183</v>
      </c>
      <c r="S76" s="69" t="s">
        <v>183</v>
      </c>
      <c r="T76" s="118" t="s">
        <v>183</v>
      </c>
      <c r="U76" s="118"/>
      <c r="V76" s="118"/>
      <c r="W76" s="118"/>
      <c r="X76" s="118" t="s">
        <v>448</v>
      </c>
      <c r="Y76" s="69"/>
      <c r="Z76" s="69"/>
      <c r="AA76" s="69"/>
      <c r="AB76" s="69"/>
      <c r="AC76" s="69"/>
      <c r="AD76" s="69"/>
      <c r="AE76" s="69"/>
      <c r="AF76" s="69" t="s">
        <v>183</v>
      </c>
      <c r="AG76" s="69"/>
      <c r="AH76" s="69"/>
      <c r="AI76" s="123" t="b">
        <f t="shared" si="8"/>
        <v>0</v>
      </c>
      <c r="AJ76" s="123"/>
      <c r="AK76" s="123"/>
      <c r="AL76" s="123"/>
      <c r="AM76" s="123"/>
      <c r="AN76" s="170" t="str">
        <f t="shared" si="9"/>
        <v/>
      </c>
      <c r="AO76" s="123" t="s">
        <v>504</v>
      </c>
    </row>
    <row r="77" spans="1:41" ht="112.5">
      <c r="A77" s="52"/>
      <c r="B77" s="58"/>
      <c r="C77" s="71" t="s">
        <v>1195</v>
      </c>
      <c r="D77" s="71" t="s">
        <v>822</v>
      </c>
      <c r="E77" s="91" t="str">
        <f>'インフラ(自社DC)'!E70</f>
        <v>顧客情報や決済情報を保管する DB サーバーへのネットワーク経由及び物理的なアクセス を、業務上必要な対象のみに制限できているか。
特に、マイナンバー（法人番号は含まない）を保管するシステムについては必須とする。</v>
      </c>
      <c r="F77" s="91" t="s">
        <v>1188</v>
      </c>
      <c r="G77" s="92" t="s">
        <v>254</v>
      </c>
      <c r="H77" s="61"/>
      <c r="I77" s="107"/>
      <c r="J77" s="60"/>
      <c r="K77" s="60"/>
      <c r="L77" s="60"/>
      <c r="M77" s="123"/>
      <c r="N77" s="243"/>
      <c r="O77" s="111" cm="1">
        <f t="array" ref="O77">IF(AI77=TRUE,_xlfn.IFS(M77=1,2,M77="",IF(N77="",1,2)),0)</f>
        <v>0</v>
      </c>
      <c r="P77" s="69" t="s">
        <v>255</v>
      </c>
      <c r="Q77" s="69" t="s">
        <v>183</v>
      </c>
      <c r="R77" s="69" t="s">
        <v>183</v>
      </c>
      <c r="S77" s="69" t="s">
        <v>183</v>
      </c>
      <c r="T77" s="118" t="s">
        <v>183</v>
      </c>
      <c r="U77" s="118"/>
      <c r="V77" s="118"/>
      <c r="W77" s="118"/>
      <c r="X77" s="118" t="s">
        <v>448</v>
      </c>
      <c r="Y77" s="69"/>
      <c r="Z77" s="69"/>
      <c r="AA77" s="69"/>
      <c r="AB77" s="118"/>
      <c r="AC77" s="118" t="s">
        <v>183</v>
      </c>
      <c r="AD77" s="118"/>
      <c r="AE77" s="69" t="s">
        <v>183</v>
      </c>
      <c r="AF77" s="69" t="s">
        <v>183</v>
      </c>
      <c r="AG77" s="69"/>
      <c r="AH77" s="69"/>
      <c r="AI77" s="123" t="b">
        <f t="shared" si="8"/>
        <v>0</v>
      </c>
      <c r="AJ77" s="123"/>
      <c r="AK77" s="123"/>
      <c r="AL77" s="123"/>
      <c r="AM77" s="123"/>
      <c r="AN77" s="170" t="str">
        <f t="shared" si="9"/>
        <v/>
      </c>
      <c r="AO77" s="123"/>
    </row>
    <row r="78" spans="1:41" ht="45">
      <c r="A78" s="52"/>
      <c r="B78" s="58"/>
      <c r="C78" s="71" t="s">
        <v>2137</v>
      </c>
      <c r="D78" s="71" t="s">
        <v>824</v>
      </c>
      <c r="E78" s="91" t="str">
        <f>'インフラ(自社DC)'!E73</f>
        <v>リモートアクセスサーバーにより内部セグメントに対し接続できる場合、適切なアクセス制限が設けられているか</v>
      </c>
      <c r="F78" s="99" t="s">
        <v>1120</v>
      </c>
      <c r="G78" s="92" t="s">
        <v>254</v>
      </c>
      <c r="H78" s="61"/>
      <c r="I78" s="107"/>
      <c r="J78" s="60"/>
      <c r="K78" s="60"/>
      <c r="L78" s="60"/>
      <c r="M78" s="123"/>
      <c r="N78" s="243"/>
      <c r="O78" s="111" cm="1">
        <f t="array" ref="O78">IF(AI78=TRUE,_xlfn.IFS(M78=1,2,M78="",IF(N78="",1,2)),0)</f>
        <v>0</v>
      </c>
      <c r="P78" s="69" t="s">
        <v>255</v>
      </c>
      <c r="Q78" s="69" t="s">
        <v>183</v>
      </c>
      <c r="R78" s="69" t="s">
        <v>183</v>
      </c>
      <c r="S78" s="69" t="s">
        <v>183</v>
      </c>
      <c r="T78" s="118" t="s">
        <v>183</v>
      </c>
      <c r="U78" s="118"/>
      <c r="V78" s="118"/>
      <c r="W78" s="118"/>
      <c r="X78" s="118" t="s">
        <v>448</v>
      </c>
      <c r="Y78" s="69"/>
      <c r="Z78" s="69"/>
      <c r="AA78" s="69"/>
      <c r="AB78" s="118"/>
      <c r="AC78" s="118"/>
      <c r="AD78" s="118"/>
      <c r="AE78" s="69" t="s">
        <v>183</v>
      </c>
      <c r="AF78" s="69" t="s">
        <v>183</v>
      </c>
      <c r="AG78" s="69"/>
      <c r="AH78" s="69"/>
      <c r="AI78" s="123" t="b">
        <f t="shared" si="8"/>
        <v>0</v>
      </c>
      <c r="AJ78" s="123"/>
      <c r="AK78" s="123"/>
      <c r="AL78" s="123"/>
      <c r="AM78" s="123"/>
      <c r="AN78" s="170" t="str">
        <f t="shared" si="9"/>
        <v/>
      </c>
      <c r="AO78" s="123"/>
    </row>
    <row r="79" spans="1:41" ht="22.5">
      <c r="A79" s="52"/>
      <c r="B79" s="58"/>
      <c r="C79" s="71" t="s">
        <v>1197</v>
      </c>
      <c r="D79" s="71" t="s">
        <v>826</v>
      </c>
      <c r="E79" s="91" t="str">
        <f>'インフラ(自社DC)'!E74</f>
        <v>データセンター間を接続するネットワークは閉域網を利用しているか</v>
      </c>
      <c r="F79" s="91" t="s">
        <v>1191</v>
      </c>
      <c r="G79" s="92" t="s">
        <v>254</v>
      </c>
      <c r="H79" s="61"/>
      <c r="I79" s="107"/>
      <c r="J79" s="60"/>
      <c r="K79" s="60"/>
      <c r="L79" s="60"/>
      <c r="M79" s="123"/>
      <c r="N79" s="243"/>
      <c r="O79" s="111" cm="1">
        <f t="array" ref="O79">IF(AI79=TRUE,_xlfn.IFS(M79=1,2,M79="",IF(N79="",1,2)),0)</f>
        <v>0</v>
      </c>
      <c r="P79" s="69" t="s">
        <v>255</v>
      </c>
      <c r="Q79" s="69" t="s">
        <v>183</v>
      </c>
      <c r="R79" s="69" t="s">
        <v>183</v>
      </c>
      <c r="S79" s="69" t="s">
        <v>183</v>
      </c>
      <c r="T79" s="118" t="s">
        <v>183</v>
      </c>
      <c r="U79" s="118"/>
      <c r="V79" s="118"/>
      <c r="W79" s="118"/>
      <c r="X79" s="118" t="s">
        <v>448</v>
      </c>
      <c r="Y79" s="69"/>
      <c r="Z79" s="69"/>
      <c r="AA79" s="69"/>
      <c r="AB79" s="118"/>
      <c r="AC79" s="118"/>
      <c r="AD79" s="118"/>
      <c r="AE79" s="69" t="s">
        <v>183</v>
      </c>
      <c r="AF79" s="69" t="s">
        <v>183</v>
      </c>
      <c r="AG79" s="69"/>
      <c r="AH79" s="69"/>
      <c r="AI79" s="123" t="b">
        <f t="shared" si="8"/>
        <v>0</v>
      </c>
      <c r="AJ79" s="123"/>
      <c r="AK79" s="123"/>
      <c r="AL79" s="123"/>
      <c r="AM79" s="123"/>
      <c r="AN79" s="170" t="str">
        <f t="shared" si="9"/>
        <v/>
      </c>
      <c r="AO79" s="123"/>
    </row>
    <row r="80" spans="1:41" ht="157.5">
      <c r="A80" s="52"/>
      <c r="B80" s="58"/>
      <c r="C80" s="71" t="s">
        <v>1198</v>
      </c>
      <c r="D80" s="71" t="s">
        <v>829</v>
      </c>
      <c r="E80" s="91" t="str">
        <f>'インフラ(自社DC)'!E75</f>
        <v>利用していない機能を悪用した不正アクセスを防止するため、不要な通信を遮断し、必要最小限の通信のみを許可するよう設定しているか。
特に、インターネットからアクセスを直接受けるNW機器やサーバーについては、リフレクション攻撃の踏み台にされるケースがあるため、通信要件を限定すること。
（補足：特にtelnet、FTP、HTTP、NetBIOS、Windowsファイル共有（SMB/CIFS）等のサービス、およびリフレクション攻撃に使われやすい外部からのDNSリクエストや、SNMP、NTP、SSDP等のUDP通信）</v>
      </c>
      <c r="F80" s="99" t="s">
        <v>1193</v>
      </c>
      <c r="G80" s="92" t="s">
        <v>254</v>
      </c>
      <c r="H80" s="61"/>
      <c r="I80" s="107"/>
      <c r="J80" s="60"/>
      <c r="K80" s="60"/>
      <c r="L80" s="60"/>
      <c r="M80" s="123"/>
      <c r="N80" s="243"/>
      <c r="O80" s="111" cm="1">
        <f t="array" ref="O80">IF(AI80=TRUE,_xlfn.IFS(M80=1,2,M80="",IF(N80="",1,2)),0)</f>
        <v>0</v>
      </c>
      <c r="P80" s="69" t="s">
        <v>255</v>
      </c>
      <c r="Q80" s="69" t="s">
        <v>183</v>
      </c>
      <c r="R80" s="69" t="s">
        <v>183</v>
      </c>
      <c r="S80" s="69" t="s">
        <v>183</v>
      </c>
      <c r="T80" s="118" t="s">
        <v>183</v>
      </c>
      <c r="U80" s="118"/>
      <c r="V80" s="118"/>
      <c r="W80" s="118"/>
      <c r="X80" s="118" t="s">
        <v>448</v>
      </c>
      <c r="Y80" s="69"/>
      <c r="Z80" s="69"/>
      <c r="AA80" s="69"/>
      <c r="AB80" s="118"/>
      <c r="AC80" s="118"/>
      <c r="AD80" s="118"/>
      <c r="AE80" s="69" t="s">
        <v>183</v>
      </c>
      <c r="AF80" s="69" t="s">
        <v>183</v>
      </c>
      <c r="AG80" s="69"/>
      <c r="AH80" s="69"/>
      <c r="AI80" s="123" t="b">
        <f t="shared" si="8"/>
        <v>0</v>
      </c>
      <c r="AJ80" s="123"/>
      <c r="AK80" s="123"/>
      <c r="AL80" s="123"/>
      <c r="AM80" s="123"/>
      <c r="AN80" s="170" t="str">
        <f t="shared" si="9"/>
        <v/>
      </c>
      <c r="AO80" s="123" t="s">
        <v>547</v>
      </c>
    </row>
    <row r="81" spans="1:41" ht="135">
      <c r="A81" s="52"/>
      <c r="B81" s="58"/>
      <c r="C81" s="71" t="s">
        <v>1200</v>
      </c>
      <c r="D81" s="71" t="s">
        <v>832</v>
      </c>
      <c r="E81" s="91" t="str">
        <f>'インフラ(自社DC)'!E76</f>
        <v>メンテナンス用ポート（SSH（Secure Shell）、RDP（Remote Desktop Protocol）、FTP（File Transfer Protocol） 等）について、外部からの通信をファイアウォールで遮断し、接続できる端末をIPアドレスやクライアント証明書等で制限しているか。
また、当該サービス自体を利用していない場合には、サービスの停止または削除を行っているか。</v>
      </c>
      <c r="F81" s="99" t="s">
        <v>1120</v>
      </c>
      <c r="G81" s="92" t="s">
        <v>254</v>
      </c>
      <c r="H81" s="61"/>
      <c r="I81" s="107"/>
      <c r="J81" s="60"/>
      <c r="K81" s="60"/>
      <c r="L81" s="60"/>
      <c r="M81" s="123"/>
      <c r="N81" s="243"/>
      <c r="O81" s="111" cm="1">
        <f t="array" ref="O81">IF(AI81=TRUE,_xlfn.IFS(M81=1,2,M81="",IF(N81="",1,2)),0)</f>
        <v>0</v>
      </c>
      <c r="P81" s="69" t="s">
        <v>255</v>
      </c>
      <c r="Q81" s="69" t="s">
        <v>183</v>
      </c>
      <c r="R81" s="69" t="s">
        <v>183</v>
      </c>
      <c r="S81" s="69" t="s">
        <v>183</v>
      </c>
      <c r="T81" s="118" t="s">
        <v>183</v>
      </c>
      <c r="U81" s="118"/>
      <c r="V81" s="118"/>
      <c r="W81" s="118"/>
      <c r="X81" s="118" t="s">
        <v>448</v>
      </c>
      <c r="Y81" s="69"/>
      <c r="Z81" s="69"/>
      <c r="AA81" s="69"/>
      <c r="AB81" s="118"/>
      <c r="AC81" s="118"/>
      <c r="AD81" s="118"/>
      <c r="AE81" s="69" t="s">
        <v>183</v>
      </c>
      <c r="AF81" s="69" t="s">
        <v>183</v>
      </c>
      <c r="AG81" s="69"/>
      <c r="AH81" s="69"/>
      <c r="AI81" s="123" t="b">
        <f t="shared" si="8"/>
        <v>0</v>
      </c>
      <c r="AJ81" s="123"/>
      <c r="AK81" s="123"/>
      <c r="AL81" s="123"/>
      <c r="AM81" s="123"/>
      <c r="AN81" s="170" t="str">
        <f t="shared" si="9"/>
        <v/>
      </c>
      <c r="AO81" s="123"/>
    </row>
    <row r="82" spans="1:41" ht="22.5">
      <c r="A82" s="52"/>
      <c r="B82" s="58"/>
      <c r="C82" s="71" t="s">
        <v>1201</v>
      </c>
      <c r="D82" s="71" t="s">
        <v>835</v>
      </c>
      <c r="E82" s="91" t="str">
        <f>'インフラ(自社DC)'!E77</f>
        <v>システム運用業務で利用するメールアドレスにフリーメールを利用しない設計となっているか</v>
      </c>
      <c r="F82" s="99" t="s">
        <v>1151</v>
      </c>
      <c r="G82" s="92" t="s">
        <v>254</v>
      </c>
      <c r="H82" s="61"/>
      <c r="I82" s="107"/>
      <c r="J82" s="60"/>
      <c r="K82" s="60"/>
      <c r="L82" s="60"/>
      <c r="M82" s="123"/>
      <c r="N82" s="243"/>
      <c r="O82" s="111" cm="1">
        <f t="array" ref="O82">IF(AI82=TRUE,_xlfn.IFS(M82=1,2,M82="",IF(N82="",1,2)),0)</f>
        <v>0</v>
      </c>
      <c r="P82" s="69" t="s">
        <v>255</v>
      </c>
      <c r="Q82" s="69" t="s">
        <v>183</v>
      </c>
      <c r="R82" s="69" t="s">
        <v>183</v>
      </c>
      <c r="S82" s="69" t="s">
        <v>183</v>
      </c>
      <c r="T82" s="118" t="s">
        <v>183</v>
      </c>
      <c r="U82" s="118"/>
      <c r="V82" s="118"/>
      <c r="W82" s="118"/>
      <c r="X82" s="118" t="s">
        <v>448</v>
      </c>
      <c r="Y82" s="69"/>
      <c r="Z82" s="69"/>
      <c r="AA82" s="69"/>
      <c r="AB82" s="118"/>
      <c r="AC82" s="118"/>
      <c r="AD82" s="118"/>
      <c r="AE82" s="69" t="s">
        <v>183</v>
      </c>
      <c r="AF82" s="69" t="s">
        <v>183</v>
      </c>
      <c r="AG82" s="69"/>
      <c r="AH82" s="69"/>
      <c r="AI82" s="123" t="b">
        <f t="shared" si="8"/>
        <v>0</v>
      </c>
      <c r="AJ82" s="123"/>
      <c r="AK82" s="123"/>
      <c r="AL82" s="123"/>
      <c r="AM82" s="123"/>
      <c r="AN82" s="170" t="str">
        <f t="shared" si="9"/>
        <v/>
      </c>
      <c r="AO82" s="123"/>
    </row>
    <row r="83" spans="1:41" ht="157.5">
      <c r="A83" s="52"/>
      <c r="B83" s="58"/>
      <c r="C83" s="71" t="s">
        <v>1203</v>
      </c>
      <c r="D83" s="71" t="s">
        <v>1069</v>
      </c>
      <c r="E83" s="91" t="str">
        <f>'インフラ(自社DC)'!E80</f>
        <v>社内NWとインターネットとの境界に設置するファイアウォールにおいて、アウトバウンドの通信に対し、以下の要件を踏まえて設計・設定しているか。
・組織内プロキシからの通信のみ許可し、組織内プロキシを経由せずに直接インターネットへ向かう通信は遮断する
・利用する通信ポートを最低限のもの（TCP/443やその他業務で使用するもの等）に設定し、他は遮断する。</v>
      </c>
      <c r="F83" s="126" t="s">
        <v>1120</v>
      </c>
      <c r="G83" s="92" t="s">
        <v>254</v>
      </c>
      <c r="H83" s="61"/>
      <c r="I83" s="107"/>
      <c r="J83" s="60"/>
      <c r="K83" s="60"/>
      <c r="L83" s="60"/>
      <c r="M83" s="123"/>
      <c r="N83" s="243"/>
      <c r="O83" s="111" cm="1">
        <f t="array" ref="O83">IF(AI83=TRUE,_xlfn.IFS(M83=1,2,M83="",IF(N83="",1,2)),0)</f>
        <v>0</v>
      </c>
      <c r="P83" s="69" t="s">
        <v>255</v>
      </c>
      <c r="Q83" s="69" t="s">
        <v>183</v>
      </c>
      <c r="R83" s="69" t="s">
        <v>183</v>
      </c>
      <c r="S83" s="69" t="s">
        <v>183</v>
      </c>
      <c r="T83" s="118" t="s">
        <v>183</v>
      </c>
      <c r="U83" s="118"/>
      <c r="V83" s="118"/>
      <c r="W83" s="118"/>
      <c r="X83" s="118" t="s">
        <v>448</v>
      </c>
      <c r="Y83" s="69"/>
      <c r="Z83" s="69"/>
      <c r="AA83" s="69"/>
      <c r="AB83" s="118"/>
      <c r="AC83" s="118"/>
      <c r="AD83" s="118"/>
      <c r="AE83" s="69" t="s">
        <v>255</v>
      </c>
      <c r="AF83" s="69" t="s">
        <v>255</v>
      </c>
      <c r="AG83" s="69"/>
      <c r="AH83" s="69"/>
      <c r="AI83" s="123" t="b">
        <f t="shared" si="8"/>
        <v>0</v>
      </c>
      <c r="AJ83" s="123"/>
      <c r="AK83" s="123"/>
      <c r="AL83" s="123"/>
      <c r="AM83" s="123"/>
      <c r="AN83" s="170" t="str">
        <f t="shared" ref="AN83" si="10">IF(AJ83&lt;&gt;"","セキュリティ管理/","")&amp;IF(AK83&lt;&gt;"","マルウェア/","")&amp;IF(AL83&lt;&gt;"","クラウド/","")&amp;IF(AM83&lt;&gt;"","別表1,2,3","")</f>
        <v/>
      </c>
      <c r="AO83" s="124" t="s">
        <v>2233</v>
      </c>
    </row>
    <row r="84" spans="1:41" ht="270">
      <c r="A84" s="52"/>
      <c r="B84" s="58"/>
      <c r="C84" s="71" t="s">
        <v>1204</v>
      </c>
      <c r="D84" s="196" t="s">
        <v>1072</v>
      </c>
      <c r="E84" s="91" t="str">
        <f>'インフラ(自社DC)'!E81</f>
        <v>構築対象のサーバや端末などの資源からのインターネットへの通信は、組織内のプロキシを使用して以下の通り制御するようにしているか。
・Webフィルタリングのホワイトリストに業務上必須のサイトを登録（万が一マルウェア感染によりインターネット経路の通信を遮断した時にも、必要なサイトの通信を継続できるようにするため）
・ カテゴリフィルタやブラックリストを用いた以下のサイトの制限
　- 業務上必要のないサイト
　- 業務利用に不適切なサイト(情報の不正な持ち出しに利用され得る、Webメールやストレージサービス等)
　- 不審なサイト(ウイルス感染のリスクが高いと思われるサイトや、マルウェアのコントロールに使われていそうなサイト等)</v>
      </c>
      <c r="F84" s="126" t="s">
        <v>1120</v>
      </c>
      <c r="G84" s="92" t="s">
        <v>254</v>
      </c>
      <c r="H84" s="61"/>
      <c r="I84" s="107"/>
      <c r="J84" s="60"/>
      <c r="K84" s="60"/>
      <c r="L84" s="60"/>
      <c r="M84" s="123"/>
      <c r="N84" s="243"/>
      <c r="O84" s="111" cm="1">
        <f t="array" ref="O84">IF(AI84=TRUE,_xlfn.IFS(M84=1,2,M84="",IF(N84="",1,2)),0)</f>
        <v>0</v>
      </c>
      <c r="P84" s="69" t="s">
        <v>255</v>
      </c>
      <c r="Q84" s="69" t="s">
        <v>183</v>
      </c>
      <c r="R84" s="69" t="s">
        <v>183</v>
      </c>
      <c r="S84" s="69" t="s">
        <v>183</v>
      </c>
      <c r="T84" s="118" t="s">
        <v>183</v>
      </c>
      <c r="U84" s="118"/>
      <c r="V84" s="118"/>
      <c r="W84" s="118"/>
      <c r="X84" s="118" t="s">
        <v>448</v>
      </c>
      <c r="Y84" s="69"/>
      <c r="Z84" s="69"/>
      <c r="AA84" s="69"/>
      <c r="AB84" s="118"/>
      <c r="AC84" s="118"/>
      <c r="AD84" s="118"/>
      <c r="AE84" s="69" t="s">
        <v>255</v>
      </c>
      <c r="AF84" s="69" t="s">
        <v>255</v>
      </c>
      <c r="AG84" s="69"/>
      <c r="AH84" s="69"/>
      <c r="AI84" s="123" t="b">
        <f t="shared" si="8"/>
        <v>0</v>
      </c>
      <c r="AJ84" s="123"/>
      <c r="AK84" s="123"/>
      <c r="AL84" s="123"/>
      <c r="AM84" s="123"/>
      <c r="AN84" s="170" t="str">
        <f t="shared" ref="AN84" si="11">IF(AJ84&lt;&gt;"","セキュリティ管理/","")&amp;IF(AK84&lt;&gt;"","マルウェア/","")&amp;IF(AL84&lt;&gt;"","クラウド/","")&amp;IF(AM84&lt;&gt;"","別表1,2,3","")</f>
        <v/>
      </c>
      <c r="AO84" s="124" t="s">
        <v>2225</v>
      </c>
    </row>
    <row r="85" spans="1:41" ht="22.5">
      <c r="A85" s="52" t="s">
        <v>845</v>
      </c>
      <c r="B85" s="52"/>
      <c r="C85" s="113"/>
      <c r="D85" s="113"/>
      <c r="E85" s="77"/>
      <c r="F85" s="77"/>
      <c r="G85" s="56"/>
      <c r="H85" s="56"/>
      <c r="I85" s="77"/>
      <c r="J85" s="56"/>
      <c r="K85" s="56"/>
      <c r="L85" s="56"/>
      <c r="M85" s="114"/>
      <c r="N85" s="249"/>
      <c r="O85" s="249"/>
      <c r="P85" s="114"/>
      <c r="Q85" s="114"/>
      <c r="R85" s="114"/>
      <c r="S85" s="114"/>
      <c r="T85" s="114"/>
      <c r="U85" s="114"/>
      <c r="V85" s="114"/>
      <c r="W85" s="114"/>
      <c r="X85" s="114"/>
      <c r="Y85" s="114"/>
      <c r="Z85" s="114"/>
      <c r="AA85" s="114"/>
      <c r="AB85" s="114"/>
      <c r="AC85" s="114"/>
      <c r="AD85" s="114"/>
      <c r="AE85" s="114"/>
      <c r="AF85" s="114"/>
      <c r="AG85" s="114"/>
      <c r="AH85" s="114"/>
      <c r="AI85" s="114" t="s">
        <v>268</v>
      </c>
      <c r="AJ85" s="114"/>
      <c r="AK85" s="114"/>
      <c r="AL85" s="114"/>
      <c r="AM85" s="114"/>
      <c r="AN85" s="114"/>
      <c r="AO85" s="114"/>
    </row>
    <row r="86" spans="1:41" ht="22.5">
      <c r="A86" s="52"/>
      <c r="B86" s="58"/>
      <c r="C86" s="58"/>
      <c r="D86" s="58"/>
      <c r="E86" s="115"/>
      <c r="F86" s="115"/>
      <c r="G86" s="58"/>
      <c r="H86" s="59"/>
      <c r="I86" s="84"/>
      <c r="J86" s="58"/>
      <c r="K86" s="58"/>
      <c r="L86" s="58"/>
      <c r="M86" s="122"/>
      <c r="N86" s="244"/>
      <c r="O86" s="244"/>
      <c r="P86" s="122"/>
      <c r="Q86" s="122"/>
      <c r="R86" s="122"/>
      <c r="S86" s="122"/>
      <c r="T86" s="122"/>
      <c r="U86" s="122"/>
      <c r="V86" s="122"/>
      <c r="W86" s="122"/>
      <c r="X86" s="122"/>
      <c r="Y86" s="122"/>
      <c r="Z86" s="122"/>
      <c r="AA86" s="122"/>
      <c r="AB86" s="122"/>
      <c r="AC86" s="122"/>
      <c r="AD86" s="122"/>
      <c r="AE86" s="122"/>
      <c r="AF86" s="122"/>
      <c r="AG86" s="122"/>
      <c r="AH86" s="122"/>
      <c r="AI86" s="122" t="s">
        <v>268</v>
      </c>
      <c r="AJ86" s="122"/>
      <c r="AK86" s="122"/>
      <c r="AL86" s="122"/>
      <c r="AM86" s="122"/>
      <c r="AN86" s="122"/>
      <c r="AO86" s="122"/>
    </row>
    <row r="87" spans="1:41" ht="67.5">
      <c r="A87" s="52"/>
      <c r="B87" s="58"/>
      <c r="C87" s="71" t="s">
        <v>1205</v>
      </c>
      <c r="D87" s="71" t="s">
        <v>451</v>
      </c>
      <c r="E87" s="91" t="s">
        <v>1074</v>
      </c>
      <c r="F87" s="91" t="s">
        <v>1196</v>
      </c>
      <c r="G87" s="92" t="s">
        <v>361</v>
      </c>
      <c r="H87" s="61"/>
      <c r="I87" s="107"/>
      <c r="J87" s="60"/>
      <c r="K87" s="60"/>
      <c r="L87" s="60"/>
      <c r="M87" s="123"/>
      <c r="N87" s="243"/>
      <c r="O87" s="111" cm="1">
        <f t="array" ref="O87">IF(AI87=TRUE,_xlfn.IFS(M87=1,2,M87="",IF(N87="",1,2)),0)</f>
        <v>0</v>
      </c>
      <c r="P87" s="69" t="s">
        <v>255</v>
      </c>
      <c r="Q87" s="69" t="s">
        <v>183</v>
      </c>
      <c r="R87" s="69" t="s">
        <v>183</v>
      </c>
      <c r="S87" s="69" t="s">
        <v>183</v>
      </c>
      <c r="T87" s="69"/>
      <c r="U87" s="69"/>
      <c r="V87" s="69"/>
      <c r="W87" s="69"/>
      <c r="X87" s="118"/>
      <c r="Y87" s="118" t="s">
        <v>255</v>
      </c>
      <c r="Z87" s="69"/>
      <c r="AA87" s="69"/>
      <c r="AB87" s="118"/>
      <c r="AC87" s="118"/>
      <c r="AD87" s="118"/>
      <c r="AE87" s="69" t="s">
        <v>183</v>
      </c>
      <c r="AF87" s="69" t="s">
        <v>183</v>
      </c>
      <c r="AG87" s="69" t="s">
        <v>255</v>
      </c>
      <c r="AH87" s="69" t="s">
        <v>255</v>
      </c>
      <c r="AI87" s="123" t="b">
        <f t="shared" ref="AI87:AI109" si="12">AND(OR(AND($P$6=TRUE,$P87&lt;&gt;""),AND($Q$6=TRUE,$Q87&lt;&gt;""),AND($R$6=TRUE,$R87&lt;&gt;"")),AND($S$6=TRUE,$S87&lt;&gt;""),OR(AND($T$6=TRUE,$T87&lt;&gt;""),AND($U$6=TRUE,$U87&lt;&gt;""),AND($V$6=TRUE,$V87&lt;&gt;""),AND($W$6=TRUE,$W87&lt;&gt;""),AND($X$6=TRUE,$X87&lt;&gt;""),AND($Y$6=TRUE,$Y87&lt;&gt;""),AND($Z$6=TRUE,$Z87&lt;&gt;""),AND($AA$6=TRUE,$AA87&lt;&gt;""),AND($AB$6=TRUE,$AB87&lt;&gt;""),AND($AC$6=TRUE,$AC87&lt;&gt;""),AND($AD$6=TRUE,$AD87&lt;&gt;"")),OR(AND($AE$6=TRUE,$AE87&lt;&gt;""),AND($AF$6=TRUE,$AF87&lt;&gt;""),AND($AG$6=TRUE,$AG87&lt;&gt;""),AND($AH$6=TRUE,$AH87&lt;&gt;"")))</f>
        <v>0</v>
      </c>
      <c r="AJ87" s="123"/>
      <c r="AK87" s="123"/>
      <c r="AL87" s="123"/>
      <c r="AM87" s="123"/>
      <c r="AN87" s="170" t="str">
        <f t="shared" ref="AN87:AN109" si="13">IF(AJ87&lt;&gt;"","セキュリティ管理/","")&amp;IF(AK87&lt;&gt;"","マルウェア/","")&amp;IF(AL87&lt;&gt;"","クラウド/","")&amp;IF(AM87&lt;&gt;"","別表1,2,3","")</f>
        <v/>
      </c>
      <c r="AO87" s="123"/>
    </row>
    <row r="88" spans="1:41" ht="67.5">
      <c r="A88" s="52"/>
      <c r="B88" s="58"/>
      <c r="C88" s="71" t="s">
        <v>1206</v>
      </c>
      <c r="D88" s="71" t="s">
        <v>454</v>
      </c>
      <c r="E88" s="91" t="s">
        <v>1074</v>
      </c>
      <c r="F88" s="91" t="s">
        <v>1076</v>
      </c>
      <c r="G88" s="92" t="s">
        <v>361</v>
      </c>
      <c r="H88" s="61"/>
      <c r="I88" s="107"/>
      <c r="J88" s="60"/>
      <c r="K88" s="60"/>
      <c r="L88" s="60"/>
      <c r="M88" s="123"/>
      <c r="N88" s="243"/>
      <c r="O88" s="111" cm="1">
        <f t="array" ref="O88">IF(AI88=TRUE,_xlfn.IFS(M88=1,2,M88="",IF(N88="",1,2)),0)</f>
        <v>0</v>
      </c>
      <c r="P88" s="69" t="s">
        <v>255</v>
      </c>
      <c r="Q88" s="69" t="s">
        <v>183</v>
      </c>
      <c r="R88" s="69" t="s">
        <v>183</v>
      </c>
      <c r="S88" s="69" t="s">
        <v>183</v>
      </c>
      <c r="T88" s="69"/>
      <c r="U88" s="69"/>
      <c r="V88" s="69"/>
      <c r="W88" s="69"/>
      <c r="X88" s="118"/>
      <c r="Y88" s="118"/>
      <c r="Z88" s="69"/>
      <c r="AA88" s="118" t="s">
        <v>255</v>
      </c>
      <c r="AB88" s="118"/>
      <c r="AC88" s="118"/>
      <c r="AD88" s="118"/>
      <c r="AE88" s="69" t="s">
        <v>183</v>
      </c>
      <c r="AF88" s="69" t="s">
        <v>183</v>
      </c>
      <c r="AG88" s="69" t="s">
        <v>255</v>
      </c>
      <c r="AH88" s="69" t="s">
        <v>255</v>
      </c>
      <c r="AI88" s="123" t="b">
        <f t="shared" si="12"/>
        <v>0</v>
      </c>
      <c r="AJ88" s="123"/>
      <c r="AK88" s="123"/>
      <c r="AL88" s="123"/>
      <c r="AM88" s="123"/>
      <c r="AN88" s="170" t="str">
        <f t="shared" si="13"/>
        <v/>
      </c>
      <c r="AO88" s="123"/>
    </row>
    <row r="89" spans="1:41" ht="45">
      <c r="A89" s="52"/>
      <c r="B89" s="58"/>
      <c r="C89" s="71" t="s">
        <v>1207</v>
      </c>
      <c r="D89" s="71" t="s">
        <v>457</v>
      </c>
      <c r="E89" s="91" t="str">
        <f>'インフラ(自社DC)'!E84</f>
        <v>構築対象の端末について、常に基準となる時刻（システムリソースとの）と同期を取っているか</v>
      </c>
      <c r="F89" s="99" t="s">
        <v>1151</v>
      </c>
      <c r="G89" s="92" t="s">
        <v>254</v>
      </c>
      <c r="H89" s="61"/>
      <c r="I89" s="107"/>
      <c r="J89" s="60"/>
      <c r="K89" s="60"/>
      <c r="L89" s="60"/>
      <c r="M89" s="123"/>
      <c r="N89" s="243"/>
      <c r="O89" s="111" cm="1">
        <f t="array" ref="O89">IF(AI89=TRUE,_xlfn.IFS(M89=1,2,M89="",IF(N89="",1,2)),0)</f>
        <v>0</v>
      </c>
      <c r="P89" s="69" t="s">
        <v>255</v>
      </c>
      <c r="Q89" s="69" t="s">
        <v>255</v>
      </c>
      <c r="R89" s="69" t="s">
        <v>255</v>
      </c>
      <c r="S89" s="69" t="s">
        <v>255</v>
      </c>
      <c r="T89" s="69"/>
      <c r="U89" s="69"/>
      <c r="V89" s="69"/>
      <c r="W89" s="69"/>
      <c r="X89" s="118" t="s">
        <v>448</v>
      </c>
      <c r="Y89" s="118" t="s">
        <v>255</v>
      </c>
      <c r="Z89" s="69"/>
      <c r="AA89" s="69"/>
      <c r="AB89" s="118"/>
      <c r="AC89" s="118"/>
      <c r="AD89" s="118"/>
      <c r="AE89" s="69" t="s">
        <v>183</v>
      </c>
      <c r="AF89" s="69" t="s">
        <v>183</v>
      </c>
      <c r="AG89" s="69" t="s">
        <v>255</v>
      </c>
      <c r="AH89" s="69" t="s">
        <v>255</v>
      </c>
      <c r="AI89" s="123" t="b">
        <f t="shared" si="12"/>
        <v>0</v>
      </c>
      <c r="AJ89" s="123"/>
      <c r="AK89" s="123"/>
      <c r="AL89" s="123"/>
      <c r="AM89" s="123"/>
      <c r="AN89" s="170" t="str">
        <f t="shared" si="13"/>
        <v/>
      </c>
      <c r="AO89" s="123"/>
    </row>
    <row r="90" spans="1:41" ht="157.5">
      <c r="A90" s="52"/>
      <c r="B90" s="58"/>
      <c r="C90" s="71" t="s">
        <v>1208</v>
      </c>
      <c r="D90" s="71" t="s">
        <v>460</v>
      </c>
      <c r="E90" s="91" t="str">
        <f>'インフラ(自社DC)'!E85</f>
        <v>構築対象の端末について、起動時および一定時間（１０分間）の無操作時は、ID・パスワードの入力を必要としているか。
（アウトソースシステムは、回答で「YES」を選択した場合、下記のうち該当する番号を備考欄に記入する。）
１．端末操作起動時および一定時間無操作時
２．端末操作起動時のみ</v>
      </c>
      <c r="F90" s="99" t="s">
        <v>1199</v>
      </c>
      <c r="G90" s="92" t="s">
        <v>254</v>
      </c>
      <c r="H90" s="61"/>
      <c r="I90" s="107"/>
      <c r="J90" s="60"/>
      <c r="K90" s="60"/>
      <c r="L90" s="60"/>
      <c r="M90" s="123"/>
      <c r="N90" s="243"/>
      <c r="O90" s="111" cm="1">
        <f t="array" ref="O90">IF(AI90=TRUE,_xlfn.IFS(M90=1,2,M90="",IF(N90="",1,2)),0)</f>
        <v>0</v>
      </c>
      <c r="P90" s="69" t="s">
        <v>255</v>
      </c>
      <c r="Q90" s="69" t="s">
        <v>255</v>
      </c>
      <c r="R90" s="69" t="s">
        <v>255</v>
      </c>
      <c r="S90" s="69" t="s">
        <v>255</v>
      </c>
      <c r="T90" s="69"/>
      <c r="U90" s="69"/>
      <c r="V90" s="69"/>
      <c r="W90" s="69"/>
      <c r="X90" s="118"/>
      <c r="Y90" s="118" t="s">
        <v>255</v>
      </c>
      <c r="Z90" s="69"/>
      <c r="AA90" s="69"/>
      <c r="AB90" s="118"/>
      <c r="AC90" s="118"/>
      <c r="AD90" s="118"/>
      <c r="AE90" s="69" t="s">
        <v>183</v>
      </c>
      <c r="AF90" s="69" t="s">
        <v>183</v>
      </c>
      <c r="AG90" s="69" t="s">
        <v>255</v>
      </c>
      <c r="AH90" s="69" t="s">
        <v>255</v>
      </c>
      <c r="AI90" s="123" t="b">
        <f t="shared" si="12"/>
        <v>0</v>
      </c>
      <c r="AJ90" s="123"/>
      <c r="AK90" s="123"/>
      <c r="AL90" s="123"/>
      <c r="AM90" s="123" t="s">
        <v>183</v>
      </c>
      <c r="AN90" s="170" t="str">
        <f t="shared" si="13"/>
        <v>別表1,2,3</v>
      </c>
      <c r="AO90" s="123"/>
    </row>
    <row r="91" spans="1:41" ht="360">
      <c r="A91" s="52"/>
      <c r="B91" s="58"/>
      <c r="C91" s="71" t="s">
        <v>1209</v>
      </c>
      <c r="D91" s="71" t="s">
        <v>462</v>
      </c>
      <c r="E91" s="91" t="str">
        <f>'インフラ(自社DC)'!E87</f>
        <v>構築対象の端末について、端末間の通信を業務要件に基づいて必要最低限に制限、または遮断しているか。
攻撃者によりリモートコントロールされたユーザ端末から、周囲のユーザ端末へのファイル共有機能を悪用した内部侵害拡大を防止する。
ファイル共有が業務上必要な場合は監視を強化し、不正なファイル共有機能の利用を検知する。
ユーザ端末間の通信を制限する代表例は以下のようなものがある。
・Active Directoryのグループポリシー等を利用してファイル共有機能を停止するとともに、ユーザーによるファイル共有の新規作成を禁止する。
・パーソナルファイアウォール等のアクセス制御機能を用いて、ユーザ端末間の通信を遮断し、ウィルス定義ファイルやセキュリティパッチ自動配信等の運用管理に必要な通信のみ受付ける設定とする。
・ユーザー端末相互間において445/tcp、NetBIOS 137, 139での通信を禁止する、SMB v1（SMB 1.0/CIFSファイル共有）を無効化する。</v>
      </c>
      <c r="F91" s="99" t="s">
        <v>1199</v>
      </c>
      <c r="G91" s="92" t="s">
        <v>254</v>
      </c>
      <c r="H91" s="61"/>
      <c r="I91" s="107"/>
      <c r="J91" s="60"/>
      <c r="K91" s="60"/>
      <c r="L91" s="60"/>
      <c r="M91" s="123"/>
      <c r="N91" s="243"/>
      <c r="O91" s="111" cm="1">
        <f t="array" ref="O91">IF(AI91=TRUE,_xlfn.IFS(M91=1,2,M91="",IF(N91="",1,2)),0)</f>
        <v>0</v>
      </c>
      <c r="P91" s="69" t="s">
        <v>255</v>
      </c>
      <c r="Q91" s="69" t="s">
        <v>255</v>
      </c>
      <c r="R91" s="69" t="s">
        <v>255</v>
      </c>
      <c r="S91" s="69" t="s">
        <v>255</v>
      </c>
      <c r="T91" s="69"/>
      <c r="U91" s="69"/>
      <c r="V91" s="69"/>
      <c r="W91" s="69"/>
      <c r="X91" s="118"/>
      <c r="Y91" s="118" t="s">
        <v>255</v>
      </c>
      <c r="Z91" s="69"/>
      <c r="AA91" s="69"/>
      <c r="AB91" s="118"/>
      <c r="AC91" s="118"/>
      <c r="AD91" s="118"/>
      <c r="AE91" s="69" t="s">
        <v>183</v>
      </c>
      <c r="AF91" s="69" t="s">
        <v>183</v>
      </c>
      <c r="AG91" s="69" t="s">
        <v>255</v>
      </c>
      <c r="AH91" s="69" t="s">
        <v>255</v>
      </c>
      <c r="AI91" s="123" t="b">
        <f t="shared" si="12"/>
        <v>0</v>
      </c>
      <c r="AJ91" s="123"/>
      <c r="AK91" s="123" t="s">
        <v>183</v>
      </c>
      <c r="AL91" s="123"/>
      <c r="AM91" s="123"/>
      <c r="AN91" s="170" t="str">
        <f t="shared" si="13"/>
        <v>マルウェア/</v>
      </c>
      <c r="AO91" s="123"/>
    </row>
    <row r="92" spans="1:41" ht="90">
      <c r="A92" s="52"/>
      <c r="B92" s="58"/>
      <c r="C92" s="71" t="s">
        <v>1210</v>
      </c>
      <c r="D92" s="71" t="s">
        <v>855</v>
      </c>
      <c r="E92" s="91" t="str">
        <f>'インフラ(自社DC)'!E88</f>
        <v>構築対象の端末について、端末内に本番データを保存できないようにしているか
保存する必要がある場合は、暗号化および外部媒体への書き出しを制御をしているか
また、上記暗号化に使用した暗号鍵は耐タンパー性を有する暗号モジュールへ格納すること。</v>
      </c>
      <c r="F92" s="99" t="s">
        <v>1151</v>
      </c>
      <c r="G92" s="92" t="s">
        <v>254</v>
      </c>
      <c r="H92" s="61"/>
      <c r="I92" s="107"/>
      <c r="J92" s="60"/>
      <c r="K92" s="60"/>
      <c r="L92" s="60"/>
      <c r="M92" s="123"/>
      <c r="N92" s="243"/>
      <c r="O92" s="111" cm="1">
        <f t="array" ref="O92">IF(AI92=TRUE,_xlfn.IFS(M92=1,2,M92="",IF(N92="",1,2)),0)</f>
        <v>0</v>
      </c>
      <c r="P92" s="69" t="s">
        <v>255</v>
      </c>
      <c r="Q92" s="69" t="s">
        <v>255</v>
      </c>
      <c r="R92" s="69" t="s">
        <v>255</v>
      </c>
      <c r="S92" s="69" t="s">
        <v>255</v>
      </c>
      <c r="T92" s="69"/>
      <c r="U92" s="69"/>
      <c r="V92" s="69"/>
      <c r="W92" s="69"/>
      <c r="X92" s="118"/>
      <c r="Y92" s="118" t="s">
        <v>255</v>
      </c>
      <c r="Z92" s="69"/>
      <c r="AA92" s="69"/>
      <c r="AB92" s="118"/>
      <c r="AC92" s="118"/>
      <c r="AD92" s="118"/>
      <c r="AE92" s="69" t="s">
        <v>183</v>
      </c>
      <c r="AF92" s="69" t="s">
        <v>183</v>
      </c>
      <c r="AG92" s="69" t="s">
        <v>255</v>
      </c>
      <c r="AH92" s="69" t="s">
        <v>255</v>
      </c>
      <c r="AI92" s="123" t="b">
        <f t="shared" si="12"/>
        <v>0</v>
      </c>
      <c r="AJ92" s="123" t="s">
        <v>183</v>
      </c>
      <c r="AK92" s="123" t="s">
        <v>183</v>
      </c>
      <c r="AL92" s="123"/>
      <c r="AM92" s="123" t="s">
        <v>183</v>
      </c>
      <c r="AN92" s="170" t="str">
        <f t="shared" si="13"/>
        <v>セキュリティ管理/マルウェア/別表1,2,3</v>
      </c>
      <c r="AO92" s="123"/>
    </row>
    <row r="93" spans="1:41" ht="202.5">
      <c r="A93" s="52"/>
      <c r="B93" s="58"/>
      <c r="C93" s="71" t="s">
        <v>1212</v>
      </c>
      <c r="D93" s="71" t="s">
        <v>859</v>
      </c>
      <c r="E93" s="91" t="str">
        <f>'インフラ(自社DC)'!E90</f>
        <v>構築対象の端末はＵＳＢポートの利用を制限し、外部媒体を使用できない様にしているか（Windows PCに対するスマートフォン等のUSB接続対策を含む）
例外的に外部媒体の利用を認める端末を用意する場合は、以下の通り対応しているか。
　・外部媒体接続時の自動再生機能を停止
　・（外部媒体に書き出しを行う場合）通常の運用端末や業務端末とは別に書き出し用の端末を用意し、許可された利用者および外部媒体にのみに書き出しを制限するツールや仕組みを導入するとともに、自動的に暗号化を行う</v>
      </c>
      <c r="F93" s="99" t="s">
        <v>1151</v>
      </c>
      <c r="G93" s="92" t="s">
        <v>254</v>
      </c>
      <c r="H93" s="61"/>
      <c r="I93" s="107"/>
      <c r="J93" s="60"/>
      <c r="K93" s="60"/>
      <c r="L93" s="60"/>
      <c r="M93" s="123"/>
      <c r="N93" s="243"/>
      <c r="O93" s="111" cm="1">
        <f t="array" ref="O93">IF(AI93=TRUE,_xlfn.IFS(M93=1,2,M93="",IF(N93="",1,2)),0)</f>
        <v>0</v>
      </c>
      <c r="P93" s="69" t="s">
        <v>255</v>
      </c>
      <c r="Q93" s="69" t="s">
        <v>255</v>
      </c>
      <c r="R93" s="69" t="s">
        <v>255</v>
      </c>
      <c r="S93" s="69" t="s">
        <v>255</v>
      </c>
      <c r="T93" s="69"/>
      <c r="U93" s="69"/>
      <c r="V93" s="69"/>
      <c r="W93" s="69"/>
      <c r="X93" s="118"/>
      <c r="Y93" s="118" t="s">
        <v>255</v>
      </c>
      <c r="Z93" s="69"/>
      <c r="AA93" s="69"/>
      <c r="AB93" s="118"/>
      <c r="AC93" s="118"/>
      <c r="AD93" s="118"/>
      <c r="AE93" s="69" t="s">
        <v>183</v>
      </c>
      <c r="AF93" s="69" t="s">
        <v>183</v>
      </c>
      <c r="AG93" s="69" t="s">
        <v>255</v>
      </c>
      <c r="AH93" s="69" t="s">
        <v>255</v>
      </c>
      <c r="AI93" s="123" t="b">
        <f t="shared" si="12"/>
        <v>0</v>
      </c>
      <c r="AJ93" s="123"/>
      <c r="AK93" s="123" t="s">
        <v>183</v>
      </c>
      <c r="AL93" s="123"/>
      <c r="AM93" s="123" t="s">
        <v>183</v>
      </c>
      <c r="AN93" s="170" t="str">
        <f t="shared" ref="AN93" si="14">IF(AJ93&lt;&gt;"","セキュリティ管理/","")&amp;IF(AK93&lt;&gt;"","マルウェア/","")&amp;IF(AL93&lt;&gt;"","クラウド/","")&amp;IF(AM93&lt;&gt;"","別表1,2,3","")</f>
        <v>マルウェア/別表1,2,3</v>
      </c>
      <c r="AO93" s="123" t="s">
        <v>1044</v>
      </c>
    </row>
    <row r="94" spans="1:41" ht="135">
      <c r="A94" s="52"/>
      <c r="B94" s="58"/>
      <c r="C94" s="71" t="s">
        <v>1213</v>
      </c>
      <c r="D94" s="71" t="s">
        <v>1202</v>
      </c>
      <c r="E94" s="91" t="str">
        <f>'インフラ(自社DC)'!E91</f>
        <v>構築対象の端末については、本番データの印刷が行えない様にシステム的な対策を行っているか。
本番データを扱わずに印刷を行う場合、あるいは現地法制・現地慣習などを踏まえて例外的に本番データの印刷を行わざるを得ない場合は、印刷ログを自動取得・保管しているか。
なお、東京海上/あんしん生命におけるひとり一台端末については、夜間(22-5時）または土日祝日の印刷時にリーダー系列者にレポート送付する機能を実装すること。</v>
      </c>
      <c r="F94" s="99" t="s">
        <v>1151</v>
      </c>
      <c r="G94" s="92" t="s">
        <v>254</v>
      </c>
      <c r="H94" s="61"/>
      <c r="I94" s="107"/>
      <c r="J94" s="60"/>
      <c r="K94" s="60"/>
      <c r="L94" s="60"/>
      <c r="M94" s="123"/>
      <c r="N94" s="243"/>
      <c r="O94" s="111" cm="1">
        <f t="array" ref="O94">IF(AI94=TRUE,_xlfn.IFS(M94=1,2,M94="",IF(N94="",1,2)),0)</f>
        <v>0</v>
      </c>
      <c r="P94" s="69" t="s">
        <v>255</v>
      </c>
      <c r="Q94" s="69" t="s">
        <v>255</v>
      </c>
      <c r="R94" s="69" t="s">
        <v>255</v>
      </c>
      <c r="S94" s="69" t="s">
        <v>255</v>
      </c>
      <c r="T94" s="69"/>
      <c r="U94" s="69"/>
      <c r="V94" s="69"/>
      <c r="W94" s="69"/>
      <c r="X94" s="118"/>
      <c r="Y94" s="118" t="s">
        <v>255</v>
      </c>
      <c r="Z94" s="69"/>
      <c r="AA94" s="69"/>
      <c r="AB94" s="118"/>
      <c r="AC94" s="118"/>
      <c r="AD94" s="118"/>
      <c r="AE94" s="69" t="s">
        <v>183</v>
      </c>
      <c r="AF94" s="69" t="s">
        <v>183</v>
      </c>
      <c r="AG94" s="69" t="s">
        <v>255</v>
      </c>
      <c r="AH94" s="69" t="s">
        <v>255</v>
      </c>
      <c r="AI94" s="123" t="b">
        <f t="shared" si="12"/>
        <v>0</v>
      </c>
      <c r="AJ94" s="123" t="s">
        <v>183</v>
      </c>
      <c r="AK94" s="123"/>
      <c r="AL94" s="123"/>
      <c r="AM94" s="123" t="s">
        <v>183</v>
      </c>
      <c r="AN94" s="170" t="str">
        <f t="shared" ref="AN94" si="15">IF(AJ94&lt;&gt;"","セキュリティ管理/","")&amp;IF(AK94&lt;&gt;"","マルウェア/","")&amp;IF(AL94&lt;&gt;"","クラウド/","")&amp;IF(AM94&lt;&gt;"","別表1,2,3","")</f>
        <v>セキュリティ管理/別表1,2,3</v>
      </c>
      <c r="AO94" s="124" t="s">
        <v>2212</v>
      </c>
    </row>
    <row r="95" spans="1:41" ht="157.5">
      <c r="A95" s="52"/>
      <c r="B95" s="58"/>
      <c r="C95" s="71" t="s">
        <v>1214</v>
      </c>
      <c r="D95" s="71" t="s">
        <v>863</v>
      </c>
      <c r="E95" s="91" t="str">
        <f>'インフラ(自社DC)'!E92</f>
        <v>構築対象の端末から社外へデータ提供する際は、電子メールもしくはデータへのアクセス制御（有効期限、メールアドレスに基づくアクセス制御）ができる電子ポストなどのサービスを使用する設計としているか。
また、電子メールは添付ファイルを自動的に暗号化する機能を実装し、暗号化パスワードは以下の対策を実施しているか。
・事前に送付先と取り決めたパスワードを使用する
・取り決めたパスワードはメール以外の方法で伝える</v>
      </c>
      <c r="F95" s="99" t="s">
        <v>1151</v>
      </c>
      <c r="G95" s="92" t="s">
        <v>254</v>
      </c>
      <c r="H95" s="61"/>
      <c r="I95" s="107"/>
      <c r="J95" s="60"/>
      <c r="K95" s="60"/>
      <c r="L95" s="60"/>
      <c r="M95" s="123"/>
      <c r="N95" s="243"/>
      <c r="O95" s="111" cm="1">
        <f t="array" ref="O95">IF(AI95=TRUE,_xlfn.IFS(M95=1,2,M95="",IF(N95="",1,2)),0)</f>
        <v>0</v>
      </c>
      <c r="P95" s="69" t="s">
        <v>255</v>
      </c>
      <c r="Q95" s="69" t="s">
        <v>255</v>
      </c>
      <c r="R95" s="69" t="s">
        <v>255</v>
      </c>
      <c r="S95" s="69" t="s">
        <v>255</v>
      </c>
      <c r="T95" s="69"/>
      <c r="U95" s="69"/>
      <c r="V95" s="69"/>
      <c r="W95" s="69"/>
      <c r="X95" s="118"/>
      <c r="Y95" s="118" t="s">
        <v>255</v>
      </c>
      <c r="Z95" s="69"/>
      <c r="AA95" s="69"/>
      <c r="AB95" s="118"/>
      <c r="AC95" s="118"/>
      <c r="AD95" s="118"/>
      <c r="AE95" s="69" t="s">
        <v>183</v>
      </c>
      <c r="AF95" s="69" t="s">
        <v>183</v>
      </c>
      <c r="AG95" s="69" t="s">
        <v>255</v>
      </c>
      <c r="AH95" s="69" t="s">
        <v>255</v>
      </c>
      <c r="AI95" s="123" t="b">
        <f t="shared" si="12"/>
        <v>0</v>
      </c>
      <c r="AJ95" s="123"/>
      <c r="AK95" s="123"/>
      <c r="AL95" s="123"/>
      <c r="AM95" s="123" t="s">
        <v>183</v>
      </c>
      <c r="AN95" s="170" t="str">
        <f t="shared" ref="AN95" si="16">IF(AJ95&lt;&gt;"","セキュリティ管理/","")&amp;IF(AK95&lt;&gt;"","マルウェア/","")&amp;IF(AL95&lt;&gt;"","クラウド/","")&amp;IF(AM95&lt;&gt;"","別表1,2,3","")</f>
        <v>別表1,2,3</v>
      </c>
      <c r="AO95" s="124" t="s">
        <v>1087</v>
      </c>
    </row>
    <row r="96" spans="1:41" ht="135">
      <c r="A96" s="52"/>
      <c r="B96" s="58"/>
      <c r="C96" s="71" t="s">
        <v>1215</v>
      </c>
      <c r="D96" s="71" t="s">
        <v>867</v>
      </c>
      <c r="E96" s="91" t="str">
        <f>'インフラ(自社DC)'!E93</f>
        <v>構築対象の端末で使用するアカウントの権限を以下のように最小化しているか。
・ユーザー端末で使用するアカウントはDomain Usersグループに登録し（一般ユーザー権限とし）、管理者権限を付与しない。
・ユーザー端末のメンテナンスを行う場合は、Operatorsグループに登録したアカウント（ローカル管理者権限）を使用する。</v>
      </c>
      <c r="F96" s="99" t="s">
        <v>1151</v>
      </c>
      <c r="G96" s="92" t="s">
        <v>254</v>
      </c>
      <c r="H96" s="61"/>
      <c r="I96" s="107"/>
      <c r="J96" s="60"/>
      <c r="K96" s="60"/>
      <c r="L96" s="60"/>
      <c r="M96" s="123"/>
      <c r="N96" s="243"/>
      <c r="O96" s="111" cm="1">
        <f t="array" ref="O96">IF(AI96=TRUE,_xlfn.IFS(M96=1,2,M96="",IF(N96="",1,2)),0)</f>
        <v>0</v>
      </c>
      <c r="P96" s="69" t="s">
        <v>255</v>
      </c>
      <c r="Q96" s="69" t="s">
        <v>255</v>
      </c>
      <c r="R96" s="69" t="s">
        <v>255</v>
      </c>
      <c r="S96" s="69" t="s">
        <v>255</v>
      </c>
      <c r="T96" s="69"/>
      <c r="U96" s="69"/>
      <c r="V96" s="69"/>
      <c r="W96" s="69"/>
      <c r="X96" s="118"/>
      <c r="Y96" s="118" t="s">
        <v>255</v>
      </c>
      <c r="Z96" s="69"/>
      <c r="AA96" s="69"/>
      <c r="AB96" s="118"/>
      <c r="AC96" s="118"/>
      <c r="AD96" s="118"/>
      <c r="AE96" s="69" t="s">
        <v>183</v>
      </c>
      <c r="AF96" s="69" t="s">
        <v>183</v>
      </c>
      <c r="AG96" s="69" t="s">
        <v>255</v>
      </c>
      <c r="AH96" s="69" t="s">
        <v>255</v>
      </c>
      <c r="AI96" s="123" t="b">
        <f t="shared" si="12"/>
        <v>0</v>
      </c>
      <c r="AJ96" s="123"/>
      <c r="AK96" s="123" t="s">
        <v>183</v>
      </c>
      <c r="AL96" s="123"/>
      <c r="AM96" s="123"/>
      <c r="AN96" s="170" t="str">
        <f t="shared" si="13"/>
        <v>マルウェア/</v>
      </c>
      <c r="AO96" s="123"/>
    </row>
    <row r="97" spans="1:41" ht="180">
      <c r="A97" s="52"/>
      <c r="B97" s="58"/>
      <c r="C97" s="71" t="s">
        <v>2138</v>
      </c>
      <c r="D97" s="71" t="s">
        <v>870</v>
      </c>
      <c r="E97" s="91" t="str">
        <f>'インフラ(自社DC)'!E94</f>
        <v xml:space="preserve">構築対象のドメインの管理者アカウントを使用する業務を最小化しているか。
不用意な管理者アカウントの配布・拡散を防ぐため以下を実施する。
・ドメインの管理者アカウントは、普段使用するアカウントとは別に管理者専用のアカウントを割り当てる。
・当アカウントはドメインの管理者権限が必要となる業務に対してのみ許可する。
・当アカウントは特定の運用管理端末でのみ使用する。
</v>
      </c>
      <c r="F97" s="99" t="s">
        <v>1151</v>
      </c>
      <c r="G97" s="92" t="s">
        <v>254</v>
      </c>
      <c r="H97" s="61"/>
      <c r="I97" s="107"/>
      <c r="J97" s="60"/>
      <c r="K97" s="60"/>
      <c r="L97" s="60"/>
      <c r="M97" s="123"/>
      <c r="N97" s="243"/>
      <c r="O97" s="111" cm="1">
        <f t="array" ref="O97">IF(AI97=TRUE,_xlfn.IFS(M97=1,2,M97="",IF(N97="",1,2)),0)</f>
        <v>0</v>
      </c>
      <c r="P97" s="69" t="s">
        <v>255</v>
      </c>
      <c r="Q97" s="69" t="s">
        <v>255</v>
      </c>
      <c r="R97" s="69" t="s">
        <v>255</v>
      </c>
      <c r="S97" s="69" t="s">
        <v>255</v>
      </c>
      <c r="T97" s="69"/>
      <c r="U97" s="69"/>
      <c r="V97" s="69"/>
      <c r="W97" s="69"/>
      <c r="X97" s="118"/>
      <c r="Y97" s="118" t="s">
        <v>255</v>
      </c>
      <c r="Z97" s="69"/>
      <c r="AA97" s="69"/>
      <c r="AB97" s="118"/>
      <c r="AC97" s="118"/>
      <c r="AD97" s="118"/>
      <c r="AE97" s="69" t="s">
        <v>183</v>
      </c>
      <c r="AF97" s="69" t="s">
        <v>183</v>
      </c>
      <c r="AG97" s="69" t="s">
        <v>255</v>
      </c>
      <c r="AH97" s="69" t="s">
        <v>255</v>
      </c>
      <c r="AI97" s="123" t="b">
        <f t="shared" si="12"/>
        <v>0</v>
      </c>
      <c r="AJ97" s="123"/>
      <c r="AK97" s="123" t="s">
        <v>183</v>
      </c>
      <c r="AL97" s="123"/>
      <c r="AM97" s="123" t="s">
        <v>183</v>
      </c>
      <c r="AN97" s="170" t="str">
        <f t="shared" si="13"/>
        <v>マルウェア/別表1,2,3</v>
      </c>
      <c r="AO97" s="123"/>
    </row>
    <row r="98" spans="1:41" ht="202.5">
      <c r="A98" s="52"/>
      <c r="B98" s="58"/>
      <c r="C98" s="71" t="s">
        <v>2139</v>
      </c>
      <c r="D98" s="71" t="s">
        <v>872</v>
      </c>
      <c r="E98" s="91" t="str">
        <f>'インフラ(自社DC)'!E95</f>
        <v xml:space="preserve">構築対象の端末が不特定のインターネットアクセスやメール送受信を行う場合、その出入口の経路において、IPS/IDSを用いて以下の対策を実装しているか。
・不正コードの検知と遮断、およびモニタリング
・アウトバウンドの不正通信の検知と遮断状、およびモニタリング
（回答で「YES」を選択した場合は、下記のうち該当する番号を備考欄に記入する。）
1.対策、モニタリング共に実施している
2.対策はしていないがモニタリングは実施している
</v>
      </c>
      <c r="F98" s="99" t="s">
        <v>1151</v>
      </c>
      <c r="G98" s="92" t="s">
        <v>254</v>
      </c>
      <c r="H98" s="61"/>
      <c r="I98" s="107"/>
      <c r="J98" s="60"/>
      <c r="K98" s="60"/>
      <c r="L98" s="60"/>
      <c r="M98" s="123"/>
      <c r="N98" s="243"/>
      <c r="O98" s="111" cm="1">
        <f t="array" ref="O98">IF(AI98=TRUE,_xlfn.IFS(M98=1,2,M98="",IF(N98="",1,2)),0)</f>
        <v>0</v>
      </c>
      <c r="P98" s="69" t="s">
        <v>255</v>
      </c>
      <c r="Q98" s="69" t="s">
        <v>255</v>
      </c>
      <c r="R98" s="69" t="s">
        <v>255</v>
      </c>
      <c r="S98" s="69" t="s">
        <v>255</v>
      </c>
      <c r="T98" s="69"/>
      <c r="U98" s="69"/>
      <c r="V98" s="69"/>
      <c r="W98" s="69"/>
      <c r="X98" s="118"/>
      <c r="Y98" s="118" t="s">
        <v>255</v>
      </c>
      <c r="Z98" s="69"/>
      <c r="AA98" s="69"/>
      <c r="AB98" s="118"/>
      <c r="AC98" s="118"/>
      <c r="AD98" s="118"/>
      <c r="AE98" s="69" t="s">
        <v>183</v>
      </c>
      <c r="AF98" s="69" t="s">
        <v>183</v>
      </c>
      <c r="AG98" s="69" t="s">
        <v>255</v>
      </c>
      <c r="AH98" s="69" t="s">
        <v>255</v>
      </c>
      <c r="AI98" s="123" t="b">
        <f t="shared" si="12"/>
        <v>0</v>
      </c>
      <c r="AJ98" s="123"/>
      <c r="AK98" s="123" t="s">
        <v>183</v>
      </c>
      <c r="AL98" s="123"/>
      <c r="AM98" s="123"/>
      <c r="AN98" s="170" t="str">
        <f t="shared" si="13"/>
        <v>マルウェア/</v>
      </c>
      <c r="AO98" s="123" t="s">
        <v>1044</v>
      </c>
    </row>
    <row r="99" spans="1:41" ht="135">
      <c r="A99" s="52"/>
      <c r="B99" s="58"/>
      <c r="C99" s="71" t="s">
        <v>2140</v>
      </c>
      <c r="D99" s="71" t="s">
        <v>874</v>
      </c>
      <c r="E99" s="91" t="str">
        <f>'インフラ(自社DC)'!E96</f>
        <v>構築対象の端末が不特定のインターネットアクセスや外部からのメール受信を行う場合、EDRや振舞検知製品の導入や、NW上にIDS/IPS等を導入することにより、社内システムとのデータ送受信の内容をチェックしているか。
また、不正コードの実行や不審な通信が検知された場合に、検知内容や遮断状況に応じて必要な対策をとるための手順およびツールを準備しているか。</v>
      </c>
      <c r="F99" s="99" t="s">
        <v>1151</v>
      </c>
      <c r="G99" s="92" t="s">
        <v>254</v>
      </c>
      <c r="H99" s="61"/>
      <c r="I99" s="107"/>
      <c r="J99" s="60"/>
      <c r="K99" s="60"/>
      <c r="L99" s="60"/>
      <c r="M99" s="123"/>
      <c r="N99" s="243"/>
      <c r="O99" s="111" cm="1">
        <f t="array" ref="O99">IF(AI99=TRUE,_xlfn.IFS(M99=1,2,M99="",IF(N99="",1,2)),0)</f>
        <v>0</v>
      </c>
      <c r="P99" s="69" t="s">
        <v>255</v>
      </c>
      <c r="Q99" s="69" t="s">
        <v>255</v>
      </c>
      <c r="R99" s="69" t="s">
        <v>255</v>
      </c>
      <c r="S99" s="69" t="s">
        <v>255</v>
      </c>
      <c r="T99" s="69"/>
      <c r="U99" s="69"/>
      <c r="V99" s="69"/>
      <c r="W99" s="69"/>
      <c r="X99" s="118"/>
      <c r="Y99" s="118" t="s">
        <v>255</v>
      </c>
      <c r="Z99" s="69"/>
      <c r="AA99" s="69"/>
      <c r="AB99" s="118"/>
      <c r="AC99" s="118"/>
      <c r="AD99" s="118"/>
      <c r="AE99" s="69" t="s">
        <v>183</v>
      </c>
      <c r="AF99" s="69" t="s">
        <v>183</v>
      </c>
      <c r="AG99" s="69" t="s">
        <v>255</v>
      </c>
      <c r="AH99" s="69" t="s">
        <v>255</v>
      </c>
      <c r="AI99" s="123" t="b">
        <f t="shared" si="12"/>
        <v>0</v>
      </c>
      <c r="AJ99" s="123"/>
      <c r="AK99" s="123"/>
      <c r="AL99" s="123"/>
      <c r="AM99" s="123"/>
      <c r="AN99" s="170" t="str">
        <f t="shared" ref="AN99" si="17">IF(AJ99&lt;&gt;"","セキュリティ管理/","")&amp;IF(AK99&lt;&gt;"","マルウェア/","")&amp;IF(AL99&lt;&gt;"","クラウド/","")&amp;IF(AM99&lt;&gt;"","別表1,2,3","")</f>
        <v/>
      </c>
      <c r="AO99" s="123" t="s">
        <v>1044</v>
      </c>
    </row>
    <row r="100" spans="1:41" ht="157.5">
      <c r="A100" s="52"/>
      <c r="B100" s="58"/>
      <c r="C100" s="71" t="s">
        <v>2141</v>
      </c>
      <c r="D100" s="71" t="s">
        <v>876</v>
      </c>
      <c r="E100" s="91" t="str">
        <f>'インフラ(自社DC)'!E97</f>
        <v>構築対象の端末が不特定のインターネットアクセスや外部からのメール受信を行う場合、万が一不審ファイルをダウンロードしてしまった場合でも、不用意に実行されないための以下のような制限を行っているか。
・ 許可したプログラム・プロセスのみ実行可能とする。
・ PowerShellやWSH（Windows Scripting Host）を無効化して不必要なコマンドやスクリプトの実行をブロックする。</v>
      </c>
      <c r="F100" s="99" t="s">
        <v>1151</v>
      </c>
      <c r="G100" s="92" t="s">
        <v>254</v>
      </c>
      <c r="H100" s="61"/>
      <c r="I100" s="107"/>
      <c r="J100" s="60"/>
      <c r="K100" s="60"/>
      <c r="L100" s="60"/>
      <c r="M100" s="123"/>
      <c r="N100" s="243"/>
      <c r="O100" s="111" cm="1">
        <f t="array" ref="O100">IF(AI100=TRUE,_xlfn.IFS(M100=1,2,M100="",IF(N100="",1,2)),0)</f>
        <v>0</v>
      </c>
      <c r="P100" s="69" t="s">
        <v>255</v>
      </c>
      <c r="Q100" s="69" t="s">
        <v>255</v>
      </c>
      <c r="R100" s="69" t="s">
        <v>255</v>
      </c>
      <c r="S100" s="69" t="s">
        <v>255</v>
      </c>
      <c r="T100" s="69"/>
      <c r="U100" s="69"/>
      <c r="V100" s="69"/>
      <c r="W100" s="69"/>
      <c r="X100" s="118"/>
      <c r="Y100" s="118" t="s">
        <v>255</v>
      </c>
      <c r="Z100" s="69"/>
      <c r="AA100" s="69"/>
      <c r="AB100" s="118"/>
      <c r="AC100" s="118"/>
      <c r="AD100" s="118"/>
      <c r="AE100" s="69" t="s">
        <v>183</v>
      </c>
      <c r="AF100" s="69" t="s">
        <v>183</v>
      </c>
      <c r="AG100" s="69" t="s">
        <v>255</v>
      </c>
      <c r="AH100" s="69" t="s">
        <v>255</v>
      </c>
      <c r="AI100" s="123" t="b">
        <f t="shared" si="12"/>
        <v>0</v>
      </c>
      <c r="AJ100" s="123"/>
      <c r="AK100" s="123"/>
      <c r="AL100" s="123"/>
      <c r="AM100" s="123"/>
      <c r="AN100" s="170" t="str">
        <f t="shared" ref="AN100:AN101" si="18">IF(AJ100&lt;&gt;"","セキュリティ管理/","")&amp;IF(AK100&lt;&gt;"","マルウェア/","")&amp;IF(AL100&lt;&gt;"","クラウド/","")&amp;IF(AM100&lt;&gt;"","別表1,2,3","")</f>
        <v/>
      </c>
      <c r="AO100" s="123" t="s">
        <v>1044</v>
      </c>
    </row>
    <row r="101" spans="1:41" ht="135">
      <c r="A101" s="52"/>
      <c r="B101" s="58"/>
      <c r="C101" s="71" t="s">
        <v>2142</v>
      </c>
      <c r="D101" s="71" t="s">
        <v>879</v>
      </c>
      <c r="E101" s="91" t="str">
        <f>'インフラ(自社DC)'!E98</f>
        <v>構築対象の端末が不特定のインターネットアクセスや外部からのメール受信を行う場合、以下の条件をもとに端末内のファイルの保持条項や不正なアクセス履歴の有無を調べるための仕組み(例えばEDRなど)を構築しているか。
・任意のハッシュ値やファイル名をキーに、保持状況を調査する
・任意のURLやIPアドレスをキーに、アクセス履歴を調査する</v>
      </c>
      <c r="F101" s="99" t="s">
        <v>1151</v>
      </c>
      <c r="G101" s="92" t="s">
        <v>254</v>
      </c>
      <c r="H101" s="61"/>
      <c r="I101" s="107"/>
      <c r="J101" s="60"/>
      <c r="K101" s="60"/>
      <c r="L101" s="60"/>
      <c r="M101" s="123"/>
      <c r="N101" s="243"/>
      <c r="O101" s="111" cm="1">
        <f t="array" ref="O101">IF(AI101=TRUE,_xlfn.IFS(M101=1,2,M101="",IF(N101="",1,2)),0)</f>
        <v>0</v>
      </c>
      <c r="P101" s="69" t="s">
        <v>255</v>
      </c>
      <c r="Q101" s="69" t="s">
        <v>255</v>
      </c>
      <c r="R101" s="69" t="s">
        <v>255</v>
      </c>
      <c r="S101" s="69" t="s">
        <v>255</v>
      </c>
      <c r="T101" s="69"/>
      <c r="U101" s="69"/>
      <c r="V101" s="69"/>
      <c r="W101" s="69"/>
      <c r="X101" s="118"/>
      <c r="Y101" s="118" t="s">
        <v>255</v>
      </c>
      <c r="Z101" s="69"/>
      <c r="AA101" s="69"/>
      <c r="AB101" s="118"/>
      <c r="AC101" s="118"/>
      <c r="AD101" s="118"/>
      <c r="AE101" s="69" t="s">
        <v>183</v>
      </c>
      <c r="AF101" s="69" t="s">
        <v>183</v>
      </c>
      <c r="AG101" s="69" t="s">
        <v>255</v>
      </c>
      <c r="AH101" s="69" t="s">
        <v>255</v>
      </c>
      <c r="AI101" s="123" t="b">
        <f t="shared" si="12"/>
        <v>0</v>
      </c>
      <c r="AJ101" s="123"/>
      <c r="AK101" s="123"/>
      <c r="AL101" s="123"/>
      <c r="AM101" s="123"/>
      <c r="AN101" s="170" t="str">
        <f t="shared" si="18"/>
        <v/>
      </c>
      <c r="AO101" s="123" t="s">
        <v>1044</v>
      </c>
    </row>
    <row r="102" spans="1:41" ht="45">
      <c r="A102" s="52"/>
      <c r="B102" s="58"/>
      <c r="C102" s="71" t="s">
        <v>2143</v>
      </c>
      <c r="D102" s="71" t="s">
        <v>882</v>
      </c>
      <c r="E102" s="91" t="str">
        <f>'インフラ(自社DC)'!E99</f>
        <v>構築対象の端末が不特定のインターネットアクセスや外部からのメール受信を行う場合、本番サーバのメンテナンス用ポートへの通信（SSHやRDP、FTPなど）を不可としているか</v>
      </c>
      <c r="F102" s="99" t="s">
        <v>1151</v>
      </c>
      <c r="G102" s="92" t="s">
        <v>254</v>
      </c>
      <c r="H102" s="61"/>
      <c r="I102" s="107"/>
      <c r="J102" s="60"/>
      <c r="K102" s="60"/>
      <c r="L102" s="60"/>
      <c r="M102" s="123"/>
      <c r="N102" s="243"/>
      <c r="O102" s="111" cm="1">
        <f t="array" ref="O102">IF(AI102=TRUE,_xlfn.IFS(M102=1,2,M102="",IF(N102="",1,2)),0)</f>
        <v>0</v>
      </c>
      <c r="P102" s="69" t="s">
        <v>255</v>
      </c>
      <c r="Q102" s="69" t="s">
        <v>255</v>
      </c>
      <c r="R102" s="69" t="s">
        <v>255</v>
      </c>
      <c r="S102" s="69" t="s">
        <v>255</v>
      </c>
      <c r="T102" s="69"/>
      <c r="U102" s="69"/>
      <c r="V102" s="69"/>
      <c r="W102" s="69"/>
      <c r="X102" s="118"/>
      <c r="Y102" s="118" t="s">
        <v>255</v>
      </c>
      <c r="Z102" s="69"/>
      <c r="AA102" s="69"/>
      <c r="AB102" s="118"/>
      <c r="AC102" s="118"/>
      <c r="AD102" s="118"/>
      <c r="AE102" s="69" t="s">
        <v>183</v>
      </c>
      <c r="AF102" s="69" t="s">
        <v>183</v>
      </c>
      <c r="AG102" s="69" t="s">
        <v>255</v>
      </c>
      <c r="AH102" s="69" t="s">
        <v>255</v>
      </c>
      <c r="AI102" s="123" t="b">
        <f t="shared" si="12"/>
        <v>0</v>
      </c>
      <c r="AJ102" s="123"/>
      <c r="AK102" s="123"/>
      <c r="AL102" s="123"/>
      <c r="AM102" s="123"/>
      <c r="AN102" s="170" t="str">
        <f t="shared" ref="AN102" si="19">IF(AJ102&lt;&gt;"","セキュリティ管理/","")&amp;IF(AK102&lt;&gt;"","マルウェア/","")&amp;IF(AL102&lt;&gt;"","クラウド/","")&amp;IF(AM102&lt;&gt;"","別表1,2,3","")</f>
        <v/>
      </c>
      <c r="AO102" s="123" t="s">
        <v>1044</v>
      </c>
    </row>
    <row r="103" spans="1:41" ht="157.5">
      <c r="A103" s="52"/>
      <c r="B103" s="58"/>
      <c r="C103" s="71" t="s">
        <v>2144</v>
      </c>
      <c r="D103" s="71" t="s">
        <v>885</v>
      </c>
      <c r="E103" s="91" t="str">
        <f>'インフラ(自社DC)'!E100</f>
        <v xml:space="preserve">構築対象の端末が不特定のインターネットアクセスや外部からのメール受信を行う場合、以下を実施しているか。
・インターネット閲覧環境の分離(仮想ブラウザ等）
・ブラウザのプロキシ設定の有効化
・POSTサイズ制限、アクセスログの取得
</v>
      </c>
      <c r="F103" s="99" t="s">
        <v>1151</v>
      </c>
      <c r="G103" s="92" t="s">
        <v>254</v>
      </c>
      <c r="H103" s="61"/>
      <c r="I103" s="107"/>
      <c r="J103" s="60"/>
      <c r="K103" s="60"/>
      <c r="L103" s="60"/>
      <c r="M103" s="123"/>
      <c r="N103" s="243"/>
      <c r="O103" s="111" cm="1">
        <f t="array" ref="O103">IF(AI103=TRUE,_xlfn.IFS(M103=1,2,M103="",IF(N103="",1,2)),0)</f>
        <v>0</v>
      </c>
      <c r="P103" s="69" t="s">
        <v>255</v>
      </c>
      <c r="Q103" s="69" t="s">
        <v>255</v>
      </c>
      <c r="R103" s="69" t="s">
        <v>255</v>
      </c>
      <c r="S103" s="69" t="s">
        <v>255</v>
      </c>
      <c r="T103" s="69"/>
      <c r="U103" s="69"/>
      <c r="V103" s="69"/>
      <c r="W103" s="69"/>
      <c r="X103" s="118"/>
      <c r="Y103" s="118" t="s">
        <v>255</v>
      </c>
      <c r="Z103" s="69"/>
      <c r="AA103" s="69"/>
      <c r="AB103" s="118"/>
      <c r="AC103" s="118"/>
      <c r="AD103" s="118"/>
      <c r="AE103" s="69" t="s">
        <v>183</v>
      </c>
      <c r="AF103" s="69" t="s">
        <v>183</v>
      </c>
      <c r="AG103" s="69" t="s">
        <v>255</v>
      </c>
      <c r="AH103" s="69" t="s">
        <v>255</v>
      </c>
      <c r="AI103" s="123" t="b">
        <f t="shared" si="12"/>
        <v>0</v>
      </c>
      <c r="AJ103" s="123"/>
      <c r="AK103" s="123"/>
      <c r="AL103" s="123"/>
      <c r="AM103" s="123" t="s">
        <v>183</v>
      </c>
      <c r="AN103" s="170" t="str">
        <f t="shared" ref="AN103" si="20">IF(AJ103&lt;&gt;"","セキュリティ管理/","")&amp;IF(AK103&lt;&gt;"","マルウェア/","")&amp;IF(AL103&lt;&gt;"","クラウド/","")&amp;IF(AM103&lt;&gt;"","別表1,2,3","")</f>
        <v>別表1,2,3</v>
      </c>
      <c r="AO103" s="124" t="s">
        <v>2212</v>
      </c>
    </row>
    <row r="104" spans="1:41" ht="180">
      <c r="A104" s="52"/>
      <c r="B104" s="58"/>
      <c r="C104" s="71" t="s">
        <v>2145</v>
      </c>
      <c r="D104" s="71" t="s">
        <v>1211</v>
      </c>
      <c r="E104" s="91" t="str">
        <f>'インフラ(自社DC)'!E101</f>
        <v xml:space="preserve">不特定からのメールを受信、かつ、不特定のインターネットへ直接アクセス可能な端末を構築する場合、不正なリンクが貼られたメールがフィルタリングをすり抜けた場合に備え、不正サイトへのアクセスを抑止できるようになっているか
不正サイトへの対策には以下のようなものがある。
・外部サイトへのURLリンクを一部加工する等のメール無害化を行う。
・仮想ブラウザにより端末とインターネットを分離する。
</v>
      </c>
      <c r="F104" s="99" t="s">
        <v>1151</v>
      </c>
      <c r="G104" s="92" t="s">
        <v>254</v>
      </c>
      <c r="H104" s="61"/>
      <c r="I104" s="107"/>
      <c r="J104" s="60"/>
      <c r="K104" s="60"/>
      <c r="L104" s="60"/>
      <c r="M104" s="123"/>
      <c r="N104" s="243"/>
      <c r="O104" s="111" cm="1">
        <f t="array" ref="O104">IF(AI104=TRUE,_xlfn.IFS(M104=1,2,M104="",IF(N104="",1,2)),0)</f>
        <v>0</v>
      </c>
      <c r="P104" s="69" t="s">
        <v>255</v>
      </c>
      <c r="Q104" s="69" t="s">
        <v>255</v>
      </c>
      <c r="R104" s="69" t="s">
        <v>255</v>
      </c>
      <c r="S104" s="69" t="s">
        <v>255</v>
      </c>
      <c r="T104" s="69"/>
      <c r="U104" s="69"/>
      <c r="V104" s="69"/>
      <c r="W104" s="69"/>
      <c r="X104" s="118"/>
      <c r="Y104" s="118" t="s">
        <v>255</v>
      </c>
      <c r="Z104" s="69"/>
      <c r="AA104" s="69"/>
      <c r="AB104" s="118"/>
      <c r="AC104" s="118"/>
      <c r="AD104" s="118"/>
      <c r="AE104" s="69" t="s">
        <v>183</v>
      </c>
      <c r="AF104" s="69" t="s">
        <v>183</v>
      </c>
      <c r="AG104" s="69" t="s">
        <v>255</v>
      </c>
      <c r="AH104" s="69" t="s">
        <v>255</v>
      </c>
      <c r="AI104" s="123" t="b">
        <f t="shared" si="12"/>
        <v>0</v>
      </c>
      <c r="AJ104" s="123"/>
      <c r="AK104" s="123"/>
      <c r="AL104" s="123"/>
      <c r="AM104" s="123"/>
      <c r="AN104" s="170" t="str">
        <f t="shared" ref="AN104" si="21">IF(AJ104&lt;&gt;"","セキュリティ管理/","")&amp;IF(AK104&lt;&gt;"","マルウェア/","")&amp;IF(AL104&lt;&gt;"","クラウド/","")&amp;IF(AM104&lt;&gt;"","別表1,2,3","")</f>
        <v/>
      </c>
      <c r="AO104" s="123" t="s">
        <v>1044</v>
      </c>
    </row>
    <row r="105" spans="1:41" ht="67.5">
      <c r="A105" s="52"/>
      <c r="B105" s="58"/>
      <c r="C105" s="71" t="s">
        <v>2146</v>
      </c>
      <c r="D105" s="71" t="s">
        <v>890</v>
      </c>
      <c r="E105" s="91" t="str">
        <f>'インフラ(自社DC)'!E103</f>
        <v>不特定からのメールを受信できるメール環境を構築する場合、あるいはメール受信を行う端末を構築する場合は、発信元のドメインやIPアドレス（特定のIPアドレス，海外等），メールの件名・本文に含まれるキーワード等の条件により、メールを遮断する機能を有しているか</v>
      </c>
      <c r="F105" s="99" t="s">
        <v>1151</v>
      </c>
      <c r="G105" s="92" t="s">
        <v>254</v>
      </c>
      <c r="H105" s="61"/>
      <c r="I105" s="107"/>
      <c r="J105" s="60"/>
      <c r="K105" s="60"/>
      <c r="L105" s="60"/>
      <c r="M105" s="123"/>
      <c r="N105" s="243"/>
      <c r="O105" s="111" cm="1">
        <f t="array" ref="O105">IF(AI105=TRUE,_xlfn.IFS(M105=1,2,M105="",IF(N105="",1,2)),0)</f>
        <v>0</v>
      </c>
      <c r="P105" s="69" t="s">
        <v>255</v>
      </c>
      <c r="Q105" s="69" t="s">
        <v>255</v>
      </c>
      <c r="R105" s="69" t="s">
        <v>255</v>
      </c>
      <c r="S105" s="69" t="s">
        <v>255</v>
      </c>
      <c r="T105" s="69"/>
      <c r="U105" s="69"/>
      <c r="V105" s="69"/>
      <c r="W105" s="69"/>
      <c r="X105" s="118"/>
      <c r="Y105" s="118" t="s">
        <v>255</v>
      </c>
      <c r="Z105" s="69"/>
      <c r="AA105" s="118" t="s">
        <v>255</v>
      </c>
      <c r="AB105" s="118"/>
      <c r="AC105" s="118"/>
      <c r="AD105" s="118"/>
      <c r="AE105" s="69" t="s">
        <v>183</v>
      </c>
      <c r="AF105" s="69" t="s">
        <v>183</v>
      </c>
      <c r="AG105" s="69" t="s">
        <v>255</v>
      </c>
      <c r="AH105" s="69" t="s">
        <v>255</v>
      </c>
      <c r="AI105" s="123" t="b">
        <f t="shared" si="12"/>
        <v>0</v>
      </c>
      <c r="AJ105" s="123"/>
      <c r="AK105" s="123" t="s">
        <v>183</v>
      </c>
      <c r="AL105" s="123"/>
      <c r="AM105" s="123"/>
      <c r="AN105" s="170" t="str">
        <f t="shared" si="13"/>
        <v>マルウェア/</v>
      </c>
      <c r="AO105" s="123" t="s">
        <v>1044</v>
      </c>
    </row>
    <row r="106" spans="1:41" ht="202.5">
      <c r="A106" s="52"/>
      <c r="B106" s="58"/>
      <c r="C106" s="71" t="s">
        <v>2147</v>
      </c>
      <c r="D106" s="71" t="s">
        <v>893</v>
      </c>
      <c r="E106" s="91" t="str">
        <f>'インフラ(自社DC)'!E104</f>
        <v>不特定からのメールを受信できるメール環境を構築する場合、あるいはメール受信を行う端末を構築する場合は、スパムメールや添付ファイルをフィルタリングし、実行形式の添付ファイルおよび実行形式のファイルを圧縮したものである場合はメールゲートウェイやメールサーバでドロップし、ユーザの手元に届かないようにしているか
（パスワード付き圧縮ファイル等、ファイル形式を技術的に判別できない場合を除く）
単体で実行される形式の添付ファイルは以下のようなものがある。
exe、bat、js、link、jar、chm、CMD、com、cpl、dll、hta、JSE、msc、ocx、pif、scr、sys、vbs、vbe、wsf、wsh等　</v>
      </c>
      <c r="F106" s="99" t="s">
        <v>1151</v>
      </c>
      <c r="G106" s="92" t="s">
        <v>254</v>
      </c>
      <c r="H106" s="61"/>
      <c r="I106" s="107"/>
      <c r="J106" s="60"/>
      <c r="K106" s="60"/>
      <c r="L106" s="60"/>
      <c r="M106" s="123"/>
      <c r="N106" s="243"/>
      <c r="O106" s="111" cm="1">
        <f t="array" ref="O106">IF(AI106=TRUE,_xlfn.IFS(M106=1,2,M106="",IF(N106="",1,2)),0)</f>
        <v>0</v>
      </c>
      <c r="P106" s="69" t="s">
        <v>255</v>
      </c>
      <c r="Q106" s="69" t="s">
        <v>255</v>
      </c>
      <c r="R106" s="69" t="s">
        <v>255</v>
      </c>
      <c r="S106" s="69" t="s">
        <v>255</v>
      </c>
      <c r="T106" s="69"/>
      <c r="U106" s="69"/>
      <c r="V106" s="69"/>
      <c r="W106" s="69"/>
      <c r="X106" s="118"/>
      <c r="Y106" s="118" t="s">
        <v>255</v>
      </c>
      <c r="Z106" s="69"/>
      <c r="AA106" s="118" t="s">
        <v>255</v>
      </c>
      <c r="AB106" s="118"/>
      <c r="AC106" s="118"/>
      <c r="AD106" s="118"/>
      <c r="AE106" s="69" t="s">
        <v>183</v>
      </c>
      <c r="AF106" s="69" t="s">
        <v>183</v>
      </c>
      <c r="AG106" s="69" t="s">
        <v>255</v>
      </c>
      <c r="AH106" s="69" t="s">
        <v>255</v>
      </c>
      <c r="AI106" s="123" t="b">
        <f t="shared" si="12"/>
        <v>0</v>
      </c>
      <c r="AJ106" s="123"/>
      <c r="AK106" s="123" t="s">
        <v>183</v>
      </c>
      <c r="AL106" s="123"/>
      <c r="AM106" s="123" t="s">
        <v>183</v>
      </c>
      <c r="AN106" s="170" t="str">
        <f t="shared" ref="AN106" si="22">IF(AJ106&lt;&gt;"","セキュリティ管理/","")&amp;IF(AK106&lt;&gt;"","マルウェア/","")&amp;IF(AL106&lt;&gt;"","クラウド/","")&amp;IF(AM106&lt;&gt;"","別表1,2,3","")</f>
        <v>マルウェア/別表1,2,3</v>
      </c>
      <c r="AO106" s="123" t="s">
        <v>1044</v>
      </c>
    </row>
    <row r="107" spans="1:41" ht="135">
      <c r="A107" s="52"/>
      <c r="B107" s="58"/>
      <c r="C107" s="71" t="s">
        <v>2148</v>
      </c>
      <c r="D107" s="71" t="s">
        <v>896</v>
      </c>
      <c r="E107" s="91" t="str">
        <f>'インフラ(自社DC)'!E110</f>
        <v>任意の添付ファイルを社外に送信できるメール環境を構築する場合、あるいは外部へのメール送信を行う端末を構築する場合は、重要情報検知システム等により、送信時に上司の承認を求める、もしくは写に上司を設定しなければ送信できない仕組みとし、管理者が不正な送付でないことをモニタリングしているか。
もし現地法制・現地慣習などを踏まえ、上記対策が実施できない場合は個別にITサービス管理部へ相談すること</v>
      </c>
      <c r="F107" s="99" t="s">
        <v>1151</v>
      </c>
      <c r="G107" s="92" t="s">
        <v>254</v>
      </c>
      <c r="H107" s="61"/>
      <c r="I107" s="107"/>
      <c r="J107" s="60"/>
      <c r="K107" s="60"/>
      <c r="L107" s="60"/>
      <c r="M107" s="123"/>
      <c r="N107" s="243"/>
      <c r="O107" s="111" cm="1">
        <f t="array" ref="O107">IF(AI107=TRUE,_xlfn.IFS(M107=1,2,M107="",IF(N107="",1,2)),0)</f>
        <v>0</v>
      </c>
      <c r="P107" s="69" t="s">
        <v>255</v>
      </c>
      <c r="Q107" s="69" t="s">
        <v>255</v>
      </c>
      <c r="R107" s="69" t="s">
        <v>255</v>
      </c>
      <c r="S107" s="69" t="s">
        <v>255</v>
      </c>
      <c r="T107" s="69"/>
      <c r="U107" s="69"/>
      <c r="V107" s="69"/>
      <c r="W107" s="69"/>
      <c r="X107" s="118"/>
      <c r="Y107" s="118" t="s">
        <v>255</v>
      </c>
      <c r="Z107" s="69"/>
      <c r="AA107" s="118" t="s">
        <v>255</v>
      </c>
      <c r="AB107" s="118"/>
      <c r="AC107" s="118"/>
      <c r="AD107" s="118"/>
      <c r="AE107" s="69" t="s">
        <v>183</v>
      </c>
      <c r="AF107" s="69" t="s">
        <v>183</v>
      </c>
      <c r="AG107" s="69" t="s">
        <v>255</v>
      </c>
      <c r="AH107" s="69" t="s">
        <v>255</v>
      </c>
      <c r="AI107" s="123" t="b">
        <f t="shared" si="12"/>
        <v>0</v>
      </c>
      <c r="AJ107" s="123"/>
      <c r="AK107" s="123"/>
      <c r="AL107" s="123"/>
      <c r="AM107" s="123" t="s">
        <v>183</v>
      </c>
      <c r="AN107" s="170" t="str">
        <f t="shared" ref="AN107" si="23">IF(AJ107&lt;&gt;"","セキュリティ管理/","")&amp;IF(AK107&lt;&gt;"","マルウェア/","")&amp;IF(AL107&lt;&gt;"","クラウド/","")&amp;IF(AM107&lt;&gt;"","別表1,2,3","")</f>
        <v>別表1,2,3</v>
      </c>
      <c r="AO107" s="123" t="s">
        <v>1044</v>
      </c>
    </row>
    <row r="108" spans="1:41" ht="202.5">
      <c r="A108" s="52"/>
      <c r="B108" s="58"/>
      <c r="C108" s="71" t="s">
        <v>2149</v>
      </c>
      <c r="D108" s="71" t="s">
        <v>899</v>
      </c>
      <c r="E108" s="91" t="str">
        <f>'インフラ(自社DC)'!E112</f>
        <v>構築対象のプロキシの認証機能を有効にし、インターネットへの通信について以下の要件を踏まえた上で認証を行うようにしているか
・プロキシは、ユーザ管理機能付またはディレクトリサービスと連携可能でユーザ単位で認証が可能になっているか。
・ユーザで認証する場合は、Basic認証ではなく、Digest認証やNTLM認証等の認証方式を採用しているか。
・端末やサーバで認証する場合は、証明書を登録したデバイス単位で認証が可能になっているか。</v>
      </c>
      <c r="F108" s="99" t="s">
        <v>1120</v>
      </c>
      <c r="G108" s="92" t="s">
        <v>254</v>
      </c>
      <c r="H108" s="61"/>
      <c r="I108" s="107"/>
      <c r="J108" s="60"/>
      <c r="K108" s="60"/>
      <c r="L108" s="60"/>
      <c r="M108" s="123"/>
      <c r="N108" s="243"/>
      <c r="O108" s="111" cm="1">
        <f t="array" ref="O108">IF(AI108=TRUE,_xlfn.IFS(M108=1,2,M108="",IF(N108="",1,2)),0)</f>
        <v>0</v>
      </c>
      <c r="P108" s="69" t="s">
        <v>255</v>
      </c>
      <c r="Q108" s="69" t="s">
        <v>183</v>
      </c>
      <c r="R108" s="69" t="s">
        <v>183</v>
      </c>
      <c r="S108" s="69" t="s">
        <v>183</v>
      </c>
      <c r="T108" s="69"/>
      <c r="U108" s="69"/>
      <c r="V108" s="69"/>
      <c r="W108" s="69"/>
      <c r="X108" s="118" t="s">
        <v>448</v>
      </c>
      <c r="Y108" s="69"/>
      <c r="Z108" s="118" t="s">
        <v>255</v>
      </c>
      <c r="AA108" s="69"/>
      <c r="AB108" s="118"/>
      <c r="AC108" s="118"/>
      <c r="AD108" s="118"/>
      <c r="AE108" s="69" t="s">
        <v>183</v>
      </c>
      <c r="AF108" s="69" t="s">
        <v>183</v>
      </c>
      <c r="AG108" s="69"/>
      <c r="AH108" s="69" t="s">
        <v>255</v>
      </c>
      <c r="AI108" s="123" t="b">
        <f t="shared" si="12"/>
        <v>0</v>
      </c>
      <c r="AJ108" s="123"/>
      <c r="AK108" s="123"/>
      <c r="AL108" s="123"/>
      <c r="AM108" s="123"/>
      <c r="AN108" s="170" t="str">
        <f t="shared" si="13"/>
        <v/>
      </c>
      <c r="AO108" s="123"/>
    </row>
    <row r="109" spans="1:41" ht="45">
      <c r="A109" s="52"/>
      <c r="B109" s="58"/>
      <c r="C109" s="71" t="s">
        <v>2150</v>
      </c>
      <c r="D109" s="71" t="s">
        <v>902</v>
      </c>
      <c r="E109" s="91" t="str">
        <f>'インフラ(自社DC)'!E113</f>
        <v>構築対象のプロキシにおいて一定時間操作が行われなかった場合のタイムアウトが設定されているか</v>
      </c>
      <c r="F109" s="99" t="s">
        <v>1120</v>
      </c>
      <c r="G109" s="92" t="s">
        <v>254</v>
      </c>
      <c r="H109" s="61"/>
      <c r="I109" s="107"/>
      <c r="J109" s="60"/>
      <c r="K109" s="60"/>
      <c r="L109" s="60"/>
      <c r="M109" s="123"/>
      <c r="N109" s="243"/>
      <c r="O109" s="111" cm="1">
        <f t="array" ref="O109">IF(AI109=TRUE,_xlfn.IFS(M109=1,2,M109="",IF(N109="",1,2)),0)</f>
        <v>0</v>
      </c>
      <c r="P109" s="69" t="s">
        <v>255</v>
      </c>
      <c r="Q109" s="69" t="s">
        <v>183</v>
      </c>
      <c r="R109" s="69" t="s">
        <v>183</v>
      </c>
      <c r="S109" s="69" t="s">
        <v>183</v>
      </c>
      <c r="T109" s="69"/>
      <c r="U109" s="69"/>
      <c r="V109" s="69"/>
      <c r="W109" s="69"/>
      <c r="X109" s="118" t="s">
        <v>448</v>
      </c>
      <c r="Y109" s="69"/>
      <c r="Z109" s="118" t="s">
        <v>255</v>
      </c>
      <c r="AA109" s="69"/>
      <c r="AB109" s="118"/>
      <c r="AC109" s="118"/>
      <c r="AD109" s="118"/>
      <c r="AE109" s="69" t="s">
        <v>183</v>
      </c>
      <c r="AF109" s="69" t="s">
        <v>183</v>
      </c>
      <c r="AG109" s="69"/>
      <c r="AH109" s="69" t="s">
        <v>255</v>
      </c>
      <c r="AI109" s="123" t="b">
        <f t="shared" si="12"/>
        <v>0</v>
      </c>
      <c r="AJ109" s="123"/>
      <c r="AK109" s="123"/>
      <c r="AL109" s="123"/>
      <c r="AM109" s="123"/>
      <c r="AN109" s="170" t="str">
        <f t="shared" si="13"/>
        <v/>
      </c>
      <c r="AO109" s="123"/>
    </row>
    <row r="110" spans="1:41">
      <c r="H110">
        <f>COUNTA(H10:H109)</f>
        <v>0</v>
      </c>
      <c r="O110" s="24">
        <f>COUNTIF(O10:O109,2)</f>
        <v>0</v>
      </c>
      <c r="AI110" s="24">
        <f>COUNTIF(AI10:AI109,TRUE)</f>
        <v>0</v>
      </c>
      <c r="AJ110" s="24"/>
      <c r="AK110" s="24"/>
      <c r="AL110" s="24"/>
      <c r="AM110" s="24"/>
      <c r="AN110" s="24"/>
    </row>
    <row r="111" spans="1:41">
      <c r="H111">
        <f>COUNTIF(H10:H109,インデックス!CJ185)</f>
        <v>0</v>
      </c>
      <c r="O111" s="24" cm="1">
        <f t="array" ref="O111">SUMPRODUCT((O10:O109=2)*($AN10:$AN109&lt;&gt;""))</f>
        <v>0</v>
      </c>
      <c r="AI111" s="24" cm="1">
        <f t="array" ref="AI111">SUMPRODUCT((AI10:AI109=TRUE)*($AN10:$AN109&lt;&gt;""))</f>
        <v>0</v>
      </c>
    </row>
    <row r="112" spans="1:41">
      <c r="H112" cm="1">
        <f t="array" ref="H112">SUMPRODUCT((H10:H109&lt;&gt;"")*(AN10:AN109&lt;&gt;""))</f>
        <v>0</v>
      </c>
    </row>
    <row r="113" spans="8:8">
      <c r="H113" cm="1">
        <f t="array" ref="H113">SUMPRODUCT((H10:H109=インデックス!$CJ$185)*(AN10:AN109&lt;&gt;""))</f>
        <v>0</v>
      </c>
    </row>
  </sheetData>
  <autoFilter ref="A7:AO109" xr:uid="{00000000-0009-0000-0000-000009000000}"/>
  <mergeCells count="1">
    <mergeCell ref="M1:N2"/>
  </mergeCells>
  <phoneticPr fontId="7"/>
  <conditionalFormatting sqref="E10:I48 E51:I83 E85:I109">
    <cfRule type="expression" dxfId="113" priority="405">
      <formula>$AI10=FALSE</formula>
    </cfRule>
  </conditionalFormatting>
  <conditionalFormatting sqref="E50:I50">
    <cfRule type="expression" dxfId="112" priority="22">
      <formula>$AI50=FALSE</formula>
    </cfRule>
  </conditionalFormatting>
  <conditionalFormatting sqref="E49:I49">
    <cfRule type="expression" dxfId="111" priority="15">
      <formula>$AI49=FALSE</formula>
    </cfRule>
  </conditionalFormatting>
  <conditionalFormatting sqref="E84:I84">
    <cfRule type="expression" dxfId="110" priority="5">
      <formula>$AI84=FALSE</formula>
    </cfRule>
  </conditionalFormatting>
  <dataValidations count="1">
    <dataValidation type="list" allowBlank="1" showInputMessage="1" showErrorMessage="1" sqref="M8:M109" xr:uid="{00000000-0002-0000-09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3B2D84F3-6F64-433A-8C73-F04FACF1B507}">
            <xm:f>M$1=インデックス!$CJ$189</xm:f>
            <x14:dxf>
              <fill>
                <patternFill>
                  <bgColor theme="5"/>
                </patternFill>
              </fill>
            </x14:dxf>
          </x14:cfRule>
          <x14:cfRule type="expression" priority="9" id="{EB526252-8263-4D08-854A-6D64F2EC5538}">
            <xm:f>M$1=インデックス!$CJ$188</xm:f>
            <x14:dxf>
              <fill>
                <patternFill>
                  <bgColor theme="9"/>
                </patternFill>
              </fill>
            </x14:dxf>
          </x14:cfRule>
          <x14:cfRule type="expression" priority="10" id="{CA673D80-70E5-4011-9650-5424A4A9F2FE}">
            <xm:f>M$1=インデックス!$CJ$187</xm:f>
            <x14:dxf>
              <fill>
                <patternFill>
                  <bgColor theme="4"/>
                </patternFill>
              </fill>
            </x14:dxf>
          </x14:cfRule>
          <xm:sqref>M1:N2</xm:sqref>
        </x14:conditionalFormatting>
        <x14:conditionalFormatting xmlns:xm="http://schemas.microsoft.com/office/excel/2006/main">
          <x14:cfRule type="expression" priority="1032" id="{3E19E06C-BB24-4763-A7DF-A03D5AE6CEA1}">
            <xm:f>AND($AI10=TRUE,COUNTIF($H10,インデックス!$CJ$186),ISBLANK($I10))</xm:f>
            <x14:dxf>
              <fill>
                <patternFill>
                  <bgColor theme="5"/>
                </patternFill>
              </fill>
            </x14:dxf>
          </x14:cfRule>
          <x14:cfRule type="expression" priority="1033" id="{1242DE8D-DD76-49FB-B800-C13710E0DF7E}">
            <xm:f>AND($AI10=TRUE,$H10=インデックス!$CJ$184,ISBLANK($I10))</xm:f>
            <x14:dxf>
              <fill>
                <patternFill>
                  <bgColor theme="5"/>
                </patternFill>
              </fill>
            </x14:dxf>
          </x14:cfRule>
          <xm:sqref>I99:I109 I10:I59 I61:I97</xm:sqref>
        </x14:conditionalFormatting>
        <x14:conditionalFormatting xmlns:xm="http://schemas.microsoft.com/office/excel/2006/main">
          <x14:cfRule type="expression" priority="1050" id="{4FEA96BC-EADB-4DE4-8B3D-13C9033D8E14}">
            <xm:f>AND(AI53=TRUE,COUNTIF(H53,インデックス!$CJ$186),LENB(I53)=161)</xm:f>
            <x14:dxf>
              <fill>
                <patternFill>
                  <bgColor theme="5"/>
                </patternFill>
              </fill>
            </x14:dxf>
          </x14:cfRule>
          <x14:cfRule type="expression" priority="1051" id="{A3F08B6F-54CD-4D7F-8953-8D718F533E61}">
            <xm:f>AND(AI53=TRUE,H53=インデックス!$CJ$184,LENB(I53)=161)</xm:f>
            <x14:dxf>
              <fill>
                <patternFill>
                  <bgColor theme="5"/>
                </patternFill>
              </fill>
            </x14:dxf>
          </x14:cfRule>
          <x14:cfRule type="expression" priority="1052" id="{1AE797EE-8E91-49FE-AE40-74ABBA3C6E7C}">
            <xm:f>AND(AI53=TRUE,H53=インデックス!$CJ$183,LENB(I53)=161)</xm:f>
            <x14:dxf>
              <fill>
                <patternFill>
                  <bgColor theme="5"/>
                </patternFill>
              </fill>
            </x14:dxf>
          </x14:cfRule>
          <xm:sqref>I53</xm:sqref>
        </x14:conditionalFormatting>
        <x14:conditionalFormatting xmlns:xm="http://schemas.microsoft.com/office/excel/2006/main">
          <x14:cfRule type="expression" priority="1055" id="{37F523D1-8E39-49BF-B081-10155E92993B}">
            <xm:f>AND($AI60=TRUE,COUNTIF($H60,インデックス!$CJ$186),ISBLANK($I60))</xm:f>
            <x14:dxf>
              <fill>
                <patternFill>
                  <bgColor theme="5"/>
                </patternFill>
              </fill>
            </x14:dxf>
          </x14:cfRule>
          <x14:cfRule type="expression" priority="1056" id="{BA86D7DD-EA41-4383-97D1-3E4D028E6305}">
            <xm:f>AND($AI60=TRUE,$H60=インデックス!$CJ$186,ISBLANK($I60))</xm:f>
            <x14:dxf>
              <fill>
                <patternFill>
                  <bgColor theme="5"/>
                </patternFill>
              </fill>
            </x14:dxf>
          </x14:cfRule>
          <xm:sqref>I60</xm:sqref>
        </x14:conditionalFormatting>
        <x14:conditionalFormatting xmlns:xm="http://schemas.microsoft.com/office/excel/2006/main">
          <x14:cfRule type="expression" priority="1065" id="{F9F638C5-1560-4136-B924-56F839242B41}">
            <xm:f>AND($AI98=TRUE,COUNTIF($H98,インデックス!$CJ$186),ISBLANK($I98))</xm:f>
            <x14:dxf>
              <fill>
                <patternFill>
                  <bgColor theme="5"/>
                </patternFill>
              </fill>
            </x14:dxf>
          </x14:cfRule>
          <x14:cfRule type="expression" priority="1066" id="{57529CF4-8AB4-4DAB-A277-4FCB549AEE81}">
            <xm:f>AND($AI98=TRUE,$H98=インデックス!$CJ$184,ISBLANK($I98))</xm:f>
            <x14:dxf>
              <fill>
                <patternFill>
                  <bgColor theme="5"/>
                </patternFill>
              </fill>
            </x14:dxf>
          </x14:cfRule>
          <x14:cfRule type="expression" priority="1067" id="{39186312-C078-471B-8AE0-5CC477E6B9A3}">
            <xm:f>AND($AI98=TRUE,$H98=インデックス!$CJ$183,ISBLANK($I98))</xm:f>
            <x14:dxf>
              <fill>
                <patternFill>
                  <bgColor theme="5"/>
                </patternFill>
              </fill>
            </x14:dxf>
          </x14:cfRule>
          <xm:sqref>I98</xm:sqref>
        </x14:conditionalFormatting>
        <x14:conditionalFormatting xmlns:xm="http://schemas.microsoft.com/office/excel/2006/main">
          <x14:cfRule type="expression" priority="1096" id="{7BC9E313-AE72-4570-8851-6395A3364E26}">
            <xm:f>AND($AI10=TRUE,OR($H10=インデックス!$CJ$183,$H10=インデックス!$CJ$184,$H10=インデックス!$CJ$185,$H10=インデックス!$CJ$186),ISBLANK($M10))</xm:f>
            <x14:dxf>
              <fill>
                <patternFill>
                  <bgColor theme="5"/>
                </patternFill>
              </fill>
            </x14:dxf>
          </x14:cfRule>
          <xm:sqref>M10:M109</xm:sqref>
        </x14:conditionalFormatting>
        <x14:conditionalFormatting xmlns:xm="http://schemas.microsoft.com/office/excel/2006/main">
          <x14:cfRule type="expression" priority="1099" id="{B2A6D6E6-6ECA-44E1-9C14-8E3DF2C50173}">
            <xm:f>AND($AI10=TRUE,OR($H10=インデックス!$CJ$184,$H10=インデックス!$CJ$185,$H10=インデックス!$CJ$186),ISBLANK($N10))</xm:f>
            <x14:dxf>
              <fill>
                <patternFill>
                  <bgColor theme="5"/>
                </patternFill>
              </fill>
            </x14:dxf>
          </x14:cfRule>
          <xm:sqref>N10:N109</xm:sqref>
        </x14:conditionalFormatting>
        <x14:conditionalFormatting xmlns:xm="http://schemas.microsoft.com/office/excel/2006/main">
          <x14:cfRule type="expression" priority="1126" id="{6C459FDF-9EEF-4E92-81AB-C24807F95E93}">
            <xm:f>AND($AI20=TRUE,インデックス!$AL$63=TRUE,$H20=インデックス!$CJ$183,ISBLANK($I20))</xm:f>
            <x14:dxf>
              <fill>
                <patternFill>
                  <bgColor theme="5"/>
                </patternFill>
              </fill>
            </x14:dxf>
          </x14:cfRule>
          <xm:sqref>I20 I28 I34 I90</xm:sqref>
        </x14:conditionalFormatting>
        <x14:conditionalFormatting xmlns:xm="http://schemas.microsoft.com/office/excel/2006/main">
          <x14:cfRule type="expression" priority="1786" id="{3509762C-4780-4DC0-9D97-73B000F40A9D}">
            <xm:f>AND($AI10=TRUE,$H10=インデックス!$CJ$184,ISBLANK($M10),インデックス!$AL$40=TRUE)</xm:f>
            <x14:dxf>
              <fill>
                <patternFill>
                  <bgColor theme="5"/>
                </patternFill>
              </fill>
            </x14:dxf>
          </x14:cfRule>
          <xm:sqref>M10:M109</xm:sqref>
        </x14:conditionalFormatting>
        <x14:conditionalFormatting xmlns:xm="http://schemas.microsoft.com/office/excel/2006/main">
          <x14:cfRule type="expression" priority="1787" id="{5559C634-E263-41F6-AC46-3F9BFD366D61}">
            <xm:f>AND($AI10=TRUE,$H10=インデックス!$CJ$184,ISBLANK($N10),インデックス!$AL$40=TRUE)</xm:f>
            <x14:dxf>
              <fill>
                <patternFill>
                  <bgColor theme="5"/>
                </patternFill>
              </fill>
            </x14:dxf>
          </x14:cfRule>
          <xm:sqref>N16:O16 N56:O56 N46:O46 N51:O52 N63:O63 N85:O86 N10:N15 N26:O26 N17:N25 N31:O32 N27:N30 N39:O40 N33:N38 N68:O69 N64:N67 N87:N109 N53:N55 N41:N45 N47:N48 N57:N62 N50 N49:O49 N70:N84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インデックス!$CJ$183:$CJ$186</xm:f>
          </x14:formula1>
          <xm:sqref>H10:H15 H27:H30 H33:H38 H57:H62 H50 H64:H67 H41:H45 H53:H55 H17:H25 H87:H109 H47:H48 H70:H84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O112"/>
  <sheetViews>
    <sheetView showGridLines="0" zoomScale="70" zoomScaleNormal="70" workbookViewId="0">
      <pane ySplit="7" topLeftCell="A8" activePane="bottomLeft" state="frozen"/>
      <selection activeCell="B5" sqref="B5"/>
      <selection pane="bottomLeft"/>
    </sheetView>
  </sheetViews>
  <sheetFormatPr defaultColWidth="9" defaultRowHeight="18" outlineLevelCol="1"/>
  <cols>
    <col min="1" max="2" width="5.58203125" customWidth="1"/>
    <col min="3" max="3" width="9.08203125" style="2" bestFit="1" customWidth="1"/>
    <col min="4" max="4" width="8.58203125" style="2" customWidth="1"/>
    <col min="5" max="6" width="100.58203125" style="3" customWidth="1"/>
    <col min="7" max="7" width="16.58203125" customWidth="1"/>
    <col min="8" max="8" width="20.58203125" customWidth="1"/>
    <col min="9" max="9" width="55.58203125" style="2" customWidth="1"/>
    <col min="10" max="12" width="15.58203125" hidden="1" customWidth="1" outlineLevel="1"/>
    <col min="13" max="13" width="18.58203125" customWidth="1" collapsed="1"/>
    <col min="14" max="14" width="50.58203125" customWidth="1"/>
    <col min="15" max="15" width="17.58203125" hidden="1" customWidth="1" outlineLevel="1"/>
    <col min="16" max="19" width="15.58203125" style="24" hidden="1" customWidth="1" outlineLevel="1"/>
    <col min="20" max="24" width="15.58203125" style="27" hidden="1" customWidth="1" outlineLevel="1"/>
    <col min="25" max="35" width="15.58203125" style="24" hidden="1" customWidth="1" outlineLevel="1"/>
    <col min="36" max="39" width="15.58203125" hidden="1" customWidth="1" outlineLevel="1"/>
    <col min="40" max="40" width="40.75" customWidth="1" collapsed="1"/>
    <col min="41" max="41" width="18.75" customWidth="1"/>
  </cols>
  <sheetData>
    <row r="1" spans="1:41" ht="32.5">
      <c r="A1" s="43" t="s">
        <v>1216</v>
      </c>
      <c r="C1"/>
      <c r="D1"/>
      <c r="E1" s="50"/>
      <c r="F1" s="2"/>
      <c r="H1" s="24"/>
      <c r="I1" s="48"/>
      <c r="J1" s="24"/>
      <c r="K1" s="24"/>
      <c r="L1" s="24"/>
      <c r="M1" s="387" t="str" cm="1">
        <f t="array" ref="M1">IF(COUNTIF(O10:O108,1)=0,インデックス!$CJ$187,IF(AND(インデックス!$AL$63,SUMPRODUCT((O10:O108=1)*($AN10:$AN108&lt;&gt;""))=0),インデックス!$CJ$188,インデックス!$CJ$189))</f>
        <v>全件評価完了</v>
      </c>
      <c r="N1" s="387"/>
      <c r="O1" s="24"/>
      <c r="T1" s="24"/>
      <c r="U1" s="24"/>
      <c r="V1" s="24"/>
      <c r="W1" s="24"/>
      <c r="X1"/>
      <c r="Y1"/>
      <c r="Z1"/>
      <c r="AA1"/>
      <c r="AB1"/>
      <c r="AC1"/>
      <c r="AD1"/>
      <c r="AE1"/>
      <c r="AF1"/>
      <c r="AG1"/>
      <c r="AH1"/>
      <c r="AI1"/>
    </row>
    <row r="2" spans="1:41" ht="26.5">
      <c r="B2" s="42" t="s">
        <v>713</v>
      </c>
      <c r="C2"/>
      <c r="D2"/>
      <c r="E2" s="50"/>
      <c r="F2" s="2"/>
      <c r="H2" s="24"/>
      <c r="I2" s="48"/>
      <c r="J2" s="24"/>
      <c r="K2" s="24"/>
      <c r="L2" s="24"/>
      <c r="M2" s="387"/>
      <c r="N2" s="387"/>
      <c r="O2" s="24"/>
      <c r="T2" s="24"/>
      <c r="U2" s="24"/>
      <c r="V2" s="24"/>
      <c r="W2" s="24"/>
      <c r="X2"/>
      <c r="Y2"/>
      <c r="Z2"/>
      <c r="AA2"/>
      <c r="AB2"/>
      <c r="AC2"/>
      <c r="AD2"/>
      <c r="AE2"/>
      <c r="AF2"/>
      <c r="AG2"/>
      <c r="AH2"/>
      <c r="AI2"/>
    </row>
    <row r="3" spans="1:41" ht="26.5">
      <c r="B3" s="42" t="s">
        <v>1217</v>
      </c>
      <c r="C3"/>
      <c r="D3"/>
      <c r="E3" s="50"/>
      <c r="F3" s="2"/>
      <c r="H3" s="24"/>
      <c r="I3" s="48"/>
      <c r="J3" s="24"/>
      <c r="K3" s="24"/>
      <c r="L3" s="24"/>
      <c r="M3" s="24"/>
      <c r="N3" s="24"/>
      <c r="O3" s="24"/>
      <c r="T3" s="24"/>
      <c r="U3" s="24"/>
      <c r="V3" s="24"/>
      <c r="W3" s="24"/>
      <c r="X3"/>
      <c r="Y3"/>
      <c r="Z3"/>
      <c r="AA3"/>
      <c r="AB3"/>
      <c r="AC3"/>
      <c r="AD3"/>
      <c r="AE3"/>
      <c r="AF3"/>
      <c r="AG3"/>
      <c r="AH3"/>
      <c r="AI3"/>
    </row>
    <row r="4" spans="1:41" ht="26.5">
      <c r="B4" s="42" t="s">
        <v>1111</v>
      </c>
      <c r="C4"/>
      <c r="D4"/>
      <c r="E4" s="50"/>
      <c r="F4" s="2"/>
      <c r="H4" s="24"/>
      <c r="I4" s="48"/>
      <c r="J4" s="24"/>
      <c r="K4" s="24"/>
      <c r="L4" s="24"/>
      <c r="M4" s="24"/>
      <c r="N4" s="24"/>
      <c r="O4" s="24"/>
      <c r="T4" s="24"/>
      <c r="U4" s="24"/>
      <c r="V4" s="24"/>
      <c r="W4" s="24"/>
      <c r="X4"/>
      <c r="Y4"/>
      <c r="Z4"/>
      <c r="AA4"/>
      <c r="AB4"/>
      <c r="AC4"/>
      <c r="AD4"/>
      <c r="AE4"/>
      <c r="AF4"/>
      <c r="AG4"/>
      <c r="AH4"/>
      <c r="AI4"/>
    </row>
    <row r="5" spans="1:41" ht="26.5">
      <c r="B5" s="42" t="s">
        <v>1112</v>
      </c>
      <c r="C5"/>
      <c r="D5"/>
      <c r="E5" s="50"/>
      <c r="F5" s="2"/>
      <c r="H5" s="24"/>
      <c r="I5" s="48"/>
      <c r="J5" s="24"/>
      <c r="K5" s="24"/>
      <c r="L5" s="24"/>
      <c r="M5" s="24"/>
      <c r="N5" s="24"/>
      <c r="O5" s="24"/>
      <c r="T5" s="24"/>
      <c r="U5" s="24"/>
      <c r="V5" s="24"/>
      <c r="W5" s="24"/>
      <c r="X5"/>
      <c r="Y5"/>
      <c r="Z5"/>
      <c r="AA5"/>
      <c r="AB5"/>
      <c r="AC5"/>
      <c r="AD5"/>
      <c r="AE5"/>
      <c r="AF5"/>
      <c r="AG5"/>
      <c r="AH5"/>
      <c r="AI5"/>
    </row>
    <row r="6" spans="1:41">
      <c r="C6"/>
      <c r="D6"/>
      <c r="J6" s="160"/>
      <c r="K6" s="160"/>
      <c r="L6" s="160"/>
      <c r="M6" s="163" t="s">
        <v>229</v>
      </c>
      <c r="N6" s="161"/>
      <c r="O6" s="161"/>
      <c r="P6" s="25" t="b">
        <f>AND(インデックス!$AL$38,インデックス!$AL$63)</f>
        <v>0</v>
      </c>
      <c r="Q6" s="25" t="b">
        <f>インデックス!$AL$39</f>
        <v>0</v>
      </c>
      <c r="R6" s="25" t="b">
        <f>OR(インデックス!$AL$37,インデックス!$AL$40)</f>
        <v>0</v>
      </c>
      <c r="S6" s="32" t="b">
        <f>インデックス!AL117</f>
        <v>0</v>
      </c>
      <c r="T6" s="26" t="b">
        <f>AND(TRUE,NOT(OR(インデックス!$AL$51,インデックス!$AL$69)))</f>
        <v>1</v>
      </c>
      <c r="U6" s="26" t="b">
        <f>AND(インデックス!$AL$56,NOT(OR(インデックス!$AL$51,インデックス!$AL$69)))</f>
        <v>0</v>
      </c>
      <c r="V6" s="26" t="b">
        <f>AND(インデックス!$AL$57,NOT(OR(インデックス!$AL$51,インデックス!$AL$69)))</f>
        <v>0</v>
      </c>
      <c r="W6" s="26" t="b">
        <f>AND(インデックス!$AL$58,NOT(OR(インデックス!$AL$51,インデックス!$AL$69)))</f>
        <v>0</v>
      </c>
      <c r="X6" s="30" t="b">
        <f>AND(インデックス!$AL$63,NOT(OR(インデックス!$AL$51,インデックス!$AL$69)))</f>
        <v>0</v>
      </c>
      <c r="Y6" s="26" t="b">
        <f>インデックス!$AL$86</f>
        <v>0</v>
      </c>
      <c r="Z6" s="26" t="b">
        <f>インデックス!$AL$88</f>
        <v>0</v>
      </c>
      <c r="AA6" s="26" t="b">
        <f>インデックス!$AL$87</f>
        <v>0</v>
      </c>
      <c r="AB6" s="26" t="b">
        <f>AND(インデックス!$AL$93,NOT(OR(インデックス!$AL$51,インデックス!$AL$69)))</f>
        <v>0</v>
      </c>
      <c r="AC6" s="26" t="b">
        <f>AND(インデックス!$AL$94,NOT(OR(インデックス!$AL$51,インデックス!$AL$69)))</f>
        <v>0</v>
      </c>
      <c r="AD6" s="26" t="b">
        <f>AND(インデックス!$AL$48,NOT(インデックス!$AL$69))</f>
        <v>0</v>
      </c>
      <c r="AE6" s="31" t="b">
        <f>インデックス!$AL$43</f>
        <v>0</v>
      </c>
      <c r="AF6" s="31" t="b">
        <f>OR(インデックス!$AL$48,インデックス!$AL$49)</f>
        <v>0</v>
      </c>
      <c r="AG6" s="31" t="b">
        <f>インデックス!$AL$63</f>
        <v>0</v>
      </c>
      <c r="AH6" s="31" t="b">
        <f>インデックス!$AL$44</f>
        <v>0</v>
      </c>
      <c r="AI6" s="160"/>
      <c r="AJ6" s="162"/>
      <c r="AK6" s="162"/>
      <c r="AL6" s="162"/>
      <c r="AM6" s="162"/>
      <c r="AN6" s="162"/>
      <c r="AO6" s="162"/>
    </row>
    <row r="7" spans="1:41" ht="67.5">
      <c r="A7" s="293"/>
      <c r="B7" s="293"/>
      <c r="C7" s="293" t="s">
        <v>230</v>
      </c>
      <c r="D7" s="293" t="s">
        <v>155</v>
      </c>
      <c r="E7" s="292" t="s">
        <v>1982</v>
      </c>
      <c r="F7" s="292" t="s">
        <v>1218</v>
      </c>
      <c r="G7" s="294" t="s">
        <v>232</v>
      </c>
      <c r="H7" s="64" t="s">
        <v>233</v>
      </c>
      <c r="I7" s="291" t="s">
        <v>1985</v>
      </c>
      <c r="J7" s="64" t="s">
        <v>234</v>
      </c>
      <c r="K7" s="64" t="s">
        <v>235</v>
      </c>
      <c r="L7" s="64" t="s">
        <v>236</v>
      </c>
      <c r="M7" s="159" t="s">
        <v>2000</v>
      </c>
      <c r="N7" s="73" t="s">
        <v>237</v>
      </c>
      <c r="O7" s="290" t="s">
        <v>1989</v>
      </c>
      <c r="P7" s="64" t="s">
        <v>238</v>
      </c>
      <c r="Q7" s="64" t="s">
        <v>239</v>
      </c>
      <c r="R7" s="159" t="s">
        <v>240</v>
      </c>
      <c r="S7" s="64" t="s">
        <v>1219</v>
      </c>
      <c r="T7" s="112" t="s">
        <v>241</v>
      </c>
      <c r="U7" s="74" t="s">
        <v>716</v>
      </c>
      <c r="V7" s="112" t="s">
        <v>717</v>
      </c>
      <c r="W7" s="112" t="s">
        <v>718</v>
      </c>
      <c r="X7" s="112" t="s">
        <v>195</v>
      </c>
      <c r="Y7" s="112" t="s">
        <v>82</v>
      </c>
      <c r="Z7" s="112" t="s">
        <v>84</v>
      </c>
      <c r="AA7" s="112" t="s">
        <v>469</v>
      </c>
      <c r="AB7" s="112" t="s">
        <v>242</v>
      </c>
      <c r="AC7" s="112" t="s">
        <v>466</v>
      </c>
      <c r="AD7" s="112" t="s">
        <v>51</v>
      </c>
      <c r="AE7" s="112" t="s">
        <v>470</v>
      </c>
      <c r="AF7" s="112" t="s">
        <v>467</v>
      </c>
      <c r="AG7" s="112" t="s">
        <v>195</v>
      </c>
      <c r="AH7" s="112" t="s">
        <v>719</v>
      </c>
      <c r="AI7" s="112" t="s">
        <v>243</v>
      </c>
      <c r="AJ7" s="74" t="s">
        <v>244</v>
      </c>
      <c r="AK7" s="74" t="s">
        <v>245</v>
      </c>
      <c r="AL7" s="74" t="s">
        <v>246</v>
      </c>
      <c r="AM7" s="74" t="s">
        <v>247</v>
      </c>
      <c r="AN7" s="74" t="s">
        <v>248</v>
      </c>
      <c r="AO7" s="74" t="s">
        <v>249</v>
      </c>
    </row>
    <row r="8" spans="1:41" ht="22.5">
      <c r="A8" s="52" t="s">
        <v>473</v>
      </c>
      <c r="B8" s="52"/>
      <c r="C8" s="113"/>
      <c r="D8" s="113"/>
      <c r="E8" s="77"/>
      <c r="F8" s="77"/>
      <c r="G8" s="56"/>
      <c r="H8" s="56"/>
      <c r="I8" s="77"/>
      <c r="J8" s="56"/>
      <c r="K8" s="56"/>
      <c r="L8" s="56"/>
      <c r="M8" s="114"/>
      <c r="N8" s="56"/>
      <c r="O8" s="56"/>
      <c r="P8" s="114"/>
      <c r="Q8" s="114"/>
      <c r="R8" s="114"/>
      <c r="S8" s="114"/>
      <c r="T8" s="114"/>
      <c r="U8" s="114"/>
      <c r="V8" s="114"/>
      <c r="W8" s="114"/>
      <c r="X8" s="114"/>
      <c r="Y8" s="114"/>
      <c r="Z8" s="114"/>
      <c r="AA8" s="114"/>
      <c r="AB8" s="114"/>
      <c r="AC8" s="114"/>
      <c r="AD8" s="114"/>
      <c r="AE8" s="114"/>
      <c r="AF8" s="114"/>
      <c r="AG8" s="114"/>
      <c r="AH8" s="114"/>
      <c r="AI8" s="114"/>
      <c r="AJ8" s="114"/>
      <c r="AK8" s="114"/>
      <c r="AL8" s="114"/>
      <c r="AM8" s="114"/>
      <c r="AN8" s="114"/>
      <c r="AO8" s="114"/>
    </row>
    <row r="9" spans="1:41" ht="22.5">
      <c r="A9" s="52"/>
      <c r="B9" s="58" t="s">
        <v>474</v>
      </c>
      <c r="C9" s="115"/>
      <c r="D9" s="115"/>
      <c r="E9" s="84"/>
      <c r="F9" s="84"/>
      <c r="G9" s="59"/>
      <c r="H9" s="182"/>
      <c r="I9" s="183"/>
      <c r="J9" s="116"/>
      <c r="K9" s="116"/>
      <c r="L9" s="116"/>
      <c r="M9" s="117"/>
      <c r="N9" s="116"/>
      <c r="O9" s="116"/>
      <c r="P9" s="117"/>
      <c r="Q9" s="117"/>
      <c r="R9" s="117"/>
      <c r="S9" s="117"/>
      <c r="T9" s="117"/>
      <c r="U9" s="117"/>
      <c r="V9" s="117"/>
      <c r="W9" s="117"/>
      <c r="X9" s="117"/>
      <c r="Y9" s="117"/>
      <c r="Z9" s="117"/>
      <c r="AA9" s="117"/>
      <c r="AB9" s="117"/>
      <c r="AC9" s="117"/>
      <c r="AD9" s="117"/>
      <c r="AE9" s="117"/>
      <c r="AF9" s="117"/>
      <c r="AG9" s="117"/>
      <c r="AH9" s="117"/>
      <c r="AI9" s="117"/>
      <c r="AJ9" s="117"/>
      <c r="AK9" s="117"/>
      <c r="AL9" s="117"/>
      <c r="AM9" s="117"/>
      <c r="AN9" s="117"/>
      <c r="AO9" s="117"/>
    </row>
    <row r="10" spans="1:41" ht="67.5">
      <c r="A10" s="52"/>
      <c r="B10" s="58"/>
      <c r="C10" s="71" t="s">
        <v>1220</v>
      </c>
      <c r="D10" s="71" t="s">
        <v>252</v>
      </c>
      <c r="E10" s="91" t="s">
        <v>1042</v>
      </c>
      <c r="F10" s="91" t="s">
        <v>1116</v>
      </c>
      <c r="G10" s="92" t="s">
        <v>254</v>
      </c>
      <c r="H10" s="61"/>
      <c r="I10" s="107"/>
      <c r="J10" s="60"/>
      <c r="K10" s="60"/>
      <c r="L10" s="60"/>
      <c r="M10" s="123"/>
      <c r="N10" s="243"/>
      <c r="O10" s="111" cm="1">
        <f t="array" ref="O10">IF(AI10=TRUE,_xlfn.IFS(M10=1,2,M10="",IF(N10="",1,2)),0)</f>
        <v>0</v>
      </c>
      <c r="P10" s="69" t="s">
        <v>255</v>
      </c>
      <c r="Q10" s="69" t="s">
        <v>255</v>
      </c>
      <c r="R10" s="69" t="s">
        <v>255</v>
      </c>
      <c r="S10" s="69" t="s">
        <v>183</v>
      </c>
      <c r="T10" s="118" t="s">
        <v>255</v>
      </c>
      <c r="U10" s="118"/>
      <c r="V10" s="118"/>
      <c r="W10" s="118"/>
      <c r="X10" s="118"/>
      <c r="Y10" s="69"/>
      <c r="Z10" s="69"/>
      <c r="AA10" s="69"/>
      <c r="AB10" s="69"/>
      <c r="AC10" s="69"/>
      <c r="AD10" s="69"/>
      <c r="AE10" s="69" t="s">
        <v>255</v>
      </c>
      <c r="AF10" s="69" t="s">
        <v>255</v>
      </c>
      <c r="AG10" s="69"/>
      <c r="AH10" s="69"/>
      <c r="AI10" s="123" t="b">
        <f t="shared" ref="AI10:AI15" si="0">AND(OR(AND($P$6=TRUE,$P10&lt;&gt;""),AND($Q$6=TRUE,$Q10&lt;&gt;""),AND($R$6=TRUE,$R10&lt;&gt;"")),AND($S$6=TRUE,$S10&lt;&gt;""),OR(AND($T$6=TRUE,$T10&lt;&gt;""),AND($U$6=TRUE,$U10&lt;&gt;""),AND($V$6=TRUE,$V10&lt;&gt;""),AND($W$6=TRUE,$W10&lt;&gt;""),AND($X$6=TRUE,$X10&lt;&gt;""),AND($Y$6=TRUE,$Y10&lt;&gt;""),AND($Z$6=TRUE,$Z10&lt;&gt;""),AND($AA$6=TRUE,$AA10&lt;&gt;""),AND($AB$6=TRUE,$AB10&lt;&gt;""),AND($AC$6=TRUE,$AC10&lt;&gt;""),AND($AD$6=TRUE,$AD10&lt;&gt;"")),OR(AND($AE$6=TRUE,$AE10&lt;&gt;""),AND($AF$6=TRUE,$AF10&lt;&gt;""),AND($AG$6=TRUE,$AG10&lt;&gt;""),AND($AH$6=TRUE,$AH10&lt;&gt;"")))</f>
        <v>0</v>
      </c>
      <c r="AJ10" s="123"/>
      <c r="AK10" s="123"/>
      <c r="AL10" s="123"/>
      <c r="AM10" s="123"/>
      <c r="AN10" s="170" t="str">
        <f t="shared" ref="AN10:AN15" si="1">IF(AJ10&lt;&gt;"","セキュリティ管理/","")&amp;IF(AK10&lt;&gt;"","マルウェア/","")&amp;IF(AL10&lt;&gt;"","クラウド/","")&amp;IF(AM10&lt;&gt;"","別表1,2,3","")</f>
        <v/>
      </c>
      <c r="AO10" s="123"/>
    </row>
    <row r="11" spans="1:41" ht="90">
      <c r="A11" s="52"/>
      <c r="B11" s="58"/>
      <c r="C11" s="71" t="s">
        <v>1221</v>
      </c>
      <c r="D11" s="71" t="s">
        <v>478</v>
      </c>
      <c r="E11" s="91" t="str">
        <f>'インフラ(自社DC)'!E9</f>
        <v xml:space="preserve">運用担当者のID発行は必要最低限とし、IDと個人が一対一の関係としているか（IDの共有や貸し借りは禁止しているか）
共有IDにせざるを得ない場合は、後で個人を特定することが可能な仕組みになっているか。
</v>
      </c>
      <c r="F11" s="91" t="s">
        <v>1222</v>
      </c>
      <c r="G11" s="92" t="s">
        <v>254</v>
      </c>
      <c r="H11" s="61"/>
      <c r="I11" s="107"/>
      <c r="J11" s="60"/>
      <c r="K11" s="60"/>
      <c r="L11" s="60"/>
      <c r="M11" s="123"/>
      <c r="N11" s="243"/>
      <c r="O11" s="111" cm="1">
        <f t="array" ref="O11">IF(AI11=TRUE,_xlfn.IFS(M11=1,2,M11="",IF(N11="",1,2)),0)</f>
        <v>0</v>
      </c>
      <c r="P11" s="69" t="s">
        <v>255</v>
      </c>
      <c r="Q11" s="69" t="s">
        <v>255</v>
      </c>
      <c r="R11" s="69" t="s">
        <v>255</v>
      </c>
      <c r="S11" s="69" t="s">
        <v>183</v>
      </c>
      <c r="T11" s="118" t="s">
        <v>255</v>
      </c>
      <c r="U11" s="118"/>
      <c r="V11" s="118"/>
      <c r="W11" s="118"/>
      <c r="X11" s="118" t="s">
        <v>448</v>
      </c>
      <c r="Y11" s="69"/>
      <c r="Z11" s="69"/>
      <c r="AA11" s="69"/>
      <c r="AB11" s="69"/>
      <c r="AC11" s="69"/>
      <c r="AD11" s="69"/>
      <c r="AE11" s="69" t="s">
        <v>255</v>
      </c>
      <c r="AF11" s="69" t="s">
        <v>255</v>
      </c>
      <c r="AG11" s="69" t="s">
        <v>255</v>
      </c>
      <c r="AH11" s="69"/>
      <c r="AI11" s="123" t="b">
        <f t="shared" si="0"/>
        <v>0</v>
      </c>
      <c r="AJ11" s="123" t="s">
        <v>183</v>
      </c>
      <c r="AK11" s="123"/>
      <c r="AL11" s="123"/>
      <c r="AM11" s="123" t="s">
        <v>183</v>
      </c>
      <c r="AN11" s="170" t="str">
        <f t="shared" si="1"/>
        <v>セキュリティ管理/別表1,2,3</v>
      </c>
      <c r="AO11" s="123"/>
    </row>
    <row r="12" spans="1:41" ht="67.5">
      <c r="A12" s="52"/>
      <c r="B12" s="58"/>
      <c r="C12" s="71" t="s">
        <v>1223</v>
      </c>
      <c r="D12" s="71" t="s">
        <v>259</v>
      </c>
      <c r="E12" s="91" t="str">
        <f>'インフラ(自社DC)'!E10</f>
        <v xml:space="preserve">運用担当者や開発担当者がサーバーにアクセスする際の認証について、複数のシステムを同一のグループにせず、システムごとに認証しているか。
</v>
      </c>
      <c r="F12" s="91" t="s">
        <v>1224</v>
      </c>
      <c r="G12" s="92" t="s">
        <v>254</v>
      </c>
      <c r="H12" s="61"/>
      <c r="I12" s="107"/>
      <c r="J12" s="60"/>
      <c r="K12" s="60"/>
      <c r="L12" s="60"/>
      <c r="M12" s="123"/>
      <c r="N12" s="243"/>
      <c r="O12" s="111" cm="1">
        <f t="array" ref="O12">IF(AI12=TRUE,_xlfn.IFS(M12=1,2,M12="",IF(N12="",1,2)),0)</f>
        <v>0</v>
      </c>
      <c r="P12" s="69" t="s">
        <v>255</v>
      </c>
      <c r="Q12" s="69" t="s">
        <v>183</v>
      </c>
      <c r="R12" s="69" t="s">
        <v>183</v>
      </c>
      <c r="S12" s="69" t="s">
        <v>183</v>
      </c>
      <c r="T12" s="118" t="s">
        <v>183</v>
      </c>
      <c r="U12" s="118"/>
      <c r="V12" s="118"/>
      <c r="W12" s="118"/>
      <c r="X12" s="118" t="s">
        <v>448</v>
      </c>
      <c r="Y12" s="69"/>
      <c r="Z12" s="69"/>
      <c r="AA12" s="69"/>
      <c r="AB12" s="69"/>
      <c r="AC12" s="69"/>
      <c r="AD12" s="69"/>
      <c r="AE12" s="69" t="s">
        <v>255</v>
      </c>
      <c r="AF12" s="69" t="s">
        <v>255</v>
      </c>
      <c r="AG12" s="69"/>
      <c r="AH12" s="69"/>
      <c r="AI12" s="123" t="b">
        <f t="shared" si="0"/>
        <v>0</v>
      </c>
      <c r="AJ12" s="123"/>
      <c r="AK12" s="123"/>
      <c r="AL12" s="123"/>
      <c r="AM12" s="123"/>
      <c r="AN12" s="170" t="str">
        <f t="shared" si="1"/>
        <v/>
      </c>
      <c r="AO12" s="123"/>
    </row>
    <row r="13" spans="1:41" ht="22.5">
      <c r="A13" s="52"/>
      <c r="B13" s="58"/>
      <c r="C13" s="71" t="s">
        <v>1225</v>
      </c>
      <c r="D13" s="71" t="s">
        <v>262</v>
      </c>
      <c r="E13" s="91" t="str">
        <f>'インフラ(自社DC)'!E11</f>
        <v>システムの管理・運用に用いるＩＤの桁数は７桁以上としているか</v>
      </c>
      <c r="F13" s="91" t="s">
        <v>1226</v>
      </c>
      <c r="G13" s="92" t="s">
        <v>254</v>
      </c>
      <c r="H13" s="61"/>
      <c r="I13" s="107"/>
      <c r="J13" s="60"/>
      <c r="K13" s="60"/>
      <c r="L13" s="60"/>
      <c r="M13" s="123"/>
      <c r="N13" s="243"/>
      <c r="O13" s="111" cm="1">
        <f t="array" ref="O13">IF(AI13=TRUE,_xlfn.IFS(M13=1,2,M13="",IF(N13="",1,2)),0)</f>
        <v>0</v>
      </c>
      <c r="P13" s="69" t="s">
        <v>255</v>
      </c>
      <c r="Q13" s="69" t="s">
        <v>183</v>
      </c>
      <c r="R13" s="69" t="s">
        <v>183</v>
      </c>
      <c r="S13" s="69" t="s">
        <v>183</v>
      </c>
      <c r="T13" s="118" t="s">
        <v>183</v>
      </c>
      <c r="U13" s="118"/>
      <c r="V13" s="118"/>
      <c r="W13" s="118"/>
      <c r="X13" s="118" t="s">
        <v>448</v>
      </c>
      <c r="Y13" s="69"/>
      <c r="Z13" s="69"/>
      <c r="AA13" s="69"/>
      <c r="AB13" s="69"/>
      <c r="AC13" s="69"/>
      <c r="AD13" s="69"/>
      <c r="AE13" s="69" t="s">
        <v>255</v>
      </c>
      <c r="AF13" s="69" t="s">
        <v>255</v>
      </c>
      <c r="AG13" s="69"/>
      <c r="AH13" s="69"/>
      <c r="AI13" s="123" t="b">
        <f t="shared" si="0"/>
        <v>0</v>
      </c>
      <c r="AJ13" s="123"/>
      <c r="AK13" s="123"/>
      <c r="AL13" s="123"/>
      <c r="AM13" s="123"/>
      <c r="AN13" s="170" t="str">
        <f t="shared" si="1"/>
        <v/>
      </c>
      <c r="AO13" s="123"/>
    </row>
    <row r="14" spans="1:41" ht="135">
      <c r="A14" s="52"/>
      <c r="B14" s="58"/>
      <c r="C14" s="71" t="s">
        <v>1227</v>
      </c>
      <c r="D14" s="71" t="s">
        <v>265</v>
      </c>
      <c r="E14" s="91" t="str">
        <f>'インフラ(自社DC)'!E12</f>
        <v>運用担当者、開発担当者が使用する特認ID※、およびバッチ処理に組み込んで使用するＩＤは、既存の特認ＩＤ種類を使用する運用であり、新たな特認ＩＤ種類やアクセス権限を追加していないか。
新規に特認ＩＤを作成、使用する場合は、ＩＤ管理部門が設計を行うものとしているか。
※特認IDとは、本番環境や本番データにアクセス可能なユーザIDを指す。</v>
      </c>
      <c r="F14" s="91" t="s">
        <v>1228</v>
      </c>
      <c r="G14" s="92" t="s">
        <v>254</v>
      </c>
      <c r="H14" s="61"/>
      <c r="I14" s="107"/>
      <c r="J14" s="60"/>
      <c r="K14" s="60"/>
      <c r="L14" s="60"/>
      <c r="M14" s="123"/>
      <c r="N14" s="243"/>
      <c r="O14" s="111" cm="1">
        <f t="array" ref="O14">IF(AI14=TRUE,_xlfn.IFS(M14=1,2,M14="",IF(N14="",1,2)),0)</f>
        <v>0</v>
      </c>
      <c r="P14" s="69" t="s">
        <v>255</v>
      </c>
      <c r="Q14" s="69" t="s">
        <v>183</v>
      </c>
      <c r="R14" s="69" t="s">
        <v>183</v>
      </c>
      <c r="S14" s="69" t="s">
        <v>183</v>
      </c>
      <c r="T14" s="118" t="s">
        <v>183</v>
      </c>
      <c r="U14" s="118"/>
      <c r="V14" s="118"/>
      <c r="W14" s="118"/>
      <c r="X14" s="118" t="s">
        <v>448</v>
      </c>
      <c r="Y14" s="69"/>
      <c r="Z14" s="69"/>
      <c r="AA14" s="69"/>
      <c r="AB14" s="69"/>
      <c r="AC14" s="69"/>
      <c r="AD14" s="69"/>
      <c r="AE14" s="69" t="s">
        <v>255</v>
      </c>
      <c r="AF14" s="69" t="s">
        <v>255</v>
      </c>
      <c r="AG14" s="69"/>
      <c r="AH14" s="69"/>
      <c r="AI14" s="123" t="b">
        <f t="shared" si="0"/>
        <v>0</v>
      </c>
      <c r="AJ14" s="123"/>
      <c r="AK14" s="123"/>
      <c r="AL14" s="123"/>
      <c r="AM14" s="123"/>
      <c r="AN14" s="170" t="str">
        <f t="shared" si="1"/>
        <v/>
      </c>
      <c r="AO14" s="123"/>
    </row>
    <row r="15" spans="1:41" ht="180">
      <c r="A15" s="52"/>
      <c r="B15" s="58"/>
      <c r="C15" s="71" t="s">
        <v>1229</v>
      </c>
      <c r="D15" s="71" t="s">
        <v>950</v>
      </c>
      <c r="E15" s="91" t="str">
        <f>'インフラ(自社DC)'!E13</f>
        <v>OS・SWのシステムアカウント（デフォルトアカウント※含む）、運用アカウントに関して、利用しない場合は削除（もしくは無効化）しているか。
削除（もしくは無効化）できない場合、使用するパスワードを本Sheetの「ログイン、パスワード管理」に従ったものに変更しているか。
※デフォルトアカウントとは、OS・SW導入時に自動設定されるアカウント（UNIXのnobody、WindowsのGuest、Oracleのscott、WindowsのAdministrator、UNIXのroot、Oracleのsys等）のこと</v>
      </c>
      <c r="F15" s="91" t="s">
        <v>1230</v>
      </c>
      <c r="G15" s="92" t="s">
        <v>254</v>
      </c>
      <c r="H15" s="61"/>
      <c r="I15" s="107"/>
      <c r="J15" s="60"/>
      <c r="K15" s="60"/>
      <c r="L15" s="60"/>
      <c r="M15" s="123"/>
      <c r="N15" s="243"/>
      <c r="O15" s="111" cm="1">
        <f t="array" ref="O15">IF(AI15=TRUE,_xlfn.IFS(M15=1,2,M15="",IF(N15="",1,2)),0)</f>
        <v>0</v>
      </c>
      <c r="P15" s="69" t="s">
        <v>255</v>
      </c>
      <c r="Q15" s="69" t="s">
        <v>183</v>
      </c>
      <c r="R15" s="69" t="s">
        <v>183</v>
      </c>
      <c r="S15" s="69" t="s">
        <v>183</v>
      </c>
      <c r="T15" s="118" t="s">
        <v>183</v>
      </c>
      <c r="U15" s="118"/>
      <c r="V15" s="118"/>
      <c r="W15" s="118"/>
      <c r="X15" s="118" t="s">
        <v>448</v>
      </c>
      <c r="Y15" s="69"/>
      <c r="Z15" s="69"/>
      <c r="AA15" s="69"/>
      <c r="AB15" s="69"/>
      <c r="AC15" s="69"/>
      <c r="AD15" s="69"/>
      <c r="AE15" s="69" t="s">
        <v>255</v>
      </c>
      <c r="AF15" s="69" t="s">
        <v>255</v>
      </c>
      <c r="AG15" s="69"/>
      <c r="AH15" s="69"/>
      <c r="AI15" s="123" t="b">
        <f t="shared" si="0"/>
        <v>0</v>
      </c>
      <c r="AJ15" s="123"/>
      <c r="AK15" s="123"/>
      <c r="AL15" s="123"/>
      <c r="AM15" s="123"/>
      <c r="AN15" s="170" t="str">
        <f t="shared" si="1"/>
        <v/>
      </c>
      <c r="AO15" s="123"/>
    </row>
    <row r="16" spans="1:41" ht="22.5">
      <c r="A16" s="52"/>
      <c r="B16" s="58" t="s">
        <v>488</v>
      </c>
      <c r="C16" s="115"/>
      <c r="D16" s="115"/>
      <c r="E16" s="119"/>
      <c r="F16" s="119"/>
      <c r="G16" s="120"/>
      <c r="H16" s="182"/>
      <c r="I16" s="183"/>
      <c r="J16" s="116"/>
      <c r="K16" s="116"/>
      <c r="L16" s="116"/>
      <c r="M16" s="117"/>
      <c r="N16" s="250"/>
      <c r="O16" s="250"/>
      <c r="P16" s="117"/>
      <c r="Q16" s="117"/>
      <c r="R16" s="117"/>
      <c r="S16" s="117"/>
      <c r="T16" s="117"/>
      <c r="U16" s="117"/>
      <c r="V16" s="117"/>
      <c r="W16" s="117"/>
      <c r="X16" s="117"/>
      <c r="Y16" s="117"/>
      <c r="Z16" s="117"/>
      <c r="AA16" s="117"/>
      <c r="AB16" s="117"/>
      <c r="AC16" s="117"/>
      <c r="AD16" s="117"/>
      <c r="AE16" s="117"/>
      <c r="AF16" s="117"/>
      <c r="AG16" s="117"/>
      <c r="AH16" s="117"/>
      <c r="AI16" s="117" t="s">
        <v>268</v>
      </c>
      <c r="AJ16" s="117"/>
      <c r="AK16" s="117"/>
      <c r="AL16" s="117"/>
      <c r="AM16" s="117"/>
      <c r="AN16" s="117"/>
      <c r="AO16" s="117"/>
    </row>
    <row r="17" spans="1:41" ht="67.5">
      <c r="A17" s="52"/>
      <c r="B17" s="58"/>
      <c r="C17" s="71" t="s">
        <v>1231</v>
      </c>
      <c r="D17" s="71" t="s">
        <v>490</v>
      </c>
      <c r="E17" s="91" t="str">
        <f>'インフラ(自社DC)'!E15</f>
        <v>運用担当者のIDを知的認証（ＩＤ、パスワード）方式により認証しているか</v>
      </c>
      <c r="F17" s="91" t="s">
        <v>1232</v>
      </c>
      <c r="G17" s="92" t="s">
        <v>254</v>
      </c>
      <c r="H17" s="61"/>
      <c r="I17" s="107"/>
      <c r="J17" s="60" t="s">
        <v>730</v>
      </c>
      <c r="K17" s="60" t="s">
        <v>730</v>
      </c>
      <c r="L17" s="60"/>
      <c r="M17" s="123"/>
      <c r="N17" s="243"/>
      <c r="O17" s="111" cm="1">
        <f t="array" ref="O17">IF(AI17=TRUE,_xlfn.IFS(M17=1,2,M17="",IF(N17="",1,2)),0)</f>
        <v>0</v>
      </c>
      <c r="P17" s="69" t="s">
        <v>255</v>
      </c>
      <c r="Q17" s="69" t="s">
        <v>183</v>
      </c>
      <c r="R17" s="69" t="s">
        <v>183</v>
      </c>
      <c r="S17" s="69" t="s">
        <v>183</v>
      </c>
      <c r="T17" s="118" t="s">
        <v>183</v>
      </c>
      <c r="U17" s="118"/>
      <c r="V17" s="118"/>
      <c r="W17" s="118"/>
      <c r="X17" s="118" t="s">
        <v>448</v>
      </c>
      <c r="Y17" s="69"/>
      <c r="Z17" s="69"/>
      <c r="AA17" s="69"/>
      <c r="AB17" s="69"/>
      <c r="AC17" s="69"/>
      <c r="AD17" s="69"/>
      <c r="AE17" s="69" t="s">
        <v>255</v>
      </c>
      <c r="AF17" s="69" t="s">
        <v>255</v>
      </c>
      <c r="AG17" s="69" t="s">
        <v>255</v>
      </c>
      <c r="AH17" s="69"/>
      <c r="AI17" s="123" t="b">
        <f t="shared" ref="AI17:AI25" si="2">AND(OR(AND($P$6=TRUE,$P17&lt;&gt;""),AND($Q$6=TRUE,$Q17&lt;&gt;""),AND($R$6=TRUE,$R17&lt;&gt;"")),AND($S$6=TRUE,$S17&lt;&gt;""),OR(AND($T$6=TRUE,$T17&lt;&gt;""),AND($U$6=TRUE,$U17&lt;&gt;""),AND($V$6=TRUE,$V17&lt;&gt;""),AND($W$6=TRUE,$W17&lt;&gt;""),AND($X$6=TRUE,$X17&lt;&gt;""),AND($Y$6=TRUE,$Y17&lt;&gt;""),AND($Z$6=TRUE,$Z17&lt;&gt;""),AND($AA$6=TRUE,$AA17&lt;&gt;""),AND($AB$6=TRUE,$AB17&lt;&gt;""),AND($AC$6=TRUE,$AC17&lt;&gt;""),AND($AD$6=TRUE,$AD17&lt;&gt;"")),OR(AND($AE$6=TRUE,$AE17&lt;&gt;""),AND($AF$6=TRUE,$AF17&lt;&gt;""),AND($AG$6=TRUE,$AG17&lt;&gt;""),AND($AH$6=TRUE,$AH17&lt;&gt;"")))</f>
        <v>0</v>
      </c>
      <c r="AJ17" s="123" t="s">
        <v>183</v>
      </c>
      <c r="AK17" s="123"/>
      <c r="AL17" s="123"/>
      <c r="AM17" s="123"/>
      <c r="AN17" s="170" t="str">
        <f t="shared" ref="AN17:AN25" si="3">IF(AJ17&lt;&gt;"","セキュリティ管理/","")&amp;IF(AK17&lt;&gt;"","マルウェア/","")&amp;IF(AL17&lt;&gt;"","クラウド/","")&amp;IF(AM17&lt;&gt;"","別表1,2,3","")</f>
        <v>セキュリティ管理/</v>
      </c>
      <c r="AO17" s="123"/>
    </row>
    <row r="18" spans="1:41" ht="67.5">
      <c r="A18" s="52"/>
      <c r="B18" s="58"/>
      <c r="C18" s="71" t="s">
        <v>1233</v>
      </c>
      <c r="D18" s="71" t="s">
        <v>494</v>
      </c>
      <c r="E18" s="91" t="str">
        <f>'インフラ(自社DC)'!E16</f>
        <v>OS・SWのシステムアカウント及び運用アカウントのパスワードは、ランダムかつユニークなものを設定しているか
特に、パスワードは推測され難いものを設定し、IDやホスト名の文字列を含まないこと。</v>
      </c>
      <c r="F18" s="91" t="s">
        <v>1130</v>
      </c>
      <c r="G18" s="92" t="s">
        <v>254</v>
      </c>
      <c r="H18" s="61"/>
      <c r="I18" s="107"/>
      <c r="J18" s="60"/>
      <c r="K18" s="60"/>
      <c r="L18" s="60"/>
      <c r="M18" s="123"/>
      <c r="N18" s="243"/>
      <c r="O18" s="111" cm="1">
        <f t="array" ref="O18">IF(AI18=TRUE,_xlfn.IFS(M18=1,2,M18="",IF(N18="",1,2)),0)</f>
        <v>0</v>
      </c>
      <c r="P18" s="69" t="s">
        <v>255</v>
      </c>
      <c r="Q18" s="69" t="s">
        <v>183</v>
      </c>
      <c r="R18" s="69" t="s">
        <v>183</v>
      </c>
      <c r="S18" s="69" t="s">
        <v>183</v>
      </c>
      <c r="T18" s="118" t="s">
        <v>732</v>
      </c>
      <c r="U18" s="118"/>
      <c r="V18" s="118"/>
      <c r="W18" s="118"/>
      <c r="X18" s="118" t="s">
        <v>448</v>
      </c>
      <c r="Y18" s="69"/>
      <c r="Z18" s="69"/>
      <c r="AA18" s="69"/>
      <c r="AB18" s="118"/>
      <c r="AC18" s="118"/>
      <c r="AD18" s="118"/>
      <c r="AE18" s="69" t="s">
        <v>255</v>
      </c>
      <c r="AF18" s="69" t="s">
        <v>255</v>
      </c>
      <c r="AG18" s="69"/>
      <c r="AH18" s="69"/>
      <c r="AI18" s="123" t="b">
        <f t="shared" si="2"/>
        <v>0</v>
      </c>
      <c r="AJ18" s="123"/>
      <c r="AK18" s="123"/>
      <c r="AL18" s="123"/>
      <c r="AM18" s="123"/>
      <c r="AN18" s="170" t="str">
        <f t="shared" si="3"/>
        <v/>
      </c>
      <c r="AO18" s="123"/>
    </row>
    <row r="19" spans="1:41" ht="67.5">
      <c r="A19" s="52"/>
      <c r="B19" s="58"/>
      <c r="C19" s="71" t="s">
        <v>1234</v>
      </c>
      <c r="D19" s="71" t="s">
        <v>498</v>
      </c>
      <c r="E19" s="91" t="str">
        <f>'インフラ(自社DC)'!E17</f>
        <v>運用担当者が利用するアカウントの初期パスワードはランダムに生成しているか。
上記が困難な場合はパスワードの有効期限や初回の強制変更を設定するなど確実な変更を促すこと。</v>
      </c>
      <c r="F19" s="91" t="s">
        <v>1235</v>
      </c>
      <c r="G19" s="92" t="s">
        <v>254</v>
      </c>
      <c r="H19" s="61"/>
      <c r="I19" s="107"/>
      <c r="J19" s="60"/>
      <c r="K19" s="60"/>
      <c r="L19" s="60"/>
      <c r="M19" s="123"/>
      <c r="N19" s="243"/>
      <c r="O19" s="111" cm="1">
        <f t="array" ref="O19">IF(AI19=TRUE,_xlfn.IFS(M19=1,2,M19="",IF(N19="",1,2)),0)</f>
        <v>0</v>
      </c>
      <c r="P19" s="69" t="s">
        <v>255</v>
      </c>
      <c r="Q19" s="69" t="s">
        <v>183</v>
      </c>
      <c r="R19" s="69" t="s">
        <v>183</v>
      </c>
      <c r="S19" s="69" t="s">
        <v>183</v>
      </c>
      <c r="T19" s="118" t="s">
        <v>183</v>
      </c>
      <c r="U19" s="118"/>
      <c r="V19" s="118"/>
      <c r="W19" s="118"/>
      <c r="X19" s="118" t="s">
        <v>448</v>
      </c>
      <c r="Y19" s="69"/>
      <c r="Z19" s="69"/>
      <c r="AA19" s="69"/>
      <c r="AB19" s="118"/>
      <c r="AC19" s="118"/>
      <c r="AD19" s="118"/>
      <c r="AE19" s="69" t="s">
        <v>255</v>
      </c>
      <c r="AF19" s="69" t="s">
        <v>255</v>
      </c>
      <c r="AG19" s="69"/>
      <c r="AH19" s="69"/>
      <c r="AI19" s="123" t="b">
        <f t="shared" si="2"/>
        <v>0</v>
      </c>
      <c r="AJ19" s="123"/>
      <c r="AK19" s="123"/>
      <c r="AL19" s="123"/>
      <c r="AM19" s="123"/>
      <c r="AN19" s="170" t="str">
        <f t="shared" si="3"/>
        <v/>
      </c>
      <c r="AO19" s="123"/>
    </row>
    <row r="20" spans="1:41" ht="409.5">
      <c r="A20" s="52"/>
      <c r="B20" s="58"/>
      <c r="C20" s="71" t="s">
        <v>1236</v>
      </c>
      <c r="D20" s="71" t="s">
        <v>501</v>
      </c>
      <c r="E20" s="91" t="str">
        <f>'インフラ(自社DC)'!E18</f>
        <v>（注意）本セルは、記載が多く表示に収まっていないため、セル末尾の★★★ここまで★★★まで確認すること
運用担当者が利用するアカウントのパスワードは以下a群、b群の要件を満たしているか。
（アウトソースシステムは、回答で「YES」を選択した場合でも具体的な要件を備考欄に記入する。）
&lt;a群&gt;
・英字（大文字・小文字）、数字、記号の４種１０桁以上、もしくは３種１２桁以上（※）
・パスワード変更時には、現在のパスワードと同じパスワードや、過去に利用されたパスワードを拒否する
・パスワード入力エラー連続５回以内でアカウントロックする（一定時間経過等による自動でのロック解除は不可。上位者かシステム管理者による解除が必要）
（ただし、OSのシステムアカウントや運用アカウントでアカウントロックさせるのが困難な場合は、パスワード入力エラーが連続5回以上で検知できる仕組みを設けることで代替可能とする）
※EntraID（旧AzureAD）またはTGAAD/TGO365を利用し多要素認証とパスワードを組み合わせる場合、3文字種8文字以上
&lt;b群&gt;
・IDと同じ文字列を含むパスワードを拒否する
・推測されやすいパスワード（単純な文字の羅列、ユーザ自身の名前や誕生日、実在の単語など）を設定しないように、パスワード設定画面に注意文言を表示するか、アカウント利用規約に明記するなど利用者に周知徹底すること。
a群の要件が満たせない場合は、代替策として多要素認証の導入を必須とする。
b群の要件が満たせない場合は、代替策として以下のいずれかの対応を必須とする。
・多要素認証の導入
・ユーザのパスワード有効期限を９０日以内とし、有効期限の到来前に通知を行い変更を促す、もしくは有効期限到来後の初回ログイン時に強制的に変更を要求する
★★★ここまで★★★</v>
      </c>
      <c r="F20" s="91" t="s">
        <v>1237</v>
      </c>
      <c r="G20" s="92" t="s">
        <v>254</v>
      </c>
      <c r="H20" s="61"/>
      <c r="I20" s="107"/>
      <c r="J20" s="60"/>
      <c r="K20" s="60"/>
      <c r="L20" s="60"/>
      <c r="M20" s="123"/>
      <c r="N20" s="243"/>
      <c r="O20" s="111" cm="1">
        <f t="array" ref="O20">IF(AI20=TRUE,_xlfn.IFS(M20=1,2,M20="",IF(N20="",1,2)),0)</f>
        <v>0</v>
      </c>
      <c r="P20" s="69" t="s">
        <v>255</v>
      </c>
      <c r="Q20" s="69" t="s">
        <v>183</v>
      </c>
      <c r="R20" s="69" t="s">
        <v>183</v>
      </c>
      <c r="S20" s="69" t="s">
        <v>183</v>
      </c>
      <c r="T20" s="118" t="s">
        <v>183</v>
      </c>
      <c r="U20" s="118"/>
      <c r="V20" s="118"/>
      <c r="W20" s="118"/>
      <c r="X20" s="118" t="s">
        <v>448</v>
      </c>
      <c r="Y20" s="69"/>
      <c r="Z20" s="69"/>
      <c r="AA20" s="69"/>
      <c r="AB20" s="118"/>
      <c r="AC20" s="118"/>
      <c r="AD20" s="118"/>
      <c r="AE20" s="69" t="s">
        <v>255</v>
      </c>
      <c r="AF20" s="69" t="s">
        <v>255</v>
      </c>
      <c r="AG20" s="69" t="s">
        <v>255</v>
      </c>
      <c r="AH20" s="69"/>
      <c r="AI20" s="123" t="b">
        <f t="shared" si="2"/>
        <v>0</v>
      </c>
      <c r="AJ20" s="123" t="s">
        <v>183</v>
      </c>
      <c r="AK20" s="123"/>
      <c r="AL20" s="123"/>
      <c r="AM20" s="123" t="s">
        <v>183</v>
      </c>
      <c r="AN20" s="170" t="str">
        <f t="shared" si="3"/>
        <v>セキュリティ管理/別表1,2,3</v>
      </c>
      <c r="AO20" s="123" t="s">
        <v>2256</v>
      </c>
    </row>
    <row r="21" spans="1:41" ht="202.5">
      <c r="A21" s="52"/>
      <c r="B21" s="58"/>
      <c r="C21" s="71" t="s">
        <v>1238</v>
      </c>
      <c r="D21" s="71" t="s">
        <v>506</v>
      </c>
      <c r="E21" s="91" t="str">
        <f>'インフラ(自社DC)'!E19</f>
        <v>運用担当者の端末（ブラウザ）において、ブラウザのパスワード記憶機能やオートコンプリート機能を禁止しているか。
これらの機能を用いると、認証情報（ＩＤ・パスワード）が端末上に保存されるので当機能は使用しない設定とし、ブラウザ起動時は、毎回、認証情報（ＩＤ・パスワード）を入力する様にする。
ただし、機械的に生成されたランダムな文字列をパスワードに使用する場合は、ブラウザのパスワードマネージャやツール内でのパスワード保存を許可する。パスワードマネージャーを使用する場合はブラウザにログインしないこと。</v>
      </c>
      <c r="F21" s="91" t="s">
        <v>1135</v>
      </c>
      <c r="G21" s="92" t="s">
        <v>254</v>
      </c>
      <c r="H21" s="61"/>
      <c r="I21" s="107"/>
      <c r="J21" s="60"/>
      <c r="K21" s="60"/>
      <c r="L21" s="60"/>
      <c r="M21" s="123"/>
      <c r="N21" s="243"/>
      <c r="O21" s="111" cm="1">
        <f t="array" ref="O21">IF(AI21=TRUE,_xlfn.IFS(M21=1,2,M21="",IF(N21="",1,2)),0)</f>
        <v>0</v>
      </c>
      <c r="P21" s="69" t="s">
        <v>255</v>
      </c>
      <c r="Q21" s="69" t="s">
        <v>183</v>
      </c>
      <c r="R21" s="69" t="s">
        <v>183</v>
      </c>
      <c r="S21" s="69" t="s">
        <v>183</v>
      </c>
      <c r="T21" s="118" t="s">
        <v>183</v>
      </c>
      <c r="U21" s="118"/>
      <c r="V21" s="118"/>
      <c r="W21" s="118"/>
      <c r="X21" s="118" t="s">
        <v>448</v>
      </c>
      <c r="Y21" s="69"/>
      <c r="Z21" s="69"/>
      <c r="AA21" s="69"/>
      <c r="AB21" s="118"/>
      <c r="AC21" s="118"/>
      <c r="AD21" s="118"/>
      <c r="AE21" s="69" t="s">
        <v>255</v>
      </c>
      <c r="AF21" s="69" t="s">
        <v>255</v>
      </c>
      <c r="AG21" s="69" t="s">
        <v>255</v>
      </c>
      <c r="AH21" s="69"/>
      <c r="AI21" s="123" t="b">
        <f t="shared" si="2"/>
        <v>0</v>
      </c>
      <c r="AJ21" s="123"/>
      <c r="AK21" s="123" t="s">
        <v>183</v>
      </c>
      <c r="AL21" s="123"/>
      <c r="AM21" s="123"/>
      <c r="AN21" s="170" t="str">
        <f t="shared" si="3"/>
        <v>マルウェア/</v>
      </c>
      <c r="AO21" s="123" t="s">
        <v>2257</v>
      </c>
    </row>
    <row r="22" spans="1:41" ht="135">
      <c r="A22" s="52"/>
      <c r="B22" s="58"/>
      <c r="C22" s="71" t="s">
        <v>1239</v>
      </c>
      <c r="D22" s="71" t="s">
        <v>509</v>
      </c>
      <c r="E22" s="91" t="str">
        <f>'インフラ(自社DC)'!E20</f>
        <v>パスワード情報は、保存時または通信時にシステムで暗号化※しているか
また、パスワードの平文をそのまま保存せず、ソルト（乱数）を用いて計算したハッシュ値を保存しているか
※保存時はDISKレベルの暗号化ではなく、ミドルレイヤ(DBMS等）もしくはアプリケーションレイヤでの暗号化が必須</v>
      </c>
      <c r="F22" s="91" t="s">
        <v>1235</v>
      </c>
      <c r="G22" s="92" t="s">
        <v>254</v>
      </c>
      <c r="H22" s="61"/>
      <c r="I22" s="107"/>
      <c r="J22" s="60"/>
      <c r="K22" s="60"/>
      <c r="L22" s="60"/>
      <c r="M22" s="123"/>
      <c r="N22" s="243"/>
      <c r="O22" s="111" cm="1">
        <f t="array" ref="O22">IF(AI22=TRUE,_xlfn.IFS(M22=1,2,M22="",IF(N22="",1,2)),0)</f>
        <v>0</v>
      </c>
      <c r="P22" s="69" t="s">
        <v>255</v>
      </c>
      <c r="Q22" s="69" t="s">
        <v>183</v>
      </c>
      <c r="R22" s="69" t="s">
        <v>183</v>
      </c>
      <c r="S22" s="69" t="s">
        <v>183</v>
      </c>
      <c r="T22" s="118" t="s">
        <v>183</v>
      </c>
      <c r="U22" s="118"/>
      <c r="V22" s="118"/>
      <c r="W22" s="118"/>
      <c r="X22" s="118" t="s">
        <v>448</v>
      </c>
      <c r="Y22" s="69"/>
      <c r="Z22" s="69"/>
      <c r="AA22" s="69"/>
      <c r="AB22" s="118"/>
      <c r="AC22" s="118"/>
      <c r="AD22" s="118"/>
      <c r="AE22" s="69" t="s">
        <v>255</v>
      </c>
      <c r="AF22" s="69" t="s">
        <v>255</v>
      </c>
      <c r="AG22" s="69"/>
      <c r="AH22" s="69"/>
      <c r="AI22" s="123" t="b">
        <f t="shared" si="2"/>
        <v>0</v>
      </c>
      <c r="AJ22" s="123"/>
      <c r="AK22" s="123"/>
      <c r="AL22" s="123"/>
      <c r="AM22" s="123"/>
      <c r="AN22" s="170" t="str">
        <f t="shared" si="3"/>
        <v/>
      </c>
      <c r="AO22" s="123" t="s">
        <v>2198</v>
      </c>
    </row>
    <row r="23" spans="1:41" ht="90">
      <c r="A23" s="52"/>
      <c r="B23" s="58"/>
      <c r="C23" s="71" t="s">
        <v>1240</v>
      </c>
      <c r="D23" s="71" t="s">
        <v>740</v>
      </c>
      <c r="E23" s="91" t="str">
        <f>'インフラ(自社DC)'!E21</f>
        <v>サーバや端末内にアカウントのパスワードを平文で記載したファイルやスクリプトを配置していないか
システム制約上、スクリプトにパスワードが平文でハードコードされる場合は、一般ユーザ（一般ドメインユーザ）がアクセスできないフォルダに配置すること。</v>
      </c>
      <c r="F23" s="99" t="s">
        <v>1120</v>
      </c>
      <c r="G23" s="92" t="s">
        <v>254</v>
      </c>
      <c r="H23" s="61"/>
      <c r="I23" s="107"/>
      <c r="J23" s="60"/>
      <c r="K23" s="60"/>
      <c r="L23" s="60"/>
      <c r="M23" s="123"/>
      <c r="N23" s="243"/>
      <c r="O23" s="111" cm="1">
        <f t="array" ref="O23">IF(AI23=TRUE,_xlfn.IFS(M23=1,2,M23="",IF(N23="",1,2)),0)</f>
        <v>0</v>
      </c>
      <c r="P23" s="69" t="s">
        <v>255</v>
      </c>
      <c r="Q23" s="69" t="s">
        <v>183</v>
      </c>
      <c r="R23" s="69" t="s">
        <v>183</v>
      </c>
      <c r="S23" s="69" t="s">
        <v>183</v>
      </c>
      <c r="T23" s="118" t="s">
        <v>183</v>
      </c>
      <c r="U23" s="118"/>
      <c r="V23" s="118"/>
      <c r="W23" s="118"/>
      <c r="X23" s="118" t="s">
        <v>448</v>
      </c>
      <c r="Y23" s="69"/>
      <c r="Z23" s="69"/>
      <c r="AA23" s="69"/>
      <c r="AB23" s="118"/>
      <c r="AC23" s="118"/>
      <c r="AD23" s="118"/>
      <c r="AE23" s="69" t="s">
        <v>255</v>
      </c>
      <c r="AF23" s="69" t="s">
        <v>255</v>
      </c>
      <c r="AG23" s="69"/>
      <c r="AH23" s="69"/>
      <c r="AI23" s="123" t="b">
        <f t="shared" si="2"/>
        <v>0</v>
      </c>
      <c r="AJ23" s="123"/>
      <c r="AK23" s="123"/>
      <c r="AL23" s="123"/>
      <c r="AM23" s="123"/>
      <c r="AN23" s="170" t="str">
        <f t="shared" si="3"/>
        <v/>
      </c>
      <c r="AO23" s="123"/>
    </row>
    <row r="24" spans="1:41" ht="112.5">
      <c r="A24" s="52"/>
      <c r="B24" s="58"/>
      <c r="C24" s="71" t="s">
        <v>1241</v>
      </c>
      <c r="D24" s="71" t="s">
        <v>743</v>
      </c>
      <c r="E24" s="91" t="str">
        <f>'インフラ(自社DC)'!E22</f>
        <v>原則として運用担当者のログイン時に前回のログイン日時を表示するようにしているか　</v>
      </c>
      <c r="F24" s="91" t="s">
        <v>1242</v>
      </c>
      <c r="G24" s="60" t="s">
        <v>503</v>
      </c>
      <c r="H24" s="61"/>
      <c r="I24" s="107"/>
      <c r="J24" s="60"/>
      <c r="K24" s="60"/>
      <c r="L24" s="60"/>
      <c r="M24" s="123"/>
      <c r="N24" s="243"/>
      <c r="O24" s="111" cm="1">
        <f t="array" ref="O24">IF(AI24=TRUE,_xlfn.IFS(M24=1,2,M24="",IF(N24="",1,2)),0)</f>
        <v>0</v>
      </c>
      <c r="P24" s="69" t="s">
        <v>255</v>
      </c>
      <c r="Q24" s="69" t="s">
        <v>183</v>
      </c>
      <c r="R24" s="69" t="s">
        <v>183</v>
      </c>
      <c r="S24" s="69" t="s">
        <v>183</v>
      </c>
      <c r="T24" s="118" t="s">
        <v>183</v>
      </c>
      <c r="U24" s="118"/>
      <c r="V24" s="118"/>
      <c r="W24" s="118"/>
      <c r="X24" s="118" t="s">
        <v>448</v>
      </c>
      <c r="Y24" s="69"/>
      <c r="Z24" s="69"/>
      <c r="AA24" s="69"/>
      <c r="AB24" s="118"/>
      <c r="AC24" s="118"/>
      <c r="AD24" s="118"/>
      <c r="AE24" s="69" t="s">
        <v>255</v>
      </c>
      <c r="AF24" s="69" t="s">
        <v>255</v>
      </c>
      <c r="AG24" s="69"/>
      <c r="AH24" s="69"/>
      <c r="AI24" s="123" t="b">
        <f t="shared" si="2"/>
        <v>0</v>
      </c>
      <c r="AJ24" s="123"/>
      <c r="AK24" s="123"/>
      <c r="AL24" s="123"/>
      <c r="AM24" s="123"/>
      <c r="AN24" s="170" t="str">
        <f t="shared" si="3"/>
        <v/>
      </c>
      <c r="AO24" s="123" t="s">
        <v>747</v>
      </c>
    </row>
    <row r="25" spans="1:41" ht="22.5">
      <c r="A25" s="52"/>
      <c r="B25" s="58"/>
      <c r="C25" s="71" t="s">
        <v>1243</v>
      </c>
      <c r="D25" s="71" t="s">
        <v>517</v>
      </c>
      <c r="E25" s="91" t="str">
        <f>'インフラ(自社DC)'!E23</f>
        <v>原則として同一の運用担当者のIDによる同時使用（同時ログイン)を禁止しているか</v>
      </c>
      <c r="F25" s="91" t="s">
        <v>1244</v>
      </c>
      <c r="G25" s="60" t="s">
        <v>503</v>
      </c>
      <c r="H25" s="61"/>
      <c r="I25" s="107"/>
      <c r="J25" s="60"/>
      <c r="K25" s="60"/>
      <c r="L25" s="60"/>
      <c r="M25" s="123"/>
      <c r="N25" s="243"/>
      <c r="O25" s="111" cm="1">
        <f t="array" ref="O25">IF(AI25=TRUE,_xlfn.IFS(M25=1,2,M25="",IF(N25="",1,2)),0)</f>
        <v>0</v>
      </c>
      <c r="P25" s="69" t="s">
        <v>255</v>
      </c>
      <c r="Q25" s="69" t="s">
        <v>183</v>
      </c>
      <c r="R25" s="69" t="s">
        <v>183</v>
      </c>
      <c r="S25" s="69" t="s">
        <v>183</v>
      </c>
      <c r="T25" s="118" t="s">
        <v>183</v>
      </c>
      <c r="U25" s="118"/>
      <c r="V25" s="118"/>
      <c r="W25" s="118"/>
      <c r="X25" s="118" t="s">
        <v>448</v>
      </c>
      <c r="Y25" s="69"/>
      <c r="Z25" s="69"/>
      <c r="AA25" s="69"/>
      <c r="AB25" s="118"/>
      <c r="AC25" s="118"/>
      <c r="AD25" s="118"/>
      <c r="AE25" s="69" t="s">
        <v>255</v>
      </c>
      <c r="AF25" s="69" t="s">
        <v>255</v>
      </c>
      <c r="AG25" s="69"/>
      <c r="AH25" s="69"/>
      <c r="AI25" s="123" t="b">
        <f t="shared" si="2"/>
        <v>0</v>
      </c>
      <c r="AJ25" s="123"/>
      <c r="AK25" s="123"/>
      <c r="AL25" s="123"/>
      <c r="AM25" s="123"/>
      <c r="AN25" s="170" t="str">
        <f t="shared" si="3"/>
        <v/>
      </c>
      <c r="AO25" s="123" t="s">
        <v>747</v>
      </c>
    </row>
    <row r="26" spans="1:41" ht="22.5">
      <c r="A26" s="52"/>
      <c r="B26" s="58" t="s">
        <v>551</v>
      </c>
      <c r="C26" s="115"/>
      <c r="D26" s="115"/>
      <c r="E26" s="84"/>
      <c r="F26" s="84"/>
      <c r="G26" s="59"/>
      <c r="H26" s="182"/>
      <c r="I26" s="183"/>
      <c r="J26" s="116"/>
      <c r="K26" s="116"/>
      <c r="L26" s="116"/>
      <c r="M26" s="117"/>
      <c r="N26" s="250"/>
      <c r="O26" s="250"/>
      <c r="P26" s="117"/>
      <c r="Q26" s="117"/>
      <c r="R26" s="117"/>
      <c r="S26" s="117"/>
      <c r="T26" s="117"/>
      <c r="U26" s="117"/>
      <c r="V26" s="117"/>
      <c r="W26" s="117"/>
      <c r="X26" s="117"/>
      <c r="Y26" s="117"/>
      <c r="Z26" s="117"/>
      <c r="AA26" s="117"/>
      <c r="AB26" s="117"/>
      <c r="AC26" s="117"/>
      <c r="AD26" s="117"/>
      <c r="AE26" s="117"/>
      <c r="AF26" s="117"/>
      <c r="AG26" s="117"/>
      <c r="AH26" s="117"/>
      <c r="AI26" s="117" t="s">
        <v>268</v>
      </c>
      <c r="AJ26" s="117"/>
      <c r="AK26" s="117"/>
      <c r="AL26" s="117"/>
      <c r="AM26" s="117"/>
      <c r="AN26" s="117"/>
      <c r="AO26" s="117"/>
    </row>
    <row r="27" spans="1:41" ht="225">
      <c r="A27" s="52"/>
      <c r="B27" s="58"/>
      <c r="C27" s="71" t="s">
        <v>1245</v>
      </c>
      <c r="D27" s="71" t="s">
        <v>553</v>
      </c>
      <c r="E27" s="91" t="s">
        <v>1042</v>
      </c>
      <c r="F27" s="91" t="s">
        <v>1246</v>
      </c>
      <c r="G27" s="92" t="s">
        <v>254</v>
      </c>
      <c r="H27" s="61"/>
      <c r="I27" s="107"/>
      <c r="J27" s="60"/>
      <c r="K27" s="60"/>
      <c r="L27" s="60"/>
      <c r="M27" s="123"/>
      <c r="N27" s="243"/>
      <c r="O27" s="111" cm="1">
        <f t="array" ref="O27">IF(AI27=TRUE,_xlfn.IFS(M27=1,2,M27="",IF(N27="",1,2)),0)</f>
        <v>0</v>
      </c>
      <c r="P27" s="69" t="s">
        <v>255</v>
      </c>
      <c r="Q27" s="69" t="s">
        <v>255</v>
      </c>
      <c r="R27" s="69" t="s">
        <v>255</v>
      </c>
      <c r="S27" s="69" t="s">
        <v>183</v>
      </c>
      <c r="T27" s="118" t="s">
        <v>255</v>
      </c>
      <c r="U27" s="118"/>
      <c r="V27" s="118"/>
      <c r="W27" s="118"/>
      <c r="X27" s="118"/>
      <c r="Y27" s="69"/>
      <c r="Z27" s="69"/>
      <c r="AA27" s="69"/>
      <c r="AB27" s="118"/>
      <c r="AC27" s="118"/>
      <c r="AD27" s="118"/>
      <c r="AE27" s="69" t="s">
        <v>255</v>
      </c>
      <c r="AF27" s="69" t="s">
        <v>255</v>
      </c>
      <c r="AG27" s="69"/>
      <c r="AH27" s="69"/>
      <c r="AI27" s="123" t="b">
        <f>AND(OR(AND($P$6=TRUE,$P27&lt;&gt;""),AND($Q$6=TRUE,$Q27&lt;&gt;""),AND($R$6=TRUE,$R27&lt;&gt;"")),AND($S$6=TRUE,$S27&lt;&gt;""),OR(AND($T$6=TRUE,$T27&lt;&gt;""),AND($U$6=TRUE,$U27&lt;&gt;""),AND($V$6=TRUE,$V27&lt;&gt;""),AND($W$6=TRUE,$W27&lt;&gt;""),AND($X$6=TRUE,$X27&lt;&gt;""),AND($Y$6=TRUE,$Y27&lt;&gt;""),AND($Z$6=TRUE,$Z27&lt;&gt;""),AND($AA$6=TRUE,$AA27&lt;&gt;""),AND($AB$6=TRUE,$AB27&lt;&gt;""),AND($AC$6=TRUE,$AC27&lt;&gt;""),AND($AD$6=TRUE,$AD27&lt;&gt;"")),OR(AND($AE$6=TRUE,$AE27&lt;&gt;""),AND($AF$6=TRUE,$AF27&lt;&gt;""),AND($AG$6=TRUE,$AG27&lt;&gt;""),AND($AH$6=TRUE,$AH27&lt;&gt;"")))</f>
        <v>0</v>
      </c>
      <c r="AJ27" s="123"/>
      <c r="AK27" s="123"/>
      <c r="AL27" s="123"/>
      <c r="AM27" s="123"/>
      <c r="AN27" s="170" t="str">
        <f>IF(AJ27&lt;&gt;"","セキュリティ管理/","")&amp;IF(AK27&lt;&gt;"","マルウェア/","")&amp;IF(AL27&lt;&gt;"","クラウド/","")&amp;IF(AM27&lt;&gt;"","別表1,2,3","")</f>
        <v/>
      </c>
      <c r="AO27" s="123" t="s">
        <v>359</v>
      </c>
    </row>
    <row r="28" spans="1:41" ht="382.5">
      <c r="A28" s="52"/>
      <c r="B28" s="58"/>
      <c r="C28" s="71" t="s">
        <v>1247</v>
      </c>
      <c r="D28" s="71" t="s">
        <v>556</v>
      </c>
      <c r="E28" s="91" t="str">
        <f>'インフラ(自社DC)'!E25</f>
        <v>ユーザアカウントを役割（ID管理者、暗号鍵管理者、基盤運用者 等）ごとに分離し、システムアカウントや開発・運用アカウントを含めて、各アカウントに付与する権限を必要最小限にする。
また、システム導入時のデフォルト管理者権限（スーパー権限）の利用を禁止しているか。
特に、以下の権限については、アクセスルールの規定に従い、ユーザID・属性により機械的に制限すること。
（アウトソースシステムは、回答で「YES」を選択した場合でも実施している対策を備考欄に記入する。）
・オンライントランザクションの実行
・データベースアクセス範囲
・共有ファイルのアクセス可否
・データベース操作内容（挿入、更新、削除、参照）
・インフラ関連の設定変更
・PCへのダウンロード(業務用、個人用へのダウンロード）、ファイルの書き出し
・インターネットへのアクセス（Webメール、掲示板、SNS、オンラインストレージなど）</v>
      </c>
      <c r="F28" s="91" t="s">
        <v>1248</v>
      </c>
      <c r="G28" s="92" t="s">
        <v>254</v>
      </c>
      <c r="H28" s="61"/>
      <c r="I28" s="107"/>
      <c r="J28" s="60" t="s">
        <v>730</v>
      </c>
      <c r="K28" s="60"/>
      <c r="L28" s="60"/>
      <c r="M28" s="123"/>
      <c r="N28" s="243"/>
      <c r="O28" s="111" cm="1">
        <f t="array" ref="O28">IF(AI28=TRUE,_xlfn.IFS(M28=1,2,M28="",IF(N28="",1,2)),0)</f>
        <v>0</v>
      </c>
      <c r="P28" s="69" t="s">
        <v>255</v>
      </c>
      <c r="Q28" s="69" t="s">
        <v>255</v>
      </c>
      <c r="R28" s="69" t="s">
        <v>255</v>
      </c>
      <c r="S28" s="69" t="s">
        <v>183</v>
      </c>
      <c r="T28" s="118" t="s">
        <v>255</v>
      </c>
      <c r="U28" s="118"/>
      <c r="V28" s="118"/>
      <c r="W28" s="118"/>
      <c r="X28" s="118" t="s">
        <v>448</v>
      </c>
      <c r="Y28" s="69"/>
      <c r="Z28" s="69"/>
      <c r="AA28" s="69"/>
      <c r="AB28" s="118"/>
      <c r="AC28" s="118"/>
      <c r="AD28" s="118"/>
      <c r="AE28" s="69" t="s">
        <v>255</v>
      </c>
      <c r="AF28" s="69" t="s">
        <v>255</v>
      </c>
      <c r="AG28" s="69" t="s">
        <v>255</v>
      </c>
      <c r="AH28" s="69"/>
      <c r="AI28" s="123" t="b">
        <f>AND(OR(AND($P$6=TRUE,$P28&lt;&gt;""),AND($Q$6=TRUE,$Q28&lt;&gt;""),AND($R$6=TRUE,$R28&lt;&gt;"")),AND($S$6=TRUE,$S28&lt;&gt;""),OR(AND($T$6=TRUE,$T28&lt;&gt;""),AND($U$6=TRUE,$U28&lt;&gt;""),AND($V$6=TRUE,$V28&lt;&gt;""),AND($W$6=TRUE,$W28&lt;&gt;""),AND($X$6=TRUE,$X28&lt;&gt;""),AND($Y$6=TRUE,$Y28&lt;&gt;""),AND($Z$6=TRUE,$Z28&lt;&gt;""),AND($AA$6=TRUE,$AA28&lt;&gt;""),AND($AB$6=TRUE,$AB28&lt;&gt;""),AND($AC$6=TRUE,$AC28&lt;&gt;""),AND($AD$6=TRUE,$AD28&lt;&gt;"")),OR(AND($AE$6=TRUE,$AE28&lt;&gt;""),AND($AF$6=TRUE,$AF28&lt;&gt;""),AND($AG$6=TRUE,$AG28&lt;&gt;""),AND($AH$6=TRUE,$AH28&lt;&gt;"")))</f>
        <v>0</v>
      </c>
      <c r="AJ28" s="123" t="s">
        <v>183</v>
      </c>
      <c r="AK28" s="123"/>
      <c r="AL28" s="123"/>
      <c r="AM28" s="123"/>
      <c r="AN28" s="170" t="str">
        <f>IF(AJ28&lt;&gt;"","セキュリティ管理/","")&amp;IF(AK28&lt;&gt;"","マルウェア/","")&amp;IF(AL28&lt;&gt;"","クラウド/","")&amp;IF(AM28&lt;&gt;"","別表1,2,3","")</f>
        <v>セキュリティ管理/</v>
      </c>
      <c r="AO28" s="123"/>
    </row>
    <row r="29" spans="1:41" ht="45">
      <c r="A29" s="52"/>
      <c r="B29" s="58"/>
      <c r="C29" s="71" t="s">
        <v>1249</v>
      </c>
      <c r="D29" s="71" t="s">
        <v>558</v>
      </c>
      <c r="E29" s="91" t="str">
        <f>'インフラ(自社DC)'!E26</f>
        <v>センシティブ情報を保管する場合は、参照権限者を限定しているか。</v>
      </c>
      <c r="F29" s="91" t="s">
        <v>1250</v>
      </c>
      <c r="G29" s="92" t="s">
        <v>254</v>
      </c>
      <c r="H29" s="61"/>
      <c r="I29" s="107"/>
      <c r="J29" s="60"/>
      <c r="K29" s="60"/>
      <c r="L29" s="60"/>
      <c r="M29" s="123"/>
      <c r="N29" s="243"/>
      <c r="O29" s="111" cm="1">
        <f t="array" ref="O29">IF(AI29=TRUE,_xlfn.IFS(M29=1,2,M29="",IF(N29="",1,2)),0)</f>
        <v>0</v>
      </c>
      <c r="P29" s="69" t="s">
        <v>255</v>
      </c>
      <c r="Q29" s="69" t="s">
        <v>183</v>
      </c>
      <c r="R29" s="69" t="s">
        <v>183</v>
      </c>
      <c r="S29" s="69" t="s">
        <v>183</v>
      </c>
      <c r="T29" s="118" t="s">
        <v>183</v>
      </c>
      <c r="U29" s="118"/>
      <c r="V29" s="118"/>
      <c r="W29" s="118"/>
      <c r="X29" s="118" t="s">
        <v>448</v>
      </c>
      <c r="Y29" s="69"/>
      <c r="Z29" s="69"/>
      <c r="AA29" s="69"/>
      <c r="AB29" s="118"/>
      <c r="AC29" s="118"/>
      <c r="AD29" s="118"/>
      <c r="AE29" s="69" t="s">
        <v>255</v>
      </c>
      <c r="AF29" s="69" t="s">
        <v>255</v>
      </c>
      <c r="AG29" s="69"/>
      <c r="AH29" s="69"/>
      <c r="AI29" s="123" t="b">
        <f>AND(OR(AND($P$6=TRUE,$P29&lt;&gt;""),AND($Q$6=TRUE,$Q29&lt;&gt;""),AND($R$6=TRUE,$R29&lt;&gt;"")),AND($S$6=TRUE,$S29&lt;&gt;""),OR(AND($T$6=TRUE,$T29&lt;&gt;""),AND($U$6=TRUE,$U29&lt;&gt;""),AND($V$6=TRUE,$V29&lt;&gt;""),AND($W$6=TRUE,$W29&lt;&gt;""),AND($X$6=TRUE,$X29&lt;&gt;""),AND($Y$6=TRUE,$Y29&lt;&gt;""),AND($Z$6=TRUE,$Z29&lt;&gt;""),AND($AA$6=TRUE,$AA29&lt;&gt;""),AND($AB$6=TRUE,$AB29&lt;&gt;""),AND($AC$6=TRUE,$AC29&lt;&gt;""),AND($AD$6=TRUE,$AD29&lt;&gt;"")),OR(AND($AE$6=TRUE,$AE29&lt;&gt;""),AND($AF$6=TRUE,$AF29&lt;&gt;""),AND($AG$6=TRUE,$AG29&lt;&gt;""),AND($AH$6=TRUE,$AH29&lt;&gt;"")))</f>
        <v>0</v>
      </c>
      <c r="AJ29" s="123"/>
      <c r="AK29" s="123"/>
      <c r="AL29" s="123"/>
      <c r="AM29" s="123"/>
      <c r="AN29" s="170" t="str">
        <f>IF(AJ29&lt;&gt;"","セキュリティ管理/","")&amp;IF(AK29&lt;&gt;"","マルウェア/","")&amp;IF(AL29&lt;&gt;"","クラウド/","")&amp;IF(AM29&lt;&gt;"","別表1,2,3","")</f>
        <v/>
      </c>
      <c r="AO29" s="123"/>
    </row>
    <row r="30" spans="1:41" ht="45">
      <c r="A30" s="52"/>
      <c r="B30" s="58"/>
      <c r="C30" s="71" t="s">
        <v>1251</v>
      </c>
      <c r="D30" s="71" t="s">
        <v>980</v>
      </c>
      <c r="E30" s="107" t="str">
        <f>'インフラ(自社DC)'!E27</f>
        <v>取得したログは厳格にアクセス制御しているか、又は一回書き込み型の装置を使用するなどの改ざん防止措置を行っているか</v>
      </c>
      <c r="F30" s="107" t="s">
        <v>1252</v>
      </c>
      <c r="G30" s="60" t="s">
        <v>254</v>
      </c>
      <c r="H30" s="61"/>
      <c r="I30" s="107"/>
      <c r="J30" s="60"/>
      <c r="K30" s="60"/>
      <c r="L30" s="60"/>
      <c r="M30" s="123"/>
      <c r="N30" s="243"/>
      <c r="O30" s="111" cm="1">
        <f t="array" ref="O30">IF(AI30=TRUE,_xlfn.IFS(M30=1,2,M30="",IF(N30="",1,2)),0)</f>
        <v>0</v>
      </c>
      <c r="P30" s="69" t="s">
        <v>255</v>
      </c>
      <c r="Q30" s="69" t="s">
        <v>183</v>
      </c>
      <c r="R30" s="69" t="s">
        <v>183</v>
      </c>
      <c r="S30" s="69" t="s">
        <v>183</v>
      </c>
      <c r="T30" s="69" t="s">
        <v>183</v>
      </c>
      <c r="U30" s="69"/>
      <c r="V30" s="69"/>
      <c r="W30" s="69"/>
      <c r="X30" s="118" t="s">
        <v>448</v>
      </c>
      <c r="Y30" s="69"/>
      <c r="Z30" s="69"/>
      <c r="AA30" s="69"/>
      <c r="AB30" s="118"/>
      <c r="AC30" s="118"/>
      <c r="AD30" s="118"/>
      <c r="AE30" s="69" t="s">
        <v>255</v>
      </c>
      <c r="AF30" s="69" t="s">
        <v>255</v>
      </c>
      <c r="AG30" s="69"/>
      <c r="AH30" s="69"/>
      <c r="AI30" s="123" t="b">
        <f>AND(OR(AND($P$6=TRUE,$P30&lt;&gt;""),AND($Q$6=TRUE,$Q30&lt;&gt;""),AND($R$6=TRUE,$R30&lt;&gt;"")),AND($S$6=TRUE,$S30&lt;&gt;""),OR(AND($T$6=TRUE,$T30&lt;&gt;""),AND($U$6=TRUE,$U30&lt;&gt;""),AND($V$6=TRUE,$V30&lt;&gt;""),AND($W$6=TRUE,$W30&lt;&gt;""),AND($X$6=TRUE,$X30&lt;&gt;""),AND($Y$6=TRUE,$Y30&lt;&gt;""),AND($Z$6=TRUE,$Z30&lt;&gt;""),AND($AA$6=TRUE,$AA30&lt;&gt;""),AND($AB$6=TRUE,$AB30&lt;&gt;""),AND($AC$6=TRUE,$AC30&lt;&gt;""),AND($AD$6=TRUE,$AD30&lt;&gt;"")),OR(AND($AE$6=TRUE,$AE30&lt;&gt;""),AND($AF$6=TRUE,$AF30&lt;&gt;""),AND($AG$6=TRUE,$AG30&lt;&gt;""),AND($AH$6=TRUE,$AH30&lt;&gt;"")))</f>
        <v>0</v>
      </c>
      <c r="AJ30" s="123"/>
      <c r="AK30" s="123"/>
      <c r="AL30" s="123"/>
      <c r="AM30" s="123"/>
      <c r="AN30" s="170" t="str">
        <f>IF(AJ30&lt;&gt;"","セキュリティ管理/","")&amp;IF(AK30&lt;&gt;"","マルウェア/","")&amp;IF(AL30&lt;&gt;"","クラウド/","")&amp;IF(AM30&lt;&gt;"","別表1,2,3","")</f>
        <v/>
      </c>
      <c r="AO30" s="123"/>
    </row>
    <row r="31" spans="1:41" ht="22.5">
      <c r="A31" s="52" t="s">
        <v>559</v>
      </c>
      <c r="B31" s="52"/>
      <c r="C31" s="113"/>
      <c r="D31" s="113"/>
      <c r="E31" s="77"/>
      <c r="F31" s="77"/>
      <c r="G31" s="56"/>
      <c r="H31" s="56"/>
      <c r="I31" s="77"/>
      <c r="J31" s="56"/>
      <c r="K31" s="56"/>
      <c r="L31" s="56"/>
      <c r="M31" s="114"/>
      <c r="N31" s="249"/>
      <c r="O31" s="249"/>
      <c r="P31" s="114"/>
      <c r="Q31" s="114"/>
      <c r="R31" s="114"/>
      <c r="S31" s="114"/>
      <c r="T31" s="114"/>
      <c r="U31" s="114"/>
      <c r="V31" s="114"/>
      <c r="W31" s="114"/>
      <c r="X31" s="114"/>
      <c r="Y31" s="114"/>
      <c r="Z31" s="114"/>
      <c r="AA31" s="114"/>
      <c r="AB31" s="114"/>
      <c r="AC31" s="114"/>
      <c r="AD31" s="114"/>
      <c r="AE31" s="114"/>
      <c r="AF31" s="114"/>
      <c r="AG31" s="114"/>
      <c r="AH31" s="114"/>
      <c r="AI31" s="114" t="s">
        <v>268</v>
      </c>
      <c r="AJ31" s="114"/>
      <c r="AK31" s="114"/>
      <c r="AL31" s="114"/>
      <c r="AM31" s="114"/>
      <c r="AN31" s="114"/>
      <c r="AO31" s="114"/>
    </row>
    <row r="32" spans="1:41" ht="22.5">
      <c r="A32" s="52"/>
      <c r="B32" s="58"/>
      <c r="C32" s="58"/>
      <c r="D32" s="58"/>
      <c r="E32" s="115"/>
      <c r="F32" s="115"/>
      <c r="G32" s="58"/>
      <c r="H32" s="59"/>
      <c r="I32" s="84"/>
      <c r="J32" s="58"/>
      <c r="K32" s="58"/>
      <c r="L32" s="58"/>
      <c r="M32" s="122"/>
      <c r="N32" s="244"/>
      <c r="O32" s="244"/>
      <c r="P32" s="122"/>
      <c r="Q32" s="122"/>
      <c r="R32" s="122"/>
      <c r="S32" s="122"/>
      <c r="T32" s="122"/>
      <c r="U32" s="122"/>
      <c r="V32" s="122"/>
      <c r="W32" s="122"/>
      <c r="X32" s="122"/>
      <c r="Y32" s="122"/>
      <c r="Z32" s="122"/>
      <c r="AA32" s="122"/>
      <c r="AB32" s="122"/>
      <c r="AC32" s="122"/>
      <c r="AD32" s="122"/>
      <c r="AE32" s="122"/>
      <c r="AF32" s="122"/>
      <c r="AG32" s="122"/>
      <c r="AH32" s="122"/>
      <c r="AI32" s="122" t="s">
        <v>268</v>
      </c>
      <c r="AJ32" s="122"/>
      <c r="AK32" s="122"/>
      <c r="AL32" s="122"/>
      <c r="AM32" s="122"/>
      <c r="AN32" s="122"/>
      <c r="AO32" s="122"/>
    </row>
    <row r="33" spans="1:41" ht="157.5">
      <c r="A33" s="52"/>
      <c r="B33" s="58"/>
      <c r="C33" s="71" t="s">
        <v>1253</v>
      </c>
      <c r="D33" s="71" t="s">
        <v>270</v>
      </c>
      <c r="E33" s="91" t="s">
        <v>1042</v>
      </c>
      <c r="F33" s="91" t="s">
        <v>1254</v>
      </c>
      <c r="G33" s="92" t="s">
        <v>254</v>
      </c>
      <c r="H33" s="61"/>
      <c r="I33" s="107"/>
      <c r="J33" s="60"/>
      <c r="K33" s="60"/>
      <c r="L33" s="60"/>
      <c r="M33" s="123"/>
      <c r="N33" s="243"/>
      <c r="O33" s="111" cm="1">
        <f t="array" ref="O33">IF(AI33=TRUE,_xlfn.IFS(M33=1,2,M33="",IF(N33="",1,2)),0)</f>
        <v>0</v>
      </c>
      <c r="P33" s="69" t="s">
        <v>255</v>
      </c>
      <c r="Q33" s="69" t="s">
        <v>255</v>
      </c>
      <c r="R33" s="69" t="s">
        <v>255</v>
      </c>
      <c r="S33" s="69" t="s">
        <v>183</v>
      </c>
      <c r="T33" s="118" t="s">
        <v>255</v>
      </c>
      <c r="U33" s="118"/>
      <c r="V33" s="118"/>
      <c r="W33" s="118"/>
      <c r="X33" s="118"/>
      <c r="Y33" s="69"/>
      <c r="Z33" s="69"/>
      <c r="AA33" s="69"/>
      <c r="AB33" s="118"/>
      <c r="AC33" s="118"/>
      <c r="AD33" s="118"/>
      <c r="AE33" s="69" t="s">
        <v>255</v>
      </c>
      <c r="AF33" s="69" t="s">
        <v>255</v>
      </c>
      <c r="AG33" s="69"/>
      <c r="AH33" s="69"/>
      <c r="AI33" s="123" t="b">
        <f>AND(OR(AND($P$6=TRUE,$P33&lt;&gt;""),AND($Q$6=TRUE,$Q33&lt;&gt;""),AND($R$6=TRUE,$R33&lt;&gt;"")),AND($S$6=TRUE,$S33&lt;&gt;""),OR(AND($T$6=TRUE,$T33&lt;&gt;""),AND($U$6=TRUE,$U33&lt;&gt;""),AND($V$6=TRUE,$V33&lt;&gt;""),AND($W$6=TRUE,$W33&lt;&gt;""),AND($X$6=TRUE,$X33&lt;&gt;""),AND($Y$6=TRUE,$Y33&lt;&gt;""),AND($Z$6=TRUE,$Z33&lt;&gt;""),AND($AA$6=TRUE,$AA33&lt;&gt;""),AND($AB$6=TRUE,$AB33&lt;&gt;""),AND($AC$6=TRUE,$AC33&lt;&gt;""),AND($AD$6=TRUE,$AD33&lt;&gt;"")),OR(AND($AE$6=TRUE,$AE33&lt;&gt;""),AND($AF$6=TRUE,$AF33&lt;&gt;""),AND($AG$6=TRUE,$AG33&lt;&gt;""),AND($AH$6=TRUE,$AH33&lt;&gt;"")))</f>
        <v>0</v>
      </c>
      <c r="AJ33" s="123"/>
      <c r="AK33" s="123"/>
      <c r="AL33" s="123"/>
      <c r="AM33" s="123"/>
      <c r="AN33" s="170" t="str">
        <f>IF(AJ33&lt;&gt;"","セキュリティ管理/","")&amp;IF(AK33&lt;&gt;"","マルウェア/","")&amp;IF(AL33&lt;&gt;"","クラウド/","")&amp;IF(AM33&lt;&gt;"","別表1,2,3","")</f>
        <v/>
      </c>
      <c r="AO33" s="123"/>
    </row>
    <row r="34" spans="1:41" ht="270">
      <c r="A34" s="52"/>
      <c r="B34" s="58"/>
      <c r="C34" s="71" t="s">
        <v>1255</v>
      </c>
      <c r="D34" s="71" t="s">
        <v>562</v>
      </c>
      <c r="E34" s="91" t="str">
        <f>'インフラ(自社DC)'!E30</f>
        <v>機密情報を扱うシステムでは、保存データをミドルレイヤ(DBMS等）もしくはアプリケーションレイヤでの暗号化を行っているか。
センシティブ情報(損害サービス対応にかかわる重要コメント含む)、マイナンバー(法人番号は含まない)については暗号化を必須とし、特にマイナンバーの復号鍵は、データとは別の筐体に保管して保護、もしくはアクセス制御等によりデータと同等の保護策を実施する。
上記以外のデータで、レスポンス悪化などの影響を踏まえて暗号化しない場合は、以下の通りにデータ保護を行っているか。
　・主要データ・ＤＢへのシステム的なアクセス制限
　・主要データ・ＤＢへのアクセス状況のモニタリング
（アウトソースシステムにおいては、回答で「YES」を選択した場合でも、実施している対策を備考欄に記入する。）</v>
      </c>
      <c r="F34" s="91" t="s">
        <v>1256</v>
      </c>
      <c r="G34" s="92" t="s">
        <v>254</v>
      </c>
      <c r="H34" s="61"/>
      <c r="I34" s="107"/>
      <c r="J34" s="60"/>
      <c r="K34" s="60"/>
      <c r="L34" s="60"/>
      <c r="M34" s="123"/>
      <c r="N34" s="243"/>
      <c r="O34" s="111" cm="1">
        <f t="array" ref="O34">IF(AI34=TRUE,_xlfn.IFS(M34=1,2,M34="",IF(N34="",1,2)),0)</f>
        <v>0</v>
      </c>
      <c r="P34" s="69" t="s">
        <v>255</v>
      </c>
      <c r="Q34" s="69" t="s">
        <v>255</v>
      </c>
      <c r="R34" s="69" t="s">
        <v>255</v>
      </c>
      <c r="S34" s="69" t="s">
        <v>183</v>
      </c>
      <c r="T34" s="118" t="s">
        <v>255</v>
      </c>
      <c r="U34" s="118"/>
      <c r="V34" s="118"/>
      <c r="W34" s="118"/>
      <c r="X34" s="118" t="s">
        <v>448</v>
      </c>
      <c r="Y34" s="69"/>
      <c r="Z34" s="69"/>
      <c r="AA34" s="69"/>
      <c r="AB34" s="118"/>
      <c r="AC34" s="118" t="s">
        <v>183</v>
      </c>
      <c r="AD34" s="118"/>
      <c r="AE34" s="69" t="s">
        <v>255</v>
      </c>
      <c r="AF34" s="69" t="s">
        <v>255</v>
      </c>
      <c r="AG34" s="69" t="s">
        <v>255</v>
      </c>
      <c r="AH34" s="69"/>
      <c r="AI34" s="123" t="b">
        <f>AND(OR(AND($P$6=TRUE,$P34&lt;&gt;""),AND($Q$6=TRUE,$Q34&lt;&gt;""),AND($R$6=TRUE,$R34&lt;&gt;"")),AND($S$6=TRUE,$S34&lt;&gt;""),OR(AND($T$6=TRUE,$T34&lt;&gt;""),AND($U$6=TRUE,$U34&lt;&gt;""),AND($V$6=TRUE,$V34&lt;&gt;""),AND($W$6=TRUE,$W34&lt;&gt;""),AND($X$6=TRUE,$X34&lt;&gt;""),AND($Y$6=TRUE,$Y34&lt;&gt;""),AND($Z$6=TRUE,$Z34&lt;&gt;""),AND($AA$6=TRUE,$AA34&lt;&gt;""),AND($AB$6=TRUE,$AB34&lt;&gt;""),AND($AC$6=TRUE,$AC34&lt;&gt;""),AND($AD$6=TRUE,$AD34&lt;&gt;"")),OR(AND($AE$6=TRUE,$AE34&lt;&gt;""),AND($AF$6=TRUE,$AF34&lt;&gt;""),AND($AG$6=TRUE,$AG34&lt;&gt;""),AND($AH$6=TRUE,$AH34&lt;&gt;"")))</f>
        <v>0</v>
      </c>
      <c r="AJ34" s="123" t="s">
        <v>183</v>
      </c>
      <c r="AK34" s="123"/>
      <c r="AL34" s="123"/>
      <c r="AM34" s="123"/>
      <c r="AN34" s="170" t="str">
        <f>IF(AJ34&lt;&gt;"","セキュリティ管理/","")&amp;IF(AK34&lt;&gt;"","マルウェア/","")&amp;IF(AL34&lt;&gt;"","クラウド/","")&amp;IF(AM34&lt;&gt;"","別表1,2,3","")</f>
        <v>セキュリティ管理/</v>
      </c>
      <c r="AO34" s="123" t="s">
        <v>2198</v>
      </c>
    </row>
    <row r="35" spans="1:41" ht="112.5">
      <c r="A35" s="52"/>
      <c r="B35" s="58"/>
      <c r="C35" s="71" t="s">
        <v>1257</v>
      </c>
      <c r="D35" s="71" t="s">
        <v>565</v>
      </c>
      <c r="E35" s="91" t="str">
        <f>'インフラ(自社DC)'!E31</f>
        <v>ハッシュ関数や暗号アルゴリズムは、「電子政府推奨暗号リスト※」に記載されているものを採用しているか
※電子政府推奨暗号リストは下記URLを参照
https://www.cryptrec.go.jp/list.html</v>
      </c>
      <c r="F35" s="91" t="s">
        <v>1224</v>
      </c>
      <c r="G35" s="92" t="s">
        <v>254</v>
      </c>
      <c r="H35" s="61"/>
      <c r="I35" s="107"/>
      <c r="J35" s="60"/>
      <c r="K35" s="60"/>
      <c r="L35" s="60"/>
      <c r="M35" s="123"/>
      <c r="N35" s="243"/>
      <c r="O35" s="111" cm="1">
        <f t="array" ref="O35">IF(AI35=TRUE,_xlfn.IFS(M35=1,2,M35="",IF(N35="",1,2)),0)</f>
        <v>0</v>
      </c>
      <c r="P35" s="69" t="s">
        <v>255</v>
      </c>
      <c r="Q35" s="69" t="s">
        <v>183</v>
      </c>
      <c r="R35" s="69" t="s">
        <v>183</v>
      </c>
      <c r="S35" s="69" t="s">
        <v>183</v>
      </c>
      <c r="T35" s="118" t="s">
        <v>183</v>
      </c>
      <c r="U35" s="118"/>
      <c r="V35" s="118"/>
      <c r="W35" s="118"/>
      <c r="X35" s="118" t="s">
        <v>448</v>
      </c>
      <c r="Y35" s="69"/>
      <c r="Z35" s="69"/>
      <c r="AA35" s="69"/>
      <c r="AB35" s="118"/>
      <c r="AC35" s="118"/>
      <c r="AD35" s="118"/>
      <c r="AE35" s="69" t="s">
        <v>255</v>
      </c>
      <c r="AF35" s="69" t="s">
        <v>255</v>
      </c>
      <c r="AG35" s="69"/>
      <c r="AH35" s="69"/>
      <c r="AI35" s="123" t="b">
        <f>AND(OR(AND($P$6=TRUE,$P35&lt;&gt;""),AND($Q$6=TRUE,$Q35&lt;&gt;""),AND($R$6=TRUE,$R35&lt;&gt;"")),AND($S$6=TRUE,$S35&lt;&gt;""),OR(AND($T$6=TRUE,$T35&lt;&gt;""),AND($U$6=TRUE,$U35&lt;&gt;""),AND($V$6=TRUE,$V35&lt;&gt;""),AND($W$6=TRUE,$W35&lt;&gt;""),AND($X$6=TRUE,$X35&lt;&gt;""),AND($Y$6=TRUE,$Y35&lt;&gt;""),AND($Z$6=TRUE,$Z35&lt;&gt;""),AND($AA$6=TRUE,$AA35&lt;&gt;""),AND($AB$6=TRUE,$AB35&lt;&gt;""),AND($AC$6=TRUE,$AC35&lt;&gt;""),AND($AD$6=TRUE,$AD35&lt;&gt;"")),OR(AND($AE$6=TRUE,$AE35&lt;&gt;""),AND($AF$6=TRUE,$AF35&lt;&gt;""),AND($AG$6=TRUE,$AG35&lt;&gt;""),AND($AH$6=TRUE,$AH35&lt;&gt;"")))</f>
        <v>0</v>
      </c>
      <c r="AJ35" s="123"/>
      <c r="AK35" s="123"/>
      <c r="AL35" s="123"/>
      <c r="AM35" s="123"/>
      <c r="AN35" s="170" t="str">
        <f>IF(AJ35&lt;&gt;"","セキュリティ管理/","")&amp;IF(AK35&lt;&gt;"","マルウェア/","")&amp;IF(AL35&lt;&gt;"","クラウド/","")&amp;IF(AM35&lt;&gt;"","別表1,2,3","")</f>
        <v/>
      </c>
      <c r="AO35" s="123"/>
    </row>
    <row r="36" spans="1:41" ht="180">
      <c r="A36" s="52"/>
      <c r="B36" s="58"/>
      <c r="C36" s="71" t="s">
        <v>1258</v>
      </c>
      <c r="D36" s="71" t="s">
        <v>756</v>
      </c>
      <c r="E36" s="91" t="str">
        <f>'インフラ(自社DC)'!E32</f>
        <v>暗号鍵を耐タンパー性を有する暗号モジュールへ格納しているか。
また、暗号鍵は、管理者以外アクセス不可能な保存媒体及び保存場所へ格納しているか</v>
      </c>
      <c r="F36" s="91" t="s">
        <v>1259</v>
      </c>
      <c r="G36" s="92" t="s">
        <v>254</v>
      </c>
      <c r="H36" s="61"/>
      <c r="I36" s="107"/>
      <c r="J36" s="60"/>
      <c r="K36" s="60"/>
      <c r="L36" s="60"/>
      <c r="M36" s="123"/>
      <c r="N36" s="243"/>
      <c r="O36" s="111" cm="1">
        <f t="array" ref="O36">IF(AI36=TRUE,_xlfn.IFS(M36=1,2,M36="",IF(N36="",1,2)),0)</f>
        <v>0</v>
      </c>
      <c r="P36" s="69" t="s">
        <v>255</v>
      </c>
      <c r="Q36" s="69" t="s">
        <v>183</v>
      </c>
      <c r="R36" s="69" t="s">
        <v>183</v>
      </c>
      <c r="S36" s="69" t="s">
        <v>183</v>
      </c>
      <c r="T36" s="118" t="s">
        <v>183</v>
      </c>
      <c r="U36" s="118"/>
      <c r="V36" s="118"/>
      <c r="W36" s="118"/>
      <c r="X36" s="118" t="s">
        <v>448</v>
      </c>
      <c r="Y36" s="69"/>
      <c r="Z36" s="69"/>
      <c r="AA36" s="69"/>
      <c r="AB36" s="118"/>
      <c r="AC36" s="118"/>
      <c r="AD36" s="118"/>
      <c r="AE36" s="69" t="s">
        <v>255</v>
      </c>
      <c r="AF36" s="69" t="s">
        <v>255</v>
      </c>
      <c r="AG36" s="69"/>
      <c r="AH36" s="69"/>
      <c r="AI36" s="123" t="b">
        <f>AND(OR(AND($P$6=TRUE,$P36&lt;&gt;""),AND($Q$6=TRUE,$Q36&lt;&gt;""),AND($R$6=TRUE,$R36&lt;&gt;"")),AND($S$6=TRUE,$S36&lt;&gt;""),OR(AND($T$6=TRUE,$T36&lt;&gt;""),AND($U$6=TRUE,$U36&lt;&gt;""),AND($V$6=TRUE,$V36&lt;&gt;""),AND($W$6=TRUE,$W36&lt;&gt;""),AND($X$6=TRUE,$X36&lt;&gt;""),AND($Y$6=TRUE,$Y36&lt;&gt;""),AND($Z$6=TRUE,$Z36&lt;&gt;""),AND($AA$6=TRUE,$AA36&lt;&gt;""),AND($AB$6=TRUE,$AB36&lt;&gt;""),AND($AC$6=TRUE,$AC36&lt;&gt;""),AND($AD$6=TRUE,$AD36&lt;&gt;"")),OR(AND($AE$6=TRUE,$AE36&lt;&gt;""),AND($AF$6=TRUE,$AF36&lt;&gt;""),AND($AG$6=TRUE,$AG36&lt;&gt;""),AND($AH$6=TRUE,$AH36&lt;&gt;"")))</f>
        <v>0</v>
      </c>
      <c r="AJ36" s="123"/>
      <c r="AK36" s="123"/>
      <c r="AL36" s="123"/>
      <c r="AM36" s="123"/>
      <c r="AN36" s="170" t="str">
        <f>IF(AJ36&lt;&gt;"","セキュリティ管理/","")&amp;IF(AK36&lt;&gt;"","マルウェア/","")&amp;IF(AL36&lt;&gt;"","クラウド/","")&amp;IF(AM36&lt;&gt;"","別表1,2,3","")</f>
        <v/>
      </c>
      <c r="AO36" s="123"/>
    </row>
    <row r="37" spans="1:41" ht="360">
      <c r="A37" s="52"/>
      <c r="B37" s="58"/>
      <c r="C37" s="71" t="s">
        <v>2274</v>
      </c>
      <c r="D37" s="71" t="s">
        <v>2273</v>
      </c>
      <c r="E37" s="107" t="str">
        <f>'インフラ(自社DC)'!E33</f>
        <v>インターネット回線を用いて重要情報※を取扱う場合は、以下の通り通信を保護しているか。
※重要情報の定義は情報セキュリティ管理マニュアルを参照すること。
・非暗号化通信によるアクセスができないように設定する。もしくは非暗号化通信によるアクセスがあった場合には、暗号化通信のURLにリダイレクトするようにHSTSを設定する。
・原則TLS 1.2以上のみを許可する。システムの新規構築時は、TLS 1.3にも対応する。
・TLSの暗号アルゴリズムは「電子政府推奨暗号リスト」の他、IPA「TLS暗号設定ガイドライン」の推奨セキュリティ型にあたる利用禁止アルゴリズムと利用推奨暗号アルゴリズムに対応する。
・TLSに利用するサーバー証明書は信頼できる機関から発行されたものを利用する。
・匿名認証（ADH)による暗号化通信を拒否するよう検討する。
・本番サーバのSSL証明書はOV SSL（企業認証）またはEV SSL（Extended Validation SSL）を利用すること。さらにクレジットカード情報等の決済情報を取り扱うような、より高度な信頼性が求められるシステムにおいては、ユーザの身元情報等をより厳格に審査したうえで発行されるEV SSLを必須とする。
・通信の暗号化が行えない場合は、閉鎖的な通信回線とする</v>
      </c>
      <c r="F37" s="91" t="s">
        <v>1260</v>
      </c>
      <c r="G37" s="92" t="s">
        <v>254</v>
      </c>
      <c r="H37" s="61"/>
      <c r="I37" s="107"/>
      <c r="J37" s="123"/>
      <c r="K37" s="124"/>
      <c r="L37" s="124"/>
      <c r="M37" s="124"/>
      <c r="N37" s="243"/>
      <c r="O37" s="111" cm="1">
        <f t="array" ref="O37">IF(AI37=TRUE,_xlfn.IFS(M37=1,2,M37="",IF(N37="",1,2)),0)</f>
        <v>0</v>
      </c>
      <c r="P37" s="121" t="s">
        <v>255</v>
      </c>
      <c r="Q37" s="69" t="s">
        <v>183</v>
      </c>
      <c r="R37" s="69" t="s">
        <v>183</v>
      </c>
      <c r="S37" s="69" t="s">
        <v>183</v>
      </c>
      <c r="T37" s="69" t="s">
        <v>183</v>
      </c>
      <c r="U37" s="69"/>
      <c r="V37" s="69"/>
      <c r="W37" s="69"/>
      <c r="X37" s="69" t="s">
        <v>183</v>
      </c>
      <c r="Y37" s="69"/>
      <c r="Z37" s="69"/>
      <c r="AA37" s="69"/>
      <c r="AB37" s="69"/>
      <c r="AC37" s="69"/>
      <c r="AD37" s="69"/>
      <c r="AE37" s="69"/>
      <c r="AF37" s="69" t="s">
        <v>255</v>
      </c>
      <c r="AG37" s="69"/>
      <c r="AH37" s="69"/>
      <c r="AI37" s="123" t="b">
        <f>AND(OR(AND($P$6=TRUE,$P37&lt;&gt;""),AND($Q$6=TRUE,$Q37&lt;&gt;""),AND($R$6=TRUE,$R37&lt;&gt;"")),AND($S$6=TRUE,$S37&lt;&gt;""),OR(AND($T$6=TRUE,$T37&lt;&gt;""),AND($U$6=TRUE,$U37&lt;&gt;""),AND($V$6=TRUE,$V37&lt;&gt;""),AND($W$6=TRUE,$W37&lt;&gt;""),AND($X$6=TRUE,$X37&lt;&gt;""),AND($Y$6=TRUE,$Y37&lt;&gt;""),AND($Z$6=TRUE,$Z37&lt;&gt;""),AND($AA$6=TRUE,$AA37&lt;&gt;""),AND($AB$6=TRUE,$AB37&lt;&gt;""),AND($AC$6=TRUE,$AC37&lt;&gt;""),AND($AD$6=TRUE,$AD37&lt;&gt;"")),OR(AND($AE$6=TRUE,$AE37&lt;&gt;""),AND($AF$6=TRUE,$AF37&lt;&gt;""),AND($AG$6=TRUE,$AG37&lt;&gt;""),AND($AH$6=TRUE,$AH37&lt;&gt;"")))</f>
        <v>0</v>
      </c>
      <c r="AJ37" s="123"/>
      <c r="AK37" s="123"/>
      <c r="AL37" s="123"/>
      <c r="AM37" s="123"/>
      <c r="AN37" s="170" t="str">
        <f>IF(AJ37&lt;&gt;"","セキュリティ管理/","")&amp;IF(AK37&lt;&gt;"","マルウェア/","")&amp;IF(AL37&lt;&gt;"","クラウド/","")&amp;IF(AM37&lt;&gt;"","別表1,2,3","")</f>
        <v/>
      </c>
      <c r="AO37" s="124" t="s">
        <v>2198</v>
      </c>
    </row>
    <row r="38" spans="1:41" ht="22.5">
      <c r="A38" s="52" t="s">
        <v>760</v>
      </c>
      <c r="B38" s="52"/>
      <c r="C38" s="113"/>
      <c r="D38" s="113"/>
      <c r="E38" s="77"/>
      <c r="F38" s="77"/>
      <c r="G38" s="56"/>
      <c r="H38" s="56"/>
      <c r="I38" s="77"/>
      <c r="J38" s="56"/>
      <c r="K38" s="56"/>
      <c r="L38" s="56"/>
      <c r="M38" s="114"/>
      <c r="N38" s="249"/>
      <c r="O38" s="249"/>
      <c r="P38" s="114"/>
      <c r="Q38" s="114"/>
      <c r="R38" s="114"/>
      <c r="S38" s="114"/>
      <c r="T38" s="114"/>
      <c r="U38" s="114"/>
      <c r="V38" s="114"/>
      <c r="W38" s="114"/>
      <c r="X38" s="114"/>
      <c r="Y38" s="114"/>
      <c r="Z38" s="114"/>
      <c r="AA38" s="114"/>
      <c r="AB38" s="114"/>
      <c r="AC38" s="114"/>
      <c r="AD38" s="114"/>
      <c r="AE38" s="114"/>
      <c r="AF38" s="114"/>
      <c r="AG38" s="114"/>
      <c r="AH38" s="114"/>
      <c r="AI38" s="114" t="s">
        <v>268</v>
      </c>
      <c r="AJ38" s="114"/>
      <c r="AK38" s="114"/>
      <c r="AL38" s="114"/>
      <c r="AM38" s="114"/>
      <c r="AN38" s="114"/>
      <c r="AO38" s="114"/>
    </row>
    <row r="39" spans="1:41" ht="22.5">
      <c r="A39" s="52"/>
      <c r="B39" s="58" t="s">
        <v>761</v>
      </c>
      <c r="C39" s="58"/>
      <c r="D39" s="58"/>
      <c r="E39" s="115"/>
      <c r="F39" s="115"/>
      <c r="G39" s="58"/>
      <c r="H39" s="59"/>
      <c r="I39" s="84"/>
      <c r="J39" s="58"/>
      <c r="K39" s="58"/>
      <c r="L39" s="58"/>
      <c r="M39" s="122"/>
      <c r="N39" s="244"/>
      <c r="O39" s="244"/>
      <c r="P39" s="122"/>
      <c r="Q39" s="122"/>
      <c r="R39" s="122"/>
      <c r="S39" s="122"/>
      <c r="T39" s="122"/>
      <c r="U39" s="122"/>
      <c r="V39" s="122"/>
      <c r="W39" s="122"/>
      <c r="X39" s="122"/>
      <c r="Y39" s="122"/>
      <c r="Z39" s="122"/>
      <c r="AA39" s="122"/>
      <c r="AB39" s="122"/>
      <c r="AC39" s="122"/>
      <c r="AD39" s="122"/>
      <c r="AE39" s="122"/>
      <c r="AF39" s="122"/>
      <c r="AG39" s="122"/>
      <c r="AH39" s="122"/>
      <c r="AI39" s="122" t="s">
        <v>268</v>
      </c>
      <c r="AJ39" s="122"/>
      <c r="AK39" s="122"/>
      <c r="AL39" s="122"/>
      <c r="AM39" s="122"/>
      <c r="AN39" s="122"/>
      <c r="AO39" s="122"/>
    </row>
    <row r="40" spans="1:41" ht="135">
      <c r="A40" s="52"/>
      <c r="B40" s="58"/>
      <c r="C40" s="71" t="s">
        <v>1261</v>
      </c>
      <c r="D40" s="71" t="s">
        <v>274</v>
      </c>
      <c r="E40" s="91" t="str">
        <f>'インフラ(自社DC)'!E37</f>
        <v xml:space="preserve">本番環境やプレ本環境にアクセス出来るエリアは、ゾーニングエリアを設置し、入室管理・端末利用管理・持ち込み／持ち出し管理を徹底しているか。
・本番環境 ：本番検証室の端末もしくはひとり一台端末を利用
・プレ本環境　 ：プレ本検証室の端末を利用
</v>
      </c>
      <c r="F40" s="91" t="s">
        <v>1191</v>
      </c>
      <c r="G40" s="92" t="s">
        <v>254</v>
      </c>
      <c r="H40" s="61"/>
      <c r="I40" s="107"/>
      <c r="J40" s="60"/>
      <c r="K40" s="60"/>
      <c r="L40" s="60"/>
      <c r="M40" s="123"/>
      <c r="N40" s="243"/>
      <c r="O40" s="111" cm="1">
        <f t="array" ref="O40">IF(AI40=TRUE,_xlfn.IFS(M40=1,2,M40="",IF(N40="",1,2)),0)</f>
        <v>0</v>
      </c>
      <c r="P40" s="69" t="s">
        <v>255</v>
      </c>
      <c r="Q40" s="69" t="s">
        <v>183</v>
      </c>
      <c r="R40" s="69" t="s">
        <v>183</v>
      </c>
      <c r="S40" s="69" t="s">
        <v>183</v>
      </c>
      <c r="T40" s="118" t="s">
        <v>183</v>
      </c>
      <c r="U40" s="118"/>
      <c r="V40" s="118"/>
      <c r="W40" s="118"/>
      <c r="X40" s="118" t="s">
        <v>448</v>
      </c>
      <c r="Y40" s="69"/>
      <c r="Z40" s="69"/>
      <c r="AA40" s="69"/>
      <c r="AB40" s="118"/>
      <c r="AC40" s="118"/>
      <c r="AD40" s="118"/>
      <c r="AE40" s="69" t="s">
        <v>255</v>
      </c>
      <c r="AF40" s="69" t="s">
        <v>255</v>
      </c>
      <c r="AG40" s="69" t="s">
        <v>255</v>
      </c>
      <c r="AH40" s="69"/>
      <c r="AI40" s="123" t="b">
        <f>AND(OR(AND($P$6=TRUE,$P40&lt;&gt;""),AND($Q$6=TRUE,$Q40&lt;&gt;""),AND($R$6=TRUE,$R40&lt;&gt;"")),AND($S$6=TRUE,$S40&lt;&gt;""),OR(AND($T$6=TRUE,$T40&lt;&gt;""),AND($U$6=TRUE,$U40&lt;&gt;""),AND($V$6=TRUE,$V40&lt;&gt;""),AND($W$6=TRUE,$W40&lt;&gt;""),AND($X$6=TRUE,$X40&lt;&gt;""),AND($Y$6=TRUE,$Y40&lt;&gt;""),AND($Z$6=TRUE,$Z40&lt;&gt;""),AND($AA$6=TRUE,$AA40&lt;&gt;""),AND($AB$6=TRUE,$AB40&lt;&gt;""),AND($AC$6=TRUE,$AC40&lt;&gt;""),AND($AD$6=TRUE,$AD40&lt;&gt;"")),OR(AND($AE$6=TRUE,$AE40&lt;&gt;""),AND($AF$6=TRUE,$AF40&lt;&gt;""),AND($AG$6=TRUE,$AG40&lt;&gt;""),AND($AH$6=TRUE,$AH40&lt;&gt;"")))</f>
        <v>0</v>
      </c>
      <c r="AJ40" s="123" t="s">
        <v>183</v>
      </c>
      <c r="AK40" s="123"/>
      <c r="AL40" s="123"/>
      <c r="AM40" s="123" t="s">
        <v>183</v>
      </c>
      <c r="AN40" s="170" t="str">
        <f>IF(AJ40&lt;&gt;"","セキュリティ管理/","")&amp;IF(AK40&lt;&gt;"","マルウェア/","")&amp;IF(AL40&lt;&gt;"","クラウド/","")&amp;IF(AM40&lt;&gt;"","別表1,2,3","")</f>
        <v>セキュリティ管理/別表1,2,3</v>
      </c>
      <c r="AO40" s="123"/>
    </row>
    <row r="41" spans="1:41" ht="337.5">
      <c r="A41" s="109"/>
      <c r="B41" s="101"/>
      <c r="C41" s="71" t="s">
        <v>1263</v>
      </c>
      <c r="D41" s="71" t="s">
        <v>277</v>
      </c>
      <c r="E41" s="91" t="str">
        <f>'インフラ(自社DC)'!E38</f>
        <v xml:space="preserve">本番サーバへのログインは、専用のセグメントに設置した運用管理専用の端末（TMNFにおいてはセキュア環境）（※)を経由しているか。
また、直接特権ＩＤでログインせずに、個人ＩＤでログイン後に特権ＩＤへ切り替える等、作業者を特定できるようにしているか
※以下を満たす本番環境接続時の環境を指す。
　・社内LAN接続不可
　・インターネットアクセスおよびメール送受信不可
　　(セキュリティパッチ適用やウィルスパターンファイル更新も社内の運用管理サーバ経由で適用することが好ましい）
　・印刷不可
　・踏み台環境より外（操作元のPCなど）へのデータ持ち出しやカット＆ペースト不可
　・環境内での操作記録
　・サーバやNW機器の認証情報を端末内に残さない
</v>
      </c>
      <c r="F41" s="91" t="s">
        <v>1262</v>
      </c>
      <c r="G41" s="60" t="s">
        <v>254</v>
      </c>
      <c r="H41" s="61"/>
      <c r="I41" s="107"/>
      <c r="J41" s="60"/>
      <c r="K41" s="60"/>
      <c r="L41" s="60"/>
      <c r="M41" s="123"/>
      <c r="N41" s="243"/>
      <c r="O41" s="111" cm="1">
        <f t="array" ref="O41">IF(AI41=TRUE,_xlfn.IFS(M41=1,2,M41="",IF(N41="",1,2)),0)</f>
        <v>0</v>
      </c>
      <c r="P41" s="69" t="s">
        <v>255</v>
      </c>
      <c r="Q41" s="69" t="s">
        <v>183</v>
      </c>
      <c r="R41" s="69" t="s">
        <v>183</v>
      </c>
      <c r="S41" s="69" t="s">
        <v>183</v>
      </c>
      <c r="T41" s="118" t="s">
        <v>183</v>
      </c>
      <c r="U41" s="118"/>
      <c r="V41" s="118"/>
      <c r="W41" s="118"/>
      <c r="X41" s="118" t="s">
        <v>448</v>
      </c>
      <c r="Y41" s="69"/>
      <c r="Z41" s="69"/>
      <c r="AA41" s="69"/>
      <c r="AB41" s="118"/>
      <c r="AC41" s="118"/>
      <c r="AD41" s="118"/>
      <c r="AE41" s="69" t="s">
        <v>255</v>
      </c>
      <c r="AF41" s="69" t="s">
        <v>255</v>
      </c>
      <c r="AG41" s="69" t="s">
        <v>255</v>
      </c>
      <c r="AH41" s="69"/>
      <c r="AI41" s="123" t="b">
        <f>AND(OR(AND($P$6=TRUE,$P41&lt;&gt;""),AND($Q$6=TRUE,$Q41&lt;&gt;""),AND($R$6=TRUE,$R41&lt;&gt;"")),AND($S$6=TRUE,$S41&lt;&gt;""),OR(AND($T$6=TRUE,$T41&lt;&gt;""),AND($U$6=TRUE,$U41&lt;&gt;""),AND($V$6=TRUE,$V41&lt;&gt;""),AND($W$6=TRUE,$W41&lt;&gt;""),AND($X$6=TRUE,$X41&lt;&gt;""),AND($Y$6=TRUE,$Y41&lt;&gt;""),AND($Z$6=TRUE,$Z41&lt;&gt;""),AND($AA$6=TRUE,$AA41&lt;&gt;""),AND($AB$6=TRUE,$AB41&lt;&gt;""),AND($AC$6=TRUE,$AC41&lt;&gt;""),AND($AD$6=TRUE,$AD41&lt;&gt;"")),OR(AND($AE$6=TRUE,$AE41&lt;&gt;""),AND($AF$6=TRUE,$AF41&lt;&gt;""),AND($AG$6=TRUE,$AG41&lt;&gt;""),AND($AH$6=TRUE,$AH41&lt;&gt;"")))</f>
        <v>0</v>
      </c>
      <c r="AJ41" s="123" t="s">
        <v>183</v>
      </c>
      <c r="AK41" s="123" t="s">
        <v>183</v>
      </c>
      <c r="AL41" s="123"/>
      <c r="AM41" s="123" t="s">
        <v>183</v>
      </c>
      <c r="AN41" s="170" t="str">
        <f>IF(AJ41&lt;&gt;"","セキュリティ管理/","")&amp;IF(AK41&lt;&gt;"","マルウェア/","")&amp;IF(AL41&lt;&gt;"","クラウド/","")&amp;IF(AM41&lt;&gt;"","別表1,2,3","")</f>
        <v>セキュリティ管理/マルウェア/別表1,2,3</v>
      </c>
      <c r="AO41" s="123"/>
    </row>
    <row r="42" spans="1:41" ht="22.5">
      <c r="A42" s="52"/>
      <c r="B42" s="58"/>
      <c r="C42" s="71" t="s">
        <v>1264</v>
      </c>
      <c r="D42" s="71" t="s">
        <v>280</v>
      </c>
      <c r="E42" s="91" t="str">
        <f>'インフラ(自社DC)'!E39</f>
        <v>通信回線装置やサーバの時刻は、常にUTCを基準とした時刻と同期を取っているか</v>
      </c>
      <c r="F42" s="91" t="s">
        <v>1224</v>
      </c>
      <c r="G42" s="92" t="s">
        <v>361</v>
      </c>
      <c r="H42" s="61"/>
      <c r="I42" s="107"/>
      <c r="J42" s="60"/>
      <c r="K42" s="60"/>
      <c r="L42" s="60"/>
      <c r="M42" s="123"/>
      <c r="N42" s="243"/>
      <c r="O42" s="111" cm="1">
        <f t="array" ref="O42">IF(AI42=TRUE,_xlfn.IFS(M42=1,2,M42="",IF(N42="",1,2)),0)</f>
        <v>0</v>
      </c>
      <c r="P42" s="69" t="s">
        <v>255</v>
      </c>
      <c r="Q42" s="69" t="s">
        <v>183</v>
      </c>
      <c r="R42" s="69" t="s">
        <v>183</v>
      </c>
      <c r="S42" s="69" t="s">
        <v>183</v>
      </c>
      <c r="T42" s="118" t="s">
        <v>183</v>
      </c>
      <c r="U42" s="118"/>
      <c r="V42" s="118"/>
      <c r="W42" s="118"/>
      <c r="X42" s="118" t="s">
        <v>448</v>
      </c>
      <c r="Y42" s="69"/>
      <c r="Z42" s="69"/>
      <c r="AA42" s="69"/>
      <c r="AB42" s="118"/>
      <c r="AC42" s="118"/>
      <c r="AD42" s="118"/>
      <c r="AE42" s="69" t="s">
        <v>255</v>
      </c>
      <c r="AF42" s="69" t="s">
        <v>255</v>
      </c>
      <c r="AG42" s="69"/>
      <c r="AH42" s="69"/>
      <c r="AI42" s="123" t="b">
        <f>AND(OR(AND($P$6=TRUE,$P42&lt;&gt;""),AND($Q$6=TRUE,$Q42&lt;&gt;""),AND($R$6=TRUE,$R42&lt;&gt;"")),AND($S$6=TRUE,$S42&lt;&gt;""),OR(AND($T$6=TRUE,$T42&lt;&gt;""),AND($U$6=TRUE,$U42&lt;&gt;""),AND($V$6=TRUE,$V42&lt;&gt;""),AND($W$6=TRUE,$W42&lt;&gt;""),AND($X$6=TRUE,$X42&lt;&gt;""),AND($Y$6=TRUE,$Y42&lt;&gt;""),AND($Z$6=TRUE,$Z42&lt;&gt;""),AND($AA$6=TRUE,$AA42&lt;&gt;""),AND($AB$6=TRUE,$AB42&lt;&gt;""),AND($AC$6=TRUE,$AC42&lt;&gt;""),AND($AD$6=TRUE,$AD42&lt;&gt;"")),OR(AND($AE$6=TRUE,$AE42&lt;&gt;""),AND($AF$6=TRUE,$AF42&lt;&gt;""),AND($AG$6=TRUE,$AG42&lt;&gt;""),AND($AH$6=TRUE,$AH42&lt;&gt;"")))</f>
        <v>0</v>
      </c>
      <c r="AJ42" s="123"/>
      <c r="AK42" s="123"/>
      <c r="AL42" s="123"/>
      <c r="AM42" s="123"/>
      <c r="AN42" s="170" t="str">
        <f>IF(AJ42&lt;&gt;"","セキュリティ管理/","")&amp;IF(AK42&lt;&gt;"","マルウェア/","")&amp;IF(AL42&lt;&gt;"","クラウド/","")&amp;IF(AM42&lt;&gt;"","別表1,2,3","")</f>
        <v/>
      </c>
      <c r="AO42" s="123"/>
    </row>
    <row r="43" spans="1:41" ht="180">
      <c r="A43" s="52"/>
      <c r="B43" s="58"/>
      <c r="C43" s="71" t="s">
        <v>1265</v>
      </c>
      <c r="D43" s="71" t="s">
        <v>577</v>
      </c>
      <c r="E43" s="91" t="str">
        <f>'インフラ(自社DC)'!E40</f>
        <v>マイナンバー（法人番号は含まない）を保管するシステムは以下の要件を全て満たしているか。
・参照・登録を行うＷｅｂアプリケーションサーバ（以下Ｗｅｂサーバ）と、データを保管するデータベースサーバ（以下ＤＢサーバ）で構成する
・マイナンバーはＤＢサーバにのみ保管する
・ＤＢサーバに対する通信は、特定の機器からのみ可能とする制御を行う
・ひとり一台端末からの業務利用を前提とし、インターネットからのアクセスを不可とする</v>
      </c>
      <c r="F43" s="91" t="s">
        <v>1224</v>
      </c>
      <c r="G43" s="92" t="s">
        <v>361</v>
      </c>
      <c r="H43" s="61"/>
      <c r="I43" s="107"/>
      <c r="J43" s="60"/>
      <c r="K43" s="60"/>
      <c r="L43" s="60"/>
      <c r="M43" s="123"/>
      <c r="N43" s="243"/>
      <c r="O43" s="111" cm="1">
        <f t="array" ref="O43">IF(AI43=TRUE,_xlfn.IFS(M43=1,2,M43="",IF(N43="",1,2)),0)</f>
        <v>0</v>
      </c>
      <c r="P43" s="69" t="s">
        <v>255</v>
      </c>
      <c r="Q43" s="69" t="s">
        <v>183</v>
      </c>
      <c r="R43" s="69" t="s">
        <v>183</v>
      </c>
      <c r="S43" s="69" t="s">
        <v>183</v>
      </c>
      <c r="U43" s="118"/>
      <c r="V43" s="118"/>
      <c r="W43" s="118"/>
      <c r="X43" s="118" t="s">
        <v>448</v>
      </c>
      <c r="Y43" s="69"/>
      <c r="Z43" s="69"/>
      <c r="AA43" s="69"/>
      <c r="AB43" s="118"/>
      <c r="AC43" s="118" t="s">
        <v>183</v>
      </c>
      <c r="AD43" s="118"/>
      <c r="AE43" s="69" t="s">
        <v>255</v>
      </c>
      <c r="AF43" s="69" t="s">
        <v>255</v>
      </c>
      <c r="AG43" s="69"/>
      <c r="AH43" s="69"/>
      <c r="AI43" s="123" t="b">
        <f>AND(OR(AND($P$6=TRUE,$P43&lt;&gt;""),AND($Q$6=TRUE,$Q43&lt;&gt;""),AND($R$6=TRUE,$R43&lt;&gt;"")),AND($S$6=TRUE,$S43&lt;&gt;""),OR(AND($T$6=TRUE,$T43&lt;&gt;""),AND($U$6=TRUE,$U43&lt;&gt;""),AND($V$6=TRUE,$V43&lt;&gt;""),AND($W$6=TRUE,$W43&lt;&gt;""),AND($X$6=TRUE,$X43&lt;&gt;""),AND($Y$6=TRUE,$Y43&lt;&gt;""),AND($Z$6=TRUE,$Z43&lt;&gt;""),AND($AA$6=TRUE,$AA43&lt;&gt;""),AND($AB$6=TRUE,$AB43&lt;&gt;""),AND($AC$6=TRUE,$AC43&lt;&gt;""),AND($AD$6=TRUE,$AD43&lt;&gt;"")),OR(AND($AE$6=TRUE,$AE43&lt;&gt;""),AND($AF$6=TRUE,$AF43&lt;&gt;""),AND($AG$6=TRUE,$AG43&lt;&gt;""),AND($AH$6=TRUE,$AH43&lt;&gt;"")))</f>
        <v>0</v>
      </c>
      <c r="AJ43" s="123"/>
      <c r="AK43" s="123"/>
      <c r="AL43" s="123"/>
      <c r="AM43" s="123"/>
      <c r="AN43" s="170" t="str">
        <f>IF(AJ43&lt;&gt;"","セキュリティ管理/","")&amp;IF(AK43&lt;&gt;"","マルウェア/","")&amp;IF(AL43&lt;&gt;"","クラウド/","")&amp;IF(AM43&lt;&gt;"","別表1,2,3","")</f>
        <v/>
      </c>
      <c r="AO43" s="123" t="s">
        <v>768</v>
      </c>
    </row>
    <row r="44" spans="1:41" ht="202.5">
      <c r="A44" s="52"/>
      <c r="B44" s="58"/>
      <c r="C44" s="71" t="s">
        <v>2151</v>
      </c>
      <c r="D44" s="71" t="s">
        <v>581</v>
      </c>
      <c r="E44" s="107" t="str">
        <f>'インフラ(自社DC)'!E41</f>
        <v>対応ランクAシステムは、セキュリティインシデントによりサーバが停止した（あるいは停止せざるを得ない）場合に備えて、同一サーバ以外の環境からユーザにサービス停止の旨を案内するSorryページを用意しているか。
同一サーバ以外とは、例えば別のサーバやクラウド環境が挙げられる。
なお、オンプレセキュアドGWを通る環境については、共通的なSorryページの仕組みを構築している。実装にあたっては、以下キャビネに掲載の方法を参照願う。
https://cc.tm.millea.co.jp/fw/dfw/SFDCLI/common/Login?startURL=https%3A%2F%2Ftokiomarine--c.vf.force.com%2Fa091000007009KAAAY</v>
      </c>
      <c r="F44" s="126" t="s">
        <v>1120</v>
      </c>
      <c r="G44" s="92" t="s">
        <v>361</v>
      </c>
      <c r="H44" s="61"/>
      <c r="I44" s="107"/>
      <c r="J44" s="60"/>
      <c r="K44" s="60"/>
      <c r="L44" s="60"/>
      <c r="M44" s="123"/>
      <c r="N44" s="243"/>
      <c r="O44" s="111" cm="1">
        <f t="array" ref="O44">IF(AI44=TRUE,_xlfn.IFS(M44=1,2,M44="",IF(N44="",1,2)),0)</f>
        <v>0</v>
      </c>
      <c r="P44" s="69" t="s">
        <v>255</v>
      </c>
      <c r="Q44" s="69" t="s">
        <v>183</v>
      </c>
      <c r="R44" s="69" t="s">
        <v>183</v>
      </c>
      <c r="S44" s="69" t="s">
        <v>183</v>
      </c>
      <c r="U44" s="118"/>
      <c r="V44" s="118"/>
      <c r="W44" s="118"/>
      <c r="X44" s="118" t="s">
        <v>448</v>
      </c>
      <c r="Y44" s="69"/>
      <c r="Z44" s="69"/>
      <c r="AA44" s="69"/>
      <c r="AB44" s="118"/>
      <c r="AC44" s="118"/>
      <c r="AD44" s="118" t="s">
        <v>183</v>
      </c>
      <c r="AE44" s="69" t="s">
        <v>255</v>
      </c>
      <c r="AF44" s="69" t="s">
        <v>255</v>
      </c>
      <c r="AG44" s="69"/>
      <c r="AH44" s="69"/>
      <c r="AI44" s="123" t="b">
        <f>AND(OR(AND($P$6=TRUE,$P44&lt;&gt;""),AND($Q$6=TRUE,$Q44&lt;&gt;""),AND($R$6=TRUE,$R44&lt;&gt;"")),AND($S$6=TRUE,$S44&lt;&gt;""),OR(AND($T$6=TRUE,$T44&lt;&gt;""),AND($U$6=TRUE,$U44&lt;&gt;""),AND($V$6=TRUE,$V44&lt;&gt;""),AND($W$6=TRUE,$W44&lt;&gt;""),AND($X$6=TRUE,$X44&lt;&gt;""),AND($Y$6=TRUE,$Y44&lt;&gt;""),AND($Z$6=TRUE,$Z44&lt;&gt;""),AND($AA$6=TRUE,$AA44&lt;&gt;""),AND($AB$6=TRUE,$AB44&lt;&gt;""),AND($AC$6=TRUE,$AC44&lt;&gt;""),AND($AD$6=TRUE,$AD44&lt;&gt;"")),OR(AND($AE$6=TRUE,$AE44&lt;&gt;""),AND($AF$6=TRUE,$AF44&lt;&gt;""),AND($AG$6=TRUE,$AG44&lt;&gt;""),AND($AH$6=TRUE,$AH44&lt;&gt;"")))</f>
        <v>0</v>
      </c>
      <c r="AJ44" s="123"/>
      <c r="AK44" s="123"/>
      <c r="AL44" s="123"/>
      <c r="AM44" s="123"/>
      <c r="AN44" s="170" t="str">
        <f>IF(AJ44&lt;&gt;"","セキュリティ管理/","")&amp;IF(AK44&lt;&gt;"","マルウェア/","")&amp;IF(AL44&lt;&gt;"","クラウド/","")&amp;IF(AM44&lt;&gt;"","別表1,2,3","")</f>
        <v/>
      </c>
      <c r="AO44" s="123" t="s">
        <v>575</v>
      </c>
    </row>
    <row r="45" spans="1:41" ht="22.5">
      <c r="A45" s="52"/>
      <c r="B45" s="58" t="s">
        <v>771</v>
      </c>
      <c r="C45" s="58"/>
      <c r="D45" s="58"/>
      <c r="E45" s="115"/>
      <c r="F45" s="115"/>
      <c r="G45" s="58"/>
      <c r="H45" s="59"/>
      <c r="I45" s="84"/>
      <c r="J45" s="58"/>
      <c r="K45" s="58"/>
      <c r="L45" s="58"/>
      <c r="M45" s="122"/>
      <c r="N45" s="244"/>
      <c r="O45" s="244"/>
      <c r="P45" s="122"/>
      <c r="Q45" s="122"/>
      <c r="R45" s="122"/>
      <c r="S45" s="122"/>
      <c r="T45" s="122"/>
      <c r="U45" s="122"/>
      <c r="V45" s="122"/>
      <c r="W45" s="122"/>
      <c r="X45" s="122"/>
      <c r="Y45" s="122"/>
      <c r="Z45" s="122"/>
      <c r="AA45" s="122"/>
      <c r="AB45" s="122"/>
      <c r="AC45" s="122"/>
      <c r="AD45" s="122"/>
      <c r="AE45" s="122"/>
      <c r="AF45" s="122"/>
      <c r="AG45" s="122"/>
      <c r="AH45" s="122"/>
      <c r="AI45" s="122" t="s">
        <v>268</v>
      </c>
      <c r="AJ45" s="122"/>
      <c r="AK45" s="122"/>
      <c r="AL45" s="122"/>
      <c r="AM45" s="122"/>
      <c r="AN45" s="122"/>
      <c r="AO45" s="122"/>
    </row>
    <row r="46" spans="1:41" ht="45">
      <c r="A46" s="52"/>
      <c r="B46" s="58"/>
      <c r="C46" s="71" t="s">
        <v>2152</v>
      </c>
      <c r="D46" s="71" t="s">
        <v>772</v>
      </c>
      <c r="E46" s="107" t="str">
        <f>'インフラ(自社DC)'!E43</f>
        <v>本番運用に用いる端末、サーバ等へのログオン後、端末操作が最長で１０分間ない場合は、画面を自動的にログオフし、再ログオンが必要となるよう設定にしているか</v>
      </c>
      <c r="F46" s="91" t="s">
        <v>1003</v>
      </c>
      <c r="G46" s="92" t="s">
        <v>254</v>
      </c>
      <c r="H46" s="61"/>
      <c r="I46" s="107"/>
      <c r="J46" s="60"/>
      <c r="K46" s="60"/>
      <c r="L46" s="60"/>
      <c r="M46" s="123"/>
      <c r="N46" s="243"/>
      <c r="O46" s="111" cm="1">
        <f t="array" ref="O46">IF(AI46=TRUE,_xlfn.IFS(M46=1,2,M46="",IF(N46="",1,2)),0)</f>
        <v>0</v>
      </c>
      <c r="P46" s="69" t="s">
        <v>255</v>
      </c>
      <c r="Q46" s="69" t="s">
        <v>183</v>
      </c>
      <c r="R46" s="69" t="s">
        <v>183</v>
      </c>
      <c r="S46" s="69" t="s">
        <v>183</v>
      </c>
      <c r="T46" s="118" t="s">
        <v>183</v>
      </c>
      <c r="U46" s="118"/>
      <c r="V46" s="118"/>
      <c r="W46" s="118"/>
      <c r="X46" s="118" t="s">
        <v>448</v>
      </c>
      <c r="Y46" s="69"/>
      <c r="Z46" s="69"/>
      <c r="AA46" s="69"/>
      <c r="AB46" s="118"/>
      <c r="AC46" s="118"/>
      <c r="AD46" s="118"/>
      <c r="AE46" s="69" t="s">
        <v>255</v>
      </c>
      <c r="AF46" s="69" t="s">
        <v>255</v>
      </c>
      <c r="AG46" s="69"/>
      <c r="AH46" s="69"/>
      <c r="AI46" s="123" t="b">
        <f>AND(OR(AND($P$6=TRUE,$P46&lt;&gt;""),AND($Q$6=TRUE,$Q46&lt;&gt;""),AND($R$6=TRUE,$R46&lt;&gt;"")),AND($S$6=TRUE,$S46&lt;&gt;""),OR(AND($T$6=TRUE,$T46&lt;&gt;""),AND($U$6=TRUE,$U46&lt;&gt;""),AND($V$6=TRUE,$V46&lt;&gt;""),AND($W$6=TRUE,$W46&lt;&gt;""),AND($X$6=TRUE,$X46&lt;&gt;""),AND($Y$6=TRUE,$Y46&lt;&gt;""),AND($Z$6=TRUE,$Z46&lt;&gt;""),AND($AA$6=TRUE,$AA46&lt;&gt;""),AND($AB$6=TRUE,$AB46&lt;&gt;""),AND($AC$6=TRUE,$AC46&lt;&gt;""),AND($AD$6=TRUE,$AD46&lt;&gt;"")),OR(AND($AE$6=TRUE,$AE46&lt;&gt;""),AND($AF$6=TRUE,$AF46&lt;&gt;""),AND($AG$6=TRUE,$AG46&lt;&gt;""),AND($AH$6=TRUE,$AH46&lt;&gt;"")))</f>
        <v>0</v>
      </c>
      <c r="AJ46" s="123"/>
      <c r="AK46" s="123"/>
      <c r="AL46" s="123"/>
      <c r="AM46" s="123"/>
      <c r="AN46" s="170" t="str">
        <f>IF(AJ46&lt;&gt;"","セキュリティ管理/","")&amp;IF(AK46&lt;&gt;"","マルウェア/","")&amp;IF(AL46&lt;&gt;"","クラウド/","")&amp;IF(AM46&lt;&gt;"","別表1,2,3","")</f>
        <v/>
      </c>
      <c r="AO46" s="123" t="s">
        <v>2209</v>
      </c>
    </row>
    <row r="47" spans="1:41" ht="409.5">
      <c r="A47" s="52"/>
      <c r="B47" s="58"/>
      <c r="C47" s="71" t="s">
        <v>2153</v>
      </c>
      <c r="D47" s="71" t="s">
        <v>773</v>
      </c>
      <c r="E47" s="107" t="str">
        <f>'インフラ(自社DC)'!E44</f>
        <v>（注意）本セルは、記載が多く表示に収まっていないため、セル末尾の★★★ここまで★★★まで確認すること
本要件は、以下の●全てを満たす場合に回答すること。
●構築または改修対象が社内向けシステム(※)である
●上記システムへのテレワークによるリモートアクセスが想定される
　※「ひとり一台端末」等の社内業務端末も社内向けシステムの定義に含む
上記の条件を満たす場合、テレワークの際にリモートアクセス元となる端末（手元端末）は、以下の全ての要件を満たしているか。
なお、既にリモートアクセスを行っている手元端末(ひとり一台の手元端末やIntune管理されたスマートフォン)の場合は、既に下記を満たしているため「YES」と回答願う。
・手元端末にログインする際のパスワードは3種12桁以上もしくは4種10桁以上を設定する
・アンチウイルスソフトやOS 等のファイアウォール機能の有効化を行うよう利用者に周知徹底する
・アクセス時は業務上必要のない機能を無効化するよう利用者に周知徹底する
・公衆無線LAN 等のネットワークは使用しないよう利用者に周知徹底する
・個人所有ネットワーク機器から社内端末へのアクセスを許可する場合は、同一のネットワークに接続する別の端末や機器についてのセキュリティ対策を定義し、必要な対策を利用者に周知徹底する
・無線LANルータを利用する場合は、WPA2（Wi-Fi Protected Access 2）またはWPA3（Wi-Fi Protected Access 3）方式を採用し、暗号化のためのパスワード及び無線LAN ルータの管理者パスワードを第三者に推測されにくいものにするよう利用者に周知徹底する
・手元端末を廃棄する場合はデータが完全に復元不可能な状態となる措置を講ずる
・手元端末の紛失・盗難に備え、MDM（Mobile Device Management）ソリューション等を導入し、遠隔制御でのデータ・アカウント初期化、ログイン時のパスワード認証の強制、HDD やSSD の暗号化等の機能を有効化する
・手元端末が社内ネットワークを経由せずにインターネットに接続できる構成を採用する場合は、クラウドプロキシサービス等の外部の通信制御を行うサービスを利用する
・手元端末へのデータ保存を制限する
★★★ここまで★★★</v>
      </c>
      <c r="F47" s="99" t="s">
        <v>1120</v>
      </c>
      <c r="G47" s="92" t="s">
        <v>254</v>
      </c>
      <c r="H47" s="61"/>
      <c r="I47" s="107"/>
      <c r="J47" s="60"/>
      <c r="K47" s="60"/>
      <c r="L47" s="60"/>
      <c r="M47" s="123"/>
      <c r="N47" s="243"/>
      <c r="O47" s="111" cm="1">
        <f t="array" ref="O47">IF(AI47=TRUE,_xlfn.IFS(M47=1,2,M47="",IF(N47="",1,2)),0)</f>
        <v>0</v>
      </c>
      <c r="P47" s="69" t="s">
        <v>255</v>
      </c>
      <c r="Q47" s="69" t="s">
        <v>183</v>
      </c>
      <c r="R47" s="69" t="s">
        <v>183</v>
      </c>
      <c r="S47" s="69" t="s">
        <v>183</v>
      </c>
      <c r="T47" s="118" t="s">
        <v>183</v>
      </c>
      <c r="U47" s="118"/>
      <c r="V47" s="118"/>
      <c r="W47" s="118"/>
      <c r="X47" s="118" t="s">
        <v>448</v>
      </c>
      <c r="Y47" s="69"/>
      <c r="Z47" s="69"/>
      <c r="AA47" s="69"/>
      <c r="AB47" s="118"/>
      <c r="AC47" s="118"/>
      <c r="AD47" s="118"/>
      <c r="AE47" s="69" t="s">
        <v>255</v>
      </c>
      <c r="AF47" s="69" t="s">
        <v>255</v>
      </c>
      <c r="AG47" s="69"/>
      <c r="AH47" s="69"/>
      <c r="AI47" s="123" t="b">
        <f>AND(OR(AND($P$6=TRUE,$P47&lt;&gt;""),AND($Q$6=TRUE,$Q47&lt;&gt;""),AND($R$6=TRUE,$R47&lt;&gt;"")),AND($S$6=TRUE,$S47&lt;&gt;""),OR(AND($T$6=TRUE,$T47&lt;&gt;""),AND($U$6=TRUE,$U47&lt;&gt;""),AND($V$6=TRUE,$V47&lt;&gt;""),AND($W$6=TRUE,$W47&lt;&gt;""),AND($X$6=TRUE,$X47&lt;&gt;""),AND($Y$6=TRUE,$Y47&lt;&gt;""),AND($Z$6=TRUE,$Z47&lt;&gt;""),AND($AA$6=TRUE,$AA47&lt;&gt;""),AND($AB$6=TRUE,$AB47&lt;&gt;""),AND($AC$6=TRUE,$AC47&lt;&gt;""),AND($AD$6=TRUE,$AD47&lt;&gt;"")),OR(AND($AE$6=TRUE,$AE47&lt;&gt;""),AND($AF$6=TRUE,$AF47&lt;&gt;""),AND($AG$6=TRUE,$AG47&lt;&gt;""),AND($AH$6=TRUE,$AH47&lt;&gt;"")))</f>
        <v>0</v>
      </c>
      <c r="AJ47" s="123"/>
      <c r="AK47" s="123"/>
      <c r="AL47" s="123"/>
      <c r="AM47" s="123"/>
      <c r="AN47" s="170" t="str">
        <f>IF(AJ47&lt;&gt;"","セキュリティ管理/","")&amp;IF(AK47&lt;&gt;"","マルウェア/","")&amp;IF(AL47&lt;&gt;"","クラウド/","")&amp;IF(AM47&lt;&gt;"","別表1,2,3","")</f>
        <v/>
      </c>
      <c r="AO47" s="123" t="s">
        <v>575</v>
      </c>
    </row>
    <row r="48" spans="1:41" ht="22.5">
      <c r="A48" s="52"/>
      <c r="B48" s="58" t="s">
        <v>775</v>
      </c>
      <c r="C48" s="58"/>
      <c r="D48" s="58"/>
      <c r="E48" s="115"/>
      <c r="F48" s="115"/>
      <c r="G48" s="58"/>
      <c r="H48" s="59"/>
      <c r="I48" s="84"/>
      <c r="J48" s="58"/>
      <c r="K48" s="58"/>
      <c r="L48" s="58"/>
      <c r="M48" s="122"/>
      <c r="N48" s="244"/>
      <c r="O48" s="244"/>
      <c r="P48" s="122"/>
      <c r="Q48" s="122"/>
      <c r="R48" s="122"/>
      <c r="S48" s="122"/>
      <c r="T48" s="122"/>
      <c r="U48" s="122"/>
      <c r="V48" s="122"/>
      <c r="W48" s="122"/>
      <c r="X48" s="122"/>
      <c r="Y48" s="122"/>
      <c r="Z48" s="122"/>
      <c r="AA48" s="122"/>
      <c r="AB48" s="122"/>
      <c r="AC48" s="122"/>
      <c r="AD48" s="122"/>
      <c r="AE48" s="122"/>
      <c r="AF48" s="122"/>
      <c r="AG48" s="122"/>
      <c r="AH48" s="122"/>
      <c r="AI48" s="122" t="s">
        <v>268</v>
      </c>
      <c r="AJ48" s="122"/>
      <c r="AK48" s="122"/>
      <c r="AL48" s="122"/>
      <c r="AM48" s="122"/>
      <c r="AN48" s="122"/>
      <c r="AO48" s="122"/>
    </row>
    <row r="49" spans="1:41" ht="135">
      <c r="A49" s="52"/>
      <c r="B49" s="58"/>
      <c r="C49" s="71" t="s">
        <v>2154</v>
      </c>
      <c r="D49" s="71" t="s">
        <v>776</v>
      </c>
      <c r="E49" s="107" t="str">
        <f>'インフラ(自社DC)'!E46</f>
        <v>業務データを扱う機器、電子媒体および書類等については、以下の盗難・紛失防止策を講じているか。
例：
・施錠できるキャビネット・書庫等への保管
・機器盗難防止のためのセキュリティワイヤーによる固定</v>
      </c>
      <c r="F49" s="91" t="s">
        <v>1191</v>
      </c>
      <c r="G49" s="92" t="s">
        <v>254</v>
      </c>
      <c r="H49" s="61"/>
      <c r="I49" s="107"/>
      <c r="J49" s="60"/>
      <c r="K49" s="60"/>
      <c r="L49" s="60"/>
      <c r="M49" s="123"/>
      <c r="N49" s="243"/>
      <c r="O49" s="111" cm="1">
        <f t="array" ref="O49">IF(AI49=TRUE,_xlfn.IFS(M49=1,2,M49="",IF(N49="",1,2)),0)</f>
        <v>0</v>
      </c>
      <c r="P49" s="69" t="s">
        <v>255</v>
      </c>
      <c r="Q49" s="69" t="s">
        <v>183</v>
      </c>
      <c r="R49" s="69" t="s">
        <v>183</v>
      </c>
      <c r="S49" s="69" t="s">
        <v>183</v>
      </c>
      <c r="T49" s="118" t="s">
        <v>183</v>
      </c>
      <c r="U49" s="118"/>
      <c r="V49" s="118"/>
      <c r="W49" s="118"/>
      <c r="X49" s="118" t="s">
        <v>448</v>
      </c>
      <c r="Y49" s="69"/>
      <c r="Z49" s="69"/>
      <c r="AA49" s="69"/>
      <c r="AB49" s="118"/>
      <c r="AC49" s="118"/>
      <c r="AD49" s="118"/>
      <c r="AE49" s="69" t="s">
        <v>255</v>
      </c>
      <c r="AF49" s="69" t="s">
        <v>255</v>
      </c>
      <c r="AG49" s="69"/>
      <c r="AH49" s="69"/>
      <c r="AI49" s="123" t="b">
        <f>AND(OR(AND($P$6=TRUE,$P49&lt;&gt;""),AND($Q$6=TRUE,$Q49&lt;&gt;""),AND($R$6=TRUE,$R49&lt;&gt;"")),AND($S$6=TRUE,$S49&lt;&gt;""),OR(AND($T$6=TRUE,$T49&lt;&gt;""),AND($U$6=TRUE,$U49&lt;&gt;""),AND($V$6=TRUE,$V49&lt;&gt;""),AND($W$6=TRUE,$W49&lt;&gt;""),AND($X$6=TRUE,$X49&lt;&gt;""),AND($Y$6=TRUE,$Y49&lt;&gt;""),AND($Z$6=TRUE,$Z49&lt;&gt;""),AND($AA$6=TRUE,$AA49&lt;&gt;""),AND($AB$6=TRUE,$AB49&lt;&gt;""),AND($AC$6=TRUE,$AC49&lt;&gt;""),AND($AD$6=TRUE,$AD49&lt;&gt;"")),OR(AND($AE$6=TRUE,$AE49&lt;&gt;""),AND($AF$6=TRUE,$AF49&lt;&gt;""),AND($AG$6=TRUE,$AG49&lt;&gt;""),AND($AH$6=TRUE,$AH49&lt;&gt;"")))</f>
        <v>0</v>
      </c>
      <c r="AJ49" s="123"/>
      <c r="AK49" s="123"/>
      <c r="AL49" s="123"/>
      <c r="AM49" s="123"/>
      <c r="AN49" s="170" t="str">
        <f>IF(AJ49&lt;&gt;"","セキュリティ管理/","")&amp;IF(AK49&lt;&gt;"","マルウェア/","")&amp;IF(AL49&lt;&gt;"","クラウド/","")&amp;IF(AM49&lt;&gt;"","別表1,2,3","")</f>
        <v/>
      </c>
      <c r="AO49" s="123" t="s">
        <v>359</v>
      </c>
    </row>
    <row r="50" spans="1:41" ht="22.5">
      <c r="A50" s="52" t="s">
        <v>778</v>
      </c>
      <c r="B50" s="52"/>
      <c r="C50" s="113"/>
      <c r="D50" s="113"/>
      <c r="E50" s="77"/>
      <c r="F50" s="77"/>
      <c r="G50" s="56"/>
      <c r="H50" s="56"/>
      <c r="I50" s="77"/>
      <c r="J50" s="56"/>
      <c r="K50" s="56"/>
      <c r="L50" s="56"/>
      <c r="M50" s="114"/>
      <c r="N50" s="249"/>
      <c r="O50" s="249"/>
      <c r="P50" s="114"/>
      <c r="Q50" s="114"/>
      <c r="R50" s="114"/>
      <c r="S50" s="114"/>
      <c r="T50" s="114"/>
      <c r="U50" s="114"/>
      <c r="V50" s="114"/>
      <c r="W50" s="114"/>
      <c r="X50" s="114"/>
      <c r="Y50" s="114"/>
      <c r="Z50" s="114"/>
      <c r="AA50" s="114"/>
      <c r="AB50" s="114"/>
      <c r="AC50" s="114"/>
      <c r="AD50" s="114"/>
      <c r="AE50" s="114"/>
      <c r="AF50" s="114"/>
      <c r="AG50" s="114"/>
      <c r="AH50" s="114"/>
      <c r="AI50" s="114" t="s">
        <v>268</v>
      </c>
      <c r="AJ50" s="114"/>
      <c r="AK50" s="114"/>
      <c r="AL50" s="114"/>
      <c r="AM50" s="114"/>
      <c r="AN50" s="114"/>
      <c r="AO50" s="114"/>
    </row>
    <row r="51" spans="1:41" ht="22.5">
      <c r="A51" s="52"/>
      <c r="B51" s="58" t="s">
        <v>779</v>
      </c>
      <c r="C51" s="115"/>
      <c r="D51" s="115"/>
      <c r="E51" s="84"/>
      <c r="F51" s="84"/>
      <c r="G51" s="59"/>
      <c r="H51" s="59"/>
      <c r="I51" s="84"/>
      <c r="J51" s="59"/>
      <c r="K51" s="59"/>
      <c r="L51" s="59"/>
      <c r="M51" s="125"/>
      <c r="N51" s="244"/>
      <c r="O51" s="244"/>
      <c r="P51" s="125"/>
      <c r="Q51" s="125"/>
      <c r="R51" s="125"/>
      <c r="S51" s="125"/>
      <c r="T51" s="125"/>
      <c r="U51" s="125"/>
      <c r="V51" s="125"/>
      <c r="W51" s="125"/>
      <c r="X51" s="125"/>
      <c r="Y51" s="125"/>
      <c r="Z51" s="125"/>
      <c r="AA51" s="125"/>
      <c r="AB51" s="125"/>
      <c r="AC51" s="125"/>
      <c r="AD51" s="125"/>
      <c r="AE51" s="125"/>
      <c r="AF51" s="125"/>
      <c r="AG51" s="125"/>
      <c r="AH51" s="125"/>
      <c r="AI51" s="125" t="s">
        <v>268</v>
      </c>
      <c r="AJ51" s="125"/>
      <c r="AK51" s="125"/>
      <c r="AL51" s="125"/>
      <c r="AM51" s="125"/>
      <c r="AN51" s="125"/>
      <c r="AO51" s="125"/>
    </row>
    <row r="52" spans="1:41" ht="409.5">
      <c r="A52" s="52"/>
      <c r="B52" s="58"/>
      <c r="C52" s="71" t="s">
        <v>2155</v>
      </c>
      <c r="D52" s="71" t="s">
        <v>284</v>
      </c>
      <c r="E52" s="91" t="str">
        <f>'インフラ(自社DC)'!E49</f>
        <v>（注意）本セルは、記載が多く表示に収まっていないため、セル末尾の★★★ここまで★★★まで確認すること
（回答で「YES」を選択した場合でも、OSの種別と台数を備考欄に記入する。）
システムの開発、運用、管理に用いる全てのWindows PC、Windowsサーバ、および外部からのファイルの流入が発生し得るWindows”以外”のサーバにアンチウイルスソフトを導入し、以下の対応を行っているか。
「外部からのファイルの流入」とは、当社のガバナンス外で作られたファイルの流入を指し、例えば以下のようなケースが挙げられる。
・システムのエンドユーザ(当社管理外の利用者)がファイルをアップロードする（POST）
・当社システムが、管理外のシステムやサイトからファイルを入手する（GET）
アンチウイルスソフトとは、パターンマッチングとヒューリスティック(振舞検知)機能を持つものを指す。
当社WindowsサーバにおいてはTrendmicro社 ServerProtectが標準である。
・アンチウイルスソフトの検索モジュールとパターンファイルの自動更新（難しい場合は少なくとも週 1 回更新）
・リアルタイムスキャンの常時有効化
・定期的なフルスキャンの実施
・スキャン結果を監査ログとして出力
・サービス稼働に必要なコンポーネントの監視除外
　(アンチウイルスソフトの誤遮断による障害リスクの低減)
★★★ここまで★★★</v>
      </c>
      <c r="F52" s="91" t="s">
        <v>1266</v>
      </c>
      <c r="G52" s="92" t="s">
        <v>254</v>
      </c>
      <c r="H52" s="61"/>
      <c r="I52" s="107" t="s">
        <v>781</v>
      </c>
      <c r="J52" s="60" t="s">
        <v>730</v>
      </c>
      <c r="K52" s="60"/>
      <c r="L52" s="60"/>
      <c r="M52" s="123"/>
      <c r="N52" s="243"/>
      <c r="O52" s="111" cm="1">
        <f t="array" ref="O52">IF(AI52=TRUE,_xlfn.IFS(M52=1,2,M52="",IF(N52="",1,2)),0)</f>
        <v>0</v>
      </c>
      <c r="P52" s="69" t="s">
        <v>255</v>
      </c>
      <c r="Q52" s="69" t="s">
        <v>183</v>
      </c>
      <c r="R52" s="69" t="s">
        <v>183</v>
      </c>
      <c r="S52" s="69" t="s">
        <v>183</v>
      </c>
      <c r="T52" s="118" t="s">
        <v>183</v>
      </c>
      <c r="U52" s="118"/>
      <c r="V52" s="118"/>
      <c r="W52" s="118"/>
      <c r="X52" s="118" t="s">
        <v>448</v>
      </c>
      <c r="Y52" s="69"/>
      <c r="Z52" s="69"/>
      <c r="AA52" s="69"/>
      <c r="AB52" s="118"/>
      <c r="AC52" s="118"/>
      <c r="AD52" s="118"/>
      <c r="AE52" s="69" t="s">
        <v>255</v>
      </c>
      <c r="AF52" s="69" t="s">
        <v>255</v>
      </c>
      <c r="AG52" s="69" t="s">
        <v>255</v>
      </c>
      <c r="AH52" s="69"/>
      <c r="AI52" s="123" t="b">
        <f>AND(OR(AND($P$6=TRUE,$P52&lt;&gt;""),AND($Q$6=TRUE,$Q52&lt;&gt;""),AND($R$6=TRUE,$R52&lt;&gt;"")),AND($S$6=TRUE,$S52&lt;&gt;""),OR(AND($T$6=TRUE,$T52&lt;&gt;""),AND($U$6=TRUE,$U52&lt;&gt;""),AND($V$6=TRUE,$V52&lt;&gt;""),AND($W$6=TRUE,$W52&lt;&gt;""),AND($X$6=TRUE,$X52&lt;&gt;""),AND($Y$6=TRUE,$Y52&lt;&gt;""),AND($Z$6=TRUE,$Z52&lt;&gt;""),AND($AA$6=TRUE,$AA52&lt;&gt;""),AND($AB$6=TRUE,$AB52&lt;&gt;""),AND($AC$6=TRUE,$AC52&lt;&gt;""),AND($AD$6=TRUE,$AD52&lt;&gt;"")),OR(AND($AE$6=TRUE,$AE52&lt;&gt;""),AND($AF$6=TRUE,$AF52&lt;&gt;""),AND($AG$6=TRUE,$AG52&lt;&gt;""),AND($AH$6=TRUE,$AH52&lt;&gt;"")))</f>
        <v>0</v>
      </c>
      <c r="AJ52" s="123" t="s">
        <v>183</v>
      </c>
      <c r="AK52" s="123" t="s">
        <v>183</v>
      </c>
      <c r="AL52" s="123"/>
      <c r="AM52" s="123"/>
      <c r="AN52" s="170" t="str">
        <f>IF(AJ52&lt;&gt;"","セキュリティ管理/","")&amp;IF(AK52&lt;&gt;"","マルウェア/","")&amp;IF(AL52&lt;&gt;"","クラウド/","")&amp;IF(AM52&lt;&gt;"","別表1,2,3","")</f>
        <v>セキュリティ管理/マルウェア/</v>
      </c>
      <c r="AO52" s="123" t="s">
        <v>916</v>
      </c>
    </row>
    <row r="53" spans="1:41" ht="135">
      <c r="A53" s="52"/>
      <c r="B53" s="58"/>
      <c r="C53" s="71" t="s">
        <v>2156</v>
      </c>
      <c r="D53" s="71" t="s">
        <v>287</v>
      </c>
      <c r="E53" s="107" t="str">
        <f>'インフラ(自社DC)'!E50</f>
        <v xml:space="preserve">Windowsのサーバや端末を構築する場合、リモート実行機能を有するタスクスケジューラ、PsExec、PowerShell等を不要であれば使用不可としているか。
利用する場合はイベントログを出力する設定にし、タスクの追加やサービスの起動を監視する設計としているか。
</v>
      </c>
      <c r="F53" s="99" t="s">
        <v>1120</v>
      </c>
      <c r="G53" s="60" t="s">
        <v>254</v>
      </c>
      <c r="H53" s="61"/>
      <c r="I53" s="107"/>
      <c r="J53" s="60"/>
      <c r="K53" s="60"/>
      <c r="L53" s="60"/>
      <c r="M53" s="123"/>
      <c r="N53" s="243"/>
      <c r="O53" s="111" cm="1">
        <f t="array" ref="O53">IF(AI53=TRUE,_xlfn.IFS(M53=1,2,M53="",IF(N53="",1,2)),0)</f>
        <v>0</v>
      </c>
      <c r="P53" s="69" t="s">
        <v>255</v>
      </c>
      <c r="Q53" s="69" t="s">
        <v>183</v>
      </c>
      <c r="R53" s="69" t="s">
        <v>183</v>
      </c>
      <c r="S53" s="69" t="s">
        <v>183</v>
      </c>
      <c r="T53" s="69" t="s">
        <v>183</v>
      </c>
      <c r="U53" s="69"/>
      <c r="V53" s="69"/>
      <c r="W53" s="69"/>
      <c r="X53" s="118" t="s">
        <v>448</v>
      </c>
      <c r="Y53" s="69"/>
      <c r="Z53" s="69"/>
      <c r="AA53" s="69"/>
      <c r="AB53" s="118"/>
      <c r="AC53" s="118"/>
      <c r="AD53" s="118"/>
      <c r="AE53" s="69" t="s">
        <v>255</v>
      </c>
      <c r="AF53" s="69" t="s">
        <v>255</v>
      </c>
      <c r="AG53" s="69"/>
      <c r="AH53" s="69"/>
      <c r="AI53" s="123" t="b">
        <f>AND(OR(AND($P$6=TRUE,$P53&lt;&gt;""),AND($Q$6=TRUE,$Q53&lt;&gt;""),AND($R$6=TRUE,$R53&lt;&gt;"")),AND($S$6=TRUE,$S53&lt;&gt;""),OR(AND($T$6=TRUE,$T53&lt;&gt;""),AND($U$6=TRUE,$U53&lt;&gt;""),AND($V$6=TRUE,$V53&lt;&gt;""),AND($W$6=TRUE,$W53&lt;&gt;""),AND($X$6=TRUE,$X53&lt;&gt;""),AND($Y$6=TRUE,$Y53&lt;&gt;""),AND($Z$6=TRUE,$Z53&lt;&gt;""),AND($AA$6=TRUE,$AA53&lt;&gt;""),AND($AB$6=TRUE,$AB53&lt;&gt;""),AND($AC$6=TRUE,$AC53&lt;&gt;""),AND($AD$6=TRUE,$AD53&lt;&gt;"")),OR(AND($AE$6=TRUE,$AE53&lt;&gt;""),AND($AF$6=TRUE,$AF53&lt;&gt;""),AND($AG$6=TRUE,$AG53&lt;&gt;""),AND($AH$6=TRUE,$AH53&lt;&gt;"")))</f>
        <v>0</v>
      </c>
      <c r="AJ53" s="123"/>
      <c r="AK53" s="123"/>
      <c r="AL53" s="123"/>
      <c r="AM53" s="123"/>
      <c r="AN53" s="170" t="str">
        <f>IF(AJ53&lt;&gt;"","セキュリティ管理/","")&amp;IF(AK53&lt;&gt;"","マルウェア/","")&amp;IF(AL53&lt;&gt;"","クラウド/","")&amp;IF(AM53&lt;&gt;"","別表1,2,3","")</f>
        <v/>
      </c>
      <c r="AO53" s="123"/>
    </row>
    <row r="54" spans="1:41" ht="180">
      <c r="A54" s="52"/>
      <c r="B54" s="58"/>
      <c r="C54" s="71" t="s">
        <v>2157</v>
      </c>
      <c r="D54" s="71" t="s">
        <v>783</v>
      </c>
      <c r="E54" s="91" t="str">
        <f>'インフラ(自社DC)'!E51</f>
        <v>未知の脅威に備え、不審な挙動の検知、侵入経路や感染端末、影響範囲を特定するための対策ソフト（EDR※）を構築対象システムの全てのサーバや端末に導入しているか。
外部委託先が管理運用するシステムやサービスについてもEDRを導入することが望ましいが、実現が困難な場合は他のマルウェア対策要件を満たすことで見送り可能とする。
その場合回答はNOを選択し、備考欄に導入不可である理由と対策内容を記載すること。
※当社内環境や当社の責任・管理範囲のサーバ・端末については、EDR共通基盤の利用を前提とする。</v>
      </c>
      <c r="F54" s="99" t="s">
        <v>1120</v>
      </c>
      <c r="G54" s="60" t="s">
        <v>254</v>
      </c>
      <c r="H54" s="61"/>
      <c r="I54" s="91"/>
      <c r="J54" s="60"/>
      <c r="K54" s="60"/>
      <c r="L54" s="60"/>
      <c r="M54" s="123"/>
      <c r="N54" s="243"/>
      <c r="O54" s="111" cm="1">
        <f t="array" ref="O54">IF(AI54=TRUE,_xlfn.IFS(M54=1,2,M54="",IF(N54="",1,2)),0)</f>
        <v>0</v>
      </c>
      <c r="P54" s="69" t="s">
        <v>255</v>
      </c>
      <c r="Q54" s="69" t="s">
        <v>183</v>
      </c>
      <c r="R54" s="69" t="s">
        <v>183</v>
      </c>
      <c r="S54" s="69" t="s">
        <v>183</v>
      </c>
      <c r="T54" s="69" t="s">
        <v>183</v>
      </c>
      <c r="U54" s="69"/>
      <c r="V54" s="69"/>
      <c r="W54" s="69"/>
      <c r="X54" s="118" t="s">
        <v>448</v>
      </c>
      <c r="Y54" s="69"/>
      <c r="Z54" s="69"/>
      <c r="AA54" s="69"/>
      <c r="AB54" s="118"/>
      <c r="AC54" s="118"/>
      <c r="AD54" s="118"/>
      <c r="AE54" s="69" t="s">
        <v>255</v>
      </c>
      <c r="AF54" s="69" t="s">
        <v>255</v>
      </c>
      <c r="AG54" s="69"/>
      <c r="AH54" s="69"/>
      <c r="AI54" s="123" t="b">
        <f>AND(OR(AND($P$6=TRUE,$P54&lt;&gt;""),AND($Q$6=TRUE,$Q54&lt;&gt;""),AND($R$6=TRUE,$R54&lt;&gt;"")),AND($S$6=TRUE,$S54&lt;&gt;""),OR(AND($T$6=TRUE,$T54&lt;&gt;""),AND($U$6=TRUE,$U54&lt;&gt;""),AND($V$6=TRUE,$V54&lt;&gt;""),AND($W$6=TRUE,$W54&lt;&gt;""),AND($X$6=TRUE,$X54&lt;&gt;""),AND($Y$6=TRUE,$Y54&lt;&gt;""),AND($Z$6=TRUE,$Z54&lt;&gt;""),AND($AA$6=TRUE,$AA54&lt;&gt;""),AND($AB$6=TRUE,$AB54&lt;&gt;""),AND($AC$6=TRUE,$AC54&lt;&gt;""),AND($AD$6=TRUE,$AD54&lt;&gt;"")),OR(AND($AE$6=TRUE,$AE54&lt;&gt;""),AND($AF$6=TRUE,$AF54&lt;&gt;""),AND($AG$6=TRUE,$AG54&lt;&gt;""),AND($AH$6=TRUE,$AH54&lt;&gt;"")))</f>
        <v>0</v>
      </c>
      <c r="AJ54" s="123"/>
      <c r="AK54" s="123"/>
      <c r="AL54" s="123"/>
      <c r="AM54" s="123"/>
      <c r="AN54" s="170" t="str">
        <f>IF(AJ54&lt;&gt;"","セキュリティ管理/","")&amp;IF(AK54&lt;&gt;"","マルウェア/","")&amp;IF(AL54&lt;&gt;"","クラウド/","")&amp;IF(AM54&lt;&gt;"","別表1,2,3","")</f>
        <v/>
      </c>
      <c r="AO54" s="321" t="s">
        <v>2279</v>
      </c>
    </row>
    <row r="55" spans="1:41" ht="22.5">
      <c r="A55" s="52"/>
      <c r="B55" s="58" t="s">
        <v>784</v>
      </c>
      <c r="C55" s="115"/>
      <c r="D55" s="115"/>
      <c r="E55" s="84"/>
      <c r="F55" s="84"/>
      <c r="G55" s="59"/>
      <c r="H55" s="59"/>
      <c r="I55" s="84"/>
      <c r="J55" s="59"/>
      <c r="K55" s="59"/>
      <c r="L55" s="59"/>
      <c r="M55" s="125"/>
      <c r="N55" s="244"/>
      <c r="O55" s="244"/>
      <c r="P55" s="125"/>
      <c r="Q55" s="125"/>
      <c r="R55" s="125"/>
      <c r="S55" s="125"/>
      <c r="T55" s="125"/>
      <c r="U55" s="125"/>
      <c r="V55" s="125"/>
      <c r="W55" s="125"/>
      <c r="X55" s="125"/>
      <c r="Y55" s="125"/>
      <c r="Z55" s="125"/>
      <c r="AA55" s="125"/>
      <c r="AB55" s="125"/>
      <c r="AC55" s="125"/>
      <c r="AD55" s="125"/>
      <c r="AE55" s="125"/>
      <c r="AF55" s="125"/>
      <c r="AG55" s="125"/>
      <c r="AH55" s="125"/>
      <c r="AI55" s="125" t="s">
        <v>268</v>
      </c>
      <c r="AJ55" s="125"/>
      <c r="AK55" s="125"/>
      <c r="AL55" s="125"/>
      <c r="AM55" s="125"/>
      <c r="AN55" s="125"/>
      <c r="AO55" s="125"/>
    </row>
    <row r="56" spans="1:41" ht="112.5">
      <c r="A56" s="52"/>
      <c r="B56" s="58"/>
      <c r="C56" s="71" t="s">
        <v>2158</v>
      </c>
      <c r="D56" s="71" t="s">
        <v>785</v>
      </c>
      <c r="E56" s="107" t="str">
        <f>'インフラ(自社DC)'!E53</f>
        <v>システム障害やランサムウェアによりデータおよびシステム領域が破壊された場合に備えて、以下について定期的にバックアップを取得しているか。
　a. 業務データ
　b. プログラム
　c. ドキュメント（システム設計書、操作手順書、復旧手順書）</v>
      </c>
      <c r="F56" s="126" t="s">
        <v>1120</v>
      </c>
      <c r="G56" s="60" t="s">
        <v>254</v>
      </c>
      <c r="H56" s="61"/>
      <c r="I56" s="107"/>
      <c r="J56" s="60"/>
      <c r="K56" s="60"/>
      <c r="L56" s="60"/>
      <c r="M56" s="123"/>
      <c r="N56" s="243"/>
      <c r="O56" s="111" cm="1">
        <f t="array" ref="O56">IF(AI56=TRUE,_xlfn.IFS(M56=1,2,M56="",IF(N56="",1,2)),0)</f>
        <v>0</v>
      </c>
      <c r="P56" s="69" t="s">
        <v>255</v>
      </c>
      <c r="Q56" s="69" t="s">
        <v>183</v>
      </c>
      <c r="R56" s="69" t="s">
        <v>183</v>
      </c>
      <c r="S56" s="69" t="s">
        <v>183</v>
      </c>
      <c r="T56" s="118" t="s">
        <v>183</v>
      </c>
      <c r="U56" s="118"/>
      <c r="V56" s="118"/>
      <c r="W56" s="118"/>
      <c r="X56" s="118" t="s">
        <v>448</v>
      </c>
      <c r="Y56" s="69"/>
      <c r="Z56" s="69"/>
      <c r="AA56" s="69"/>
      <c r="AB56" s="118"/>
      <c r="AC56" s="118"/>
      <c r="AD56" s="118"/>
      <c r="AE56" s="69" t="s">
        <v>255</v>
      </c>
      <c r="AF56" s="69" t="s">
        <v>255</v>
      </c>
      <c r="AG56" s="69"/>
      <c r="AH56" s="69"/>
      <c r="AI56" s="123" t="b">
        <f t="shared" ref="AI56:AI61" si="4">AND(OR(AND($P$6=TRUE,$P56&lt;&gt;""),AND($Q$6=TRUE,$Q56&lt;&gt;""),AND($R$6=TRUE,$R56&lt;&gt;"")),AND($S$6=TRUE,$S56&lt;&gt;""),OR(AND($T$6=TRUE,$T56&lt;&gt;""),AND($U$6=TRUE,$U56&lt;&gt;""),AND($V$6=TRUE,$V56&lt;&gt;""),AND($W$6=TRUE,$W56&lt;&gt;""),AND($X$6=TRUE,$X56&lt;&gt;""),AND($Y$6=TRUE,$Y56&lt;&gt;""),AND($Z$6=TRUE,$Z56&lt;&gt;""),AND($AA$6=TRUE,$AA56&lt;&gt;""),AND($AB$6=TRUE,$AB56&lt;&gt;""),AND($AC$6=TRUE,$AC56&lt;&gt;""),AND($AD$6=TRUE,$AD56&lt;&gt;"")),OR(AND($AE$6=TRUE,$AE56&lt;&gt;""),AND($AF$6=TRUE,$AF56&lt;&gt;""),AND($AG$6=TRUE,$AG56&lt;&gt;""),AND($AH$6=TRUE,$AH56&lt;&gt;"")))</f>
        <v>0</v>
      </c>
      <c r="AJ56" s="123"/>
      <c r="AK56" s="123"/>
      <c r="AL56" s="123"/>
      <c r="AM56" s="123"/>
      <c r="AN56" s="170" t="str">
        <f t="shared" ref="AN56:AN61" si="5">IF(AJ56&lt;&gt;"","セキュリティ管理/","")&amp;IF(AK56&lt;&gt;"","マルウェア/","")&amp;IF(AL56&lt;&gt;"","クラウド/","")&amp;IF(AM56&lt;&gt;"","別表1,2,3","")</f>
        <v/>
      </c>
      <c r="AO56" s="261" t="s">
        <v>575</v>
      </c>
    </row>
    <row r="57" spans="1:41" ht="67.5">
      <c r="A57" s="52"/>
      <c r="B57" s="58"/>
      <c r="C57" s="71" t="s">
        <v>1267</v>
      </c>
      <c r="D57" s="71" t="s">
        <v>787</v>
      </c>
      <c r="E57" s="91" t="str">
        <f>'インフラ(自社DC)'!E54</f>
        <v>サービスレベルを満たす適切なバックアップ方式（全または差分）と、バックアップの保存サイクル、保存世代数が決められ実装されているか
また、バックアップは正副を取得しているか</v>
      </c>
      <c r="F57" s="91" t="s">
        <v>1224</v>
      </c>
      <c r="G57" s="60" t="s">
        <v>254</v>
      </c>
      <c r="H57" s="61"/>
      <c r="I57" s="107"/>
      <c r="J57" s="60"/>
      <c r="K57" s="60"/>
      <c r="L57" s="60"/>
      <c r="M57" s="123"/>
      <c r="N57" s="243"/>
      <c r="O57" s="111" cm="1">
        <f t="array" ref="O57">IF(AI57=TRUE,_xlfn.IFS(M57=1,2,M57="",IF(N57="",1,2)),0)</f>
        <v>0</v>
      </c>
      <c r="P57" s="69" t="s">
        <v>255</v>
      </c>
      <c r="Q57" s="69" t="s">
        <v>183</v>
      </c>
      <c r="R57" s="69" t="s">
        <v>183</v>
      </c>
      <c r="S57" s="69" t="s">
        <v>183</v>
      </c>
      <c r="T57" s="118" t="s">
        <v>183</v>
      </c>
      <c r="U57" s="118"/>
      <c r="V57" s="118"/>
      <c r="W57" s="118"/>
      <c r="X57" s="118" t="s">
        <v>448</v>
      </c>
      <c r="Y57" s="69"/>
      <c r="Z57" s="69"/>
      <c r="AA57" s="69"/>
      <c r="AB57" s="118"/>
      <c r="AC57" s="118"/>
      <c r="AD57" s="118"/>
      <c r="AE57" s="69" t="s">
        <v>255</v>
      </c>
      <c r="AF57" s="69" t="s">
        <v>255</v>
      </c>
      <c r="AG57" s="69"/>
      <c r="AH57" s="69"/>
      <c r="AI57" s="123" t="b">
        <f t="shared" si="4"/>
        <v>0</v>
      </c>
      <c r="AJ57" s="123"/>
      <c r="AK57" s="123"/>
      <c r="AL57" s="123"/>
      <c r="AM57" s="123"/>
      <c r="AN57" s="170" t="str">
        <f t="shared" si="5"/>
        <v/>
      </c>
      <c r="AO57" s="123"/>
    </row>
    <row r="58" spans="1:41" ht="337.5">
      <c r="A58" s="52"/>
      <c r="B58" s="58"/>
      <c r="C58" s="71" t="s">
        <v>1268</v>
      </c>
      <c r="D58" s="71" t="s">
        <v>790</v>
      </c>
      <c r="E58" s="91" t="str">
        <f>'インフラ(自社DC)'!E55</f>
        <v xml:space="preserve">ランサムウェア等によるデータおよびシステム領域の破壊が行われた場合に備えて、ランサムウェア対応分類A,Bのシステムについては、インシデントに気づけるタイミング(※)を想定した上で、十分なバックアップの保持期間を決めているか。
(最後に取得したバックアップの保持期間を過ぎてからインシデントに気づき、リストアできないような事態を避ける）
なお、TMNFオンプレの仮想化基盤が提供する標準機能のバックアップを使用している場合は、自動的に本要件を満たしているためYESと回答する。
※以下のようにシステムごとに気づけるまでの時間が異なるため、それを考慮したバックアップの保持が必要。
例1：24365システムであれば常時稼働しているため、システムエラー等によりインシデントをすぐに検知できる。夜間や休日を含めても遅くともX時間以内にはFFAを開催できる
例2：システム稼働時間が限られているため、連休などを考慮すると最長でX営業日はインシデントに気づかない可能性がある
</v>
      </c>
      <c r="F58" s="91" t="s">
        <v>1224</v>
      </c>
      <c r="G58" s="60" t="s">
        <v>254</v>
      </c>
      <c r="H58" s="61"/>
      <c r="I58" s="107"/>
      <c r="J58" s="60"/>
      <c r="K58" s="60"/>
      <c r="L58" s="60"/>
      <c r="M58" s="123"/>
      <c r="N58" s="243"/>
      <c r="O58" s="111" cm="1">
        <f t="array" ref="O58">IF(AI58=TRUE,_xlfn.IFS(M58=1,2,M58="",IF(N58="",1,2)),0)</f>
        <v>0</v>
      </c>
      <c r="P58" s="69" t="s">
        <v>255</v>
      </c>
      <c r="Q58" s="69" t="s">
        <v>183</v>
      </c>
      <c r="R58" s="69" t="s">
        <v>183</v>
      </c>
      <c r="S58" s="69" t="s">
        <v>183</v>
      </c>
      <c r="T58" s="118"/>
      <c r="U58" s="118" t="s">
        <v>183</v>
      </c>
      <c r="V58" s="118" t="s">
        <v>183</v>
      </c>
      <c r="W58" s="118"/>
      <c r="X58" s="118" t="s">
        <v>448</v>
      </c>
      <c r="Y58" s="69"/>
      <c r="Z58" s="69"/>
      <c r="AA58" s="69"/>
      <c r="AB58" s="118"/>
      <c r="AC58" s="118"/>
      <c r="AD58" s="118"/>
      <c r="AE58" s="69" t="s">
        <v>255</v>
      </c>
      <c r="AF58" s="69" t="s">
        <v>255</v>
      </c>
      <c r="AG58" s="69"/>
      <c r="AH58" s="69"/>
      <c r="AI58" s="123" t="b">
        <f t="shared" si="4"/>
        <v>0</v>
      </c>
      <c r="AJ58" s="123"/>
      <c r="AK58" s="123"/>
      <c r="AL58" s="123"/>
      <c r="AM58" s="123"/>
      <c r="AN58" s="170" t="str">
        <f t="shared" si="5"/>
        <v/>
      </c>
      <c r="AO58" s="123"/>
    </row>
    <row r="59" spans="1:41" ht="112.5">
      <c r="A59" s="52"/>
      <c r="B59" s="58"/>
      <c r="C59" s="71" t="s">
        <v>1269</v>
      </c>
      <c r="D59" s="71" t="s">
        <v>794</v>
      </c>
      <c r="E59" s="91" t="str">
        <f>'インフラ(自社DC)'!E56</f>
        <v>ランサムウェア等によるデータおよびシステム領域の破壊が行われた場合に備えて、ランサムウェア対応分類A,Bのシステムについては、バックアップを最低2世代取得する設計としているか。
また、必要世代以前の古いバックアップについて、上述のバックアップの保持期間を迎える前に削除されないよう考慮した上で、削除タイミングを設計しているか。</v>
      </c>
      <c r="F59" s="91" t="s">
        <v>1224</v>
      </c>
      <c r="G59" s="60" t="s">
        <v>254</v>
      </c>
      <c r="H59" s="61"/>
      <c r="I59" s="107"/>
      <c r="J59" s="60"/>
      <c r="K59" s="60"/>
      <c r="L59" s="60"/>
      <c r="M59" s="123"/>
      <c r="N59" s="243"/>
      <c r="O59" s="111" cm="1">
        <f t="array" ref="O59">IF(AI59=TRUE,_xlfn.IFS(M59=1,2,M59="",IF(N59="",1,2)),0)</f>
        <v>0</v>
      </c>
      <c r="P59" s="69" t="s">
        <v>255</v>
      </c>
      <c r="Q59" s="69" t="s">
        <v>183</v>
      </c>
      <c r="R59" s="69" t="s">
        <v>183</v>
      </c>
      <c r="S59" s="69" t="s">
        <v>183</v>
      </c>
      <c r="T59" s="118"/>
      <c r="U59" s="118" t="s">
        <v>183</v>
      </c>
      <c r="V59" s="118" t="s">
        <v>183</v>
      </c>
      <c r="W59" s="118"/>
      <c r="X59" s="118" t="s">
        <v>448</v>
      </c>
      <c r="Y59" s="69"/>
      <c r="Z59" s="69"/>
      <c r="AA59" s="69"/>
      <c r="AB59" s="118"/>
      <c r="AC59" s="118"/>
      <c r="AD59" s="118"/>
      <c r="AE59" s="69" t="s">
        <v>255</v>
      </c>
      <c r="AF59" s="69" t="s">
        <v>255</v>
      </c>
      <c r="AG59" s="69"/>
      <c r="AH59" s="69"/>
      <c r="AI59" s="123" t="b">
        <f t="shared" si="4"/>
        <v>0</v>
      </c>
      <c r="AJ59" s="123"/>
      <c r="AK59" s="123"/>
      <c r="AL59" s="123"/>
      <c r="AM59" s="123"/>
      <c r="AN59" s="170" t="str">
        <f t="shared" si="5"/>
        <v/>
      </c>
      <c r="AO59" s="123" t="s">
        <v>487</v>
      </c>
    </row>
    <row r="60" spans="1:41" ht="409.5">
      <c r="A60" s="52"/>
      <c r="B60" s="58"/>
      <c r="C60" s="71" t="s">
        <v>1270</v>
      </c>
      <c r="D60" s="71" t="s">
        <v>798</v>
      </c>
      <c r="E60" s="91" t="str">
        <f>'インフラ(自社DC)'!E57</f>
        <v>（注意）本セルは、記載が多く表示に収まっていないため、セル末尾の★★★ここまで★★★まで確認すること
ランサムウェア等によりバックアップ自体が破壊されることを防ぐために、ランサムウェア対応分類A,Bのシステムについては、バックアップを業務サービス(サーバOSやネットワーク)からオフラインの環境で保護しているか。
例：
・テープなどに保存し、都度オフラインする
・ストレージ機能でのバックアップ取得を実施し、管理コンソールおよび取得領域には業務LANからは隔離された管理LANからしかアクセスできないようにする（業務LAN・管理LAN両方にアクセス可能なOSは存在しないことが重要）
なお、ランサムウェア対応分類Bのシステムについては、以下の2つの対策をともに満たすことで、上記のオフライン化の代替策として認める。以下はバックアップデータに対する高権限ID（OSのAdmin/rootや、サービスを管理するIDなど）を悪用した変更・破壊の試みを阻止する対策である。
・「バックアップ対象システム」と、「バックアップシステム（専用ソフトウェア、別サーバなど）」および「取得したバックアップデータ」のアクセス権を分離する。
分離とは、バックアップ対象システムの高権限IDを用いて、「バックアップシステムや取得したバックアップデータを変更できない」ことと「バックアップシステムのID管理作業（パスワードリセットやID作成等）ができない」状態を指す。
・バックアップシステムのIDおよびパスワードを推測できないもの（Admin/rootや、ホスト名、システム名およびこれらが含まれるものも不可）にする。可能であれば、2要素認証を導入する。
★★★ここまで★★★</v>
      </c>
      <c r="F60" s="91" t="s">
        <v>1224</v>
      </c>
      <c r="G60" s="60" t="s">
        <v>254</v>
      </c>
      <c r="H60" s="61"/>
      <c r="I60" s="107"/>
      <c r="J60" s="60"/>
      <c r="K60" s="60"/>
      <c r="L60" s="60"/>
      <c r="M60" s="123"/>
      <c r="N60" s="243"/>
      <c r="O60" s="111" cm="1">
        <f t="array" ref="O60">IF(AI60=TRUE,_xlfn.IFS(M60=1,2,M60="",IF(N60="",1,2)),0)</f>
        <v>0</v>
      </c>
      <c r="P60" s="69" t="s">
        <v>255</v>
      </c>
      <c r="Q60" s="69" t="s">
        <v>183</v>
      </c>
      <c r="R60" s="69" t="s">
        <v>183</v>
      </c>
      <c r="S60" s="69" t="s">
        <v>183</v>
      </c>
      <c r="T60" s="118"/>
      <c r="U60" s="118" t="s">
        <v>183</v>
      </c>
      <c r="V60" s="118" t="s">
        <v>183</v>
      </c>
      <c r="W60" s="118"/>
      <c r="X60" s="118" t="s">
        <v>448</v>
      </c>
      <c r="Y60" s="69"/>
      <c r="Z60" s="69"/>
      <c r="AA60" s="69"/>
      <c r="AB60" s="118"/>
      <c r="AC60" s="118"/>
      <c r="AD60" s="118"/>
      <c r="AE60" s="69" t="s">
        <v>255</v>
      </c>
      <c r="AF60" s="69" t="s">
        <v>255</v>
      </c>
      <c r="AG60" s="69"/>
      <c r="AH60" s="69"/>
      <c r="AI60" s="123" t="b">
        <f t="shared" si="4"/>
        <v>0</v>
      </c>
      <c r="AJ60" s="123"/>
      <c r="AK60" s="123"/>
      <c r="AL60" s="123"/>
      <c r="AM60" s="123"/>
      <c r="AN60" s="170" t="str">
        <f t="shared" si="5"/>
        <v/>
      </c>
      <c r="AO60" s="123" t="s">
        <v>487</v>
      </c>
    </row>
    <row r="61" spans="1:41" ht="135">
      <c r="A61" s="52"/>
      <c r="B61" s="58"/>
      <c r="C61" s="71" t="s">
        <v>2159</v>
      </c>
      <c r="D61" s="71" t="s">
        <v>801</v>
      </c>
      <c r="E61" s="91" t="str">
        <f>'インフラ(自社DC)'!E58</f>
        <v>ランサムウェア感染時の対策として、ランサムウェア対応分類A,Bのシステムについては、(システム障害時の一部分の戻しだけでなく）バックアップデータからの全リストアを想定したRTO,RPOを定義しているか。
また、ランサムウェア対応分類Aのシステムについては、サービスイン後のリストアテストの実施を想定した環境（テストが可能な開発・プレ本環境の構築、もしくは本番環境でテストできるような非機能要件の設計）を準備しているか。</v>
      </c>
      <c r="F61" s="91" t="s">
        <v>1224</v>
      </c>
      <c r="G61" s="60" t="s">
        <v>254</v>
      </c>
      <c r="H61" s="61"/>
      <c r="I61" s="107"/>
      <c r="J61" s="60"/>
      <c r="K61" s="60"/>
      <c r="L61" s="60"/>
      <c r="M61" s="123"/>
      <c r="N61" s="243"/>
      <c r="O61" s="111" cm="1">
        <f t="array" ref="O61">IF(AI61=TRUE,_xlfn.IFS(M61=1,2,M61="",IF(N61="",1,2)),0)</f>
        <v>0</v>
      </c>
      <c r="P61" s="69" t="s">
        <v>255</v>
      </c>
      <c r="Q61" s="69" t="s">
        <v>183</v>
      </c>
      <c r="R61" s="69" t="s">
        <v>183</v>
      </c>
      <c r="S61" s="69" t="s">
        <v>183</v>
      </c>
      <c r="T61" s="118"/>
      <c r="U61" s="118" t="s">
        <v>183</v>
      </c>
      <c r="V61" s="118" t="s">
        <v>183</v>
      </c>
      <c r="W61" s="118"/>
      <c r="X61" s="118" t="s">
        <v>448</v>
      </c>
      <c r="Y61" s="69"/>
      <c r="Z61" s="69"/>
      <c r="AA61" s="69"/>
      <c r="AB61" s="118"/>
      <c r="AC61" s="118"/>
      <c r="AD61" s="118"/>
      <c r="AE61" s="69" t="s">
        <v>255</v>
      </c>
      <c r="AF61" s="69" t="s">
        <v>255</v>
      </c>
      <c r="AG61" s="69"/>
      <c r="AH61" s="69"/>
      <c r="AI61" s="123" t="b">
        <f t="shared" si="4"/>
        <v>0</v>
      </c>
      <c r="AJ61" s="123"/>
      <c r="AK61" s="123"/>
      <c r="AL61" s="123"/>
      <c r="AM61" s="123"/>
      <c r="AN61" s="170" t="str">
        <f t="shared" si="5"/>
        <v/>
      </c>
      <c r="AO61" s="123" t="s">
        <v>487</v>
      </c>
    </row>
    <row r="62" spans="1:41" ht="22.5">
      <c r="A62" s="52"/>
      <c r="B62" s="58" t="s">
        <v>803</v>
      </c>
      <c r="C62" s="115"/>
      <c r="D62" s="115"/>
      <c r="E62" s="84"/>
      <c r="F62" s="84"/>
      <c r="G62" s="59"/>
      <c r="H62" s="59"/>
      <c r="I62" s="84"/>
      <c r="J62" s="59"/>
      <c r="K62" s="59"/>
      <c r="L62" s="59"/>
      <c r="M62" s="125"/>
      <c r="N62" s="244"/>
      <c r="O62" s="244"/>
      <c r="P62" s="125"/>
      <c r="Q62" s="125"/>
      <c r="R62" s="125"/>
      <c r="S62" s="125"/>
      <c r="T62" s="125"/>
      <c r="U62" s="125"/>
      <c r="V62" s="125"/>
      <c r="W62" s="125"/>
      <c r="X62" s="125"/>
      <c r="Y62" s="125"/>
      <c r="Z62" s="125"/>
      <c r="AA62" s="125"/>
      <c r="AB62" s="125"/>
      <c r="AC62" s="125"/>
      <c r="AD62" s="125"/>
      <c r="AE62" s="125"/>
      <c r="AF62" s="125"/>
      <c r="AG62" s="125"/>
      <c r="AH62" s="125"/>
      <c r="AI62" s="125" t="s">
        <v>268</v>
      </c>
      <c r="AJ62" s="125"/>
      <c r="AK62" s="125"/>
      <c r="AL62" s="125"/>
      <c r="AM62" s="125"/>
      <c r="AN62" s="125"/>
      <c r="AO62" s="125"/>
    </row>
    <row r="63" spans="1:41" ht="382.5">
      <c r="A63" s="52"/>
      <c r="B63" s="58"/>
      <c r="C63" s="71" t="s">
        <v>2160</v>
      </c>
      <c r="D63" s="71" t="s">
        <v>804</v>
      </c>
      <c r="E63" s="91" t="s">
        <v>1042</v>
      </c>
      <c r="F63" s="91" t="s">
        <v>2217</v>
      </c>
      <c r="G63" s="92" t="s">
        <v>254</v>
      </c>
      <c r="H63" s="61"/>
      <c r="I63" s="107"/>
      <c r="J63" s="60"/>
      <c r="K63" s="60"/>
      <c r="L63" s="60"/>
      <c r="M63" s="123"/>
      <c r="N63" s="243"/>
      <c r="O63" s="111" cm="1">
        <f t="array" ref="O63">IF(AI63=TRUE,_xlfn.IFS(M63=1,2,M63="",IF(N63="",1,2)),0)</f>
        <v>0</v>
      </c>
      <c r="P63" s="69" t="s">
        <v>255</v>
      </c>
      <c r="Q63" s="69" t="s">
        <v>255</v>
      </c>
      <c r="R63" s="69" t="s">
        <v>255</v>
      </c>
      <c r="S63" s="69" t="s">
        <v>183</v>
      </c>
      <c r="T63" s="118" t="s">
        <v>255</v>
      </c>
      <c r="U63" s="118"/>
      <c r="V63" s="118"/>
      <c r="W63" s="118"/>
      <c r="X63" s="118"/>
      <c r="Y63" s="69"/>
      <c r="Z63" s="69"/>
      <c r="AA63" s="69"/>
      <c r="AB63" s="118"/>
      <c r="AC63" s="118"/>
      <c r="AD63" s="118"/>
      <c r="AE63" s="69" t="s">
        <v>255</v>
      </c>
      <c r="AF63" s="69" t="s">
        <v>255</v>
      </c>
      <c r="AG63" s="69"/>
      <c r="AH63" s="69"/>
      <c r="AI63" s="123" t="b">
        <f>AND(OR(AND($P$6=TRUE,$P63&lt;&gt;""),AND($Q$6=TRUE,$Q63&lt;&gt;""),AND($R$6=TRUE,$R63&lt;&gt;"")),AND($S$6=TRUE,$S63&lt;&gt;""),OR(AND($T$6=TRUE,$T63&lt;&gt;""),AND($U$6=TRUE,$U63&lt;&gt;""),AND($V$6=TRUE,$V63&lt;&gt;""),AND($W$6=TRUE,$W63&lt;&gt;""),AND($X$6=TRUE,$X63&lt;&gt;""),AND($Y$6=TRUE,$Y63&lt;&gt;""),AND($Z$6=TRUE,$Z63&lt;&gt;""),AND($AA$6=TRUE,$AA63&lt;&gt;""),AND($AB$6=TRUE,$AB63&lt;&gt;""),AND($AC$6=TRUE,$AC63&lt;&gt;""),AND($AD$6=TRUE,$AD63&lt;&gt;"")),OR(AND($AE$6=TRUE,$AE63&lt;&gt;""),AND($AF$6=TRUE,$AF63&lt;&gt;""),AND($AG$6=TRUE,$AG63&lt;&gt;""),AND($AH$6=TRUE,$AH63&lt;&gt;"")))</f>
        <v>0</v>
      </c>
      <c r="AJ63" s="123"/>
      <c r="AK63" s="123"/>
      <c r="AL63" s="123"/>
      <c r="AM63" s="123"/>
      <c r="AN63" s="170" t="str">
        <f>IF(AJ63&lt;&gt;"","セキュリティ管理/","")&amp;IF(AK63&lt;&gt;"","マルウェア/","")&amp;IF(AL63&lt;&gt;"","クラウド/","")&amp;IF(AM63&lt;&gt;"","別表1,2,3","")</f>
        <v/>
      </c>
      <c r="AO63" s="123" t="s">
        <v>2198</v>
      </c>
    </row>
    <row r="64" spans="1:41" ht="135">
      <c r="A64" s="52"/>
      <c r="B64" s="58"/>
      <c r="C64" s="71" t="s">
        <v>2161</v>
      </c>
      <c r="D64" s="71" t="s">
        <v>806</v>
      </c>
      <c r="E64" s="91" t="str">
        <f>'インフラ(自社DC)'!E60</f>
        <v>ソフトウェアおよび機器（以下、製品）を採用する際は、多くの脆弱性が報告される傾向にあるプロダクト（Apache Struts、Word Press等）を避け、提供元（ベンダー、オープンソースプロジェクト運営団体等）がサポートするバージョンの製品を選定しているか
また製品の利用にあたっては、セキュリティ設定を正しく行うため、各製品の提供元が発信する推奨設定情報やセキュリティパッチに関する情報を参考に設定を行っているか。</v>
      </c>
      <c r="F64" s="91" t="s">
        <v>1271</v>
      </c>
      <c r="G64" s="92" t="s">
        <v>254</v>
      </c>
      <c r="H64" s="61"/>
      <c r="I64" s="107"/>
      <c r="J64" s="60" t="s">
        <v>730</v>
      </c>
      <c r="K64" s="60"/>
      <c r="L64" s="60"/>
      <c r="M64" s="123"/>
      <c r="N64" s="243"/>
      <c r="O64" s="111" cm="1">
        <f t="array" ref="O64">IF(AI64=TRUE,_xlfn.IFS(M64=1,2,M64="",IF(N64="",1,2)),0)</f>
        <v>0</v>
      </c>
      <c r="P64" s="69" t="s">
        <v>255</v>
      </c>
      <c r="Q64" s="69" t="s">
        <v>255</v>
      </c>
      <c r="R64" s="69" t="s">
        <v>255</v>
      </c>
      <c r="S64" s="69" t="s">
        <v>183</v>
      </c>
      <c r="T64" s="118" t="s">
        <v>255</v>
      </c>
      <c r="U64" s="118"/>
      <c r="V64" s="118"/>
      <c r="W64" s="118"/>
      <c r="X64" s="118" t="s">
        <v>448</v>
      </c>
      <c r="Y64" s="69"/>
      <c r="Z64" s="69"/>
      <c r="AA64" s="69"/>
      <c r="AB64" s="118"/>
      <c r="AC64" s="118"/>
      <c r="AD64" s="118"/>
      <c r="AE64" s="69" t="s">
        <v>255</v>
      </c>
      <c r="AF64" s="69" t="s">
        <v>255</v>
      </c>
      <c r="AG64" s="69" t="s">
        <v>255</v>
      </c>
      <c r="AH64" s="69"/>
      <c r="AI64" s="123" t="b">
        <f>AND(OR(AND($P$6=TRUE,$P64&lt;&gt;""),AND($Q$6=TRUE,$Q64&lt;&gt;""),AND($R$6=TRUE,$R64&lt;&gt;"")),AND($S$6=TRUE,$S64&lt;&gt;""),OR(AND($T$6=TRUE,$T64&lt;&gt;""),AND($U$6=TRUE,$U64&lt;&gt;""),AND($V$6=TRUE,$V64&lt;&gt;""),AND($W$6=TRUE,$W64&lt;&gt;""),AND($X$6=TRUE,$X64&lt;&gt;""),AND($Y$6=TRUE,$Y64&lt;&gt;""),AND($Z$6=TRUE,$Z64&lt;&gt;""),AND($AA$6=TRUE,$AA64&lt;&gt;""),AND($AB$6=TRUE,$AB64&lt;&gt;""),AND($AC$6=TRUE,$AC64&lt;&gt;""),AND($AD$6=TRUE,$AD64&lt;&gt;"")),OR(AND($AE$6=TRUE,$AE64&lt;&gt;""),AND($AF$6=TRUE,$AF64&lt;&gt;""),AND($AG$6=TRUE,$AG64&lt;&gt;""),AND($AH$6=TRUE,$AH64&lt;&gt;"")))</f>
        <v>0</v>
      </c>
      <c r="AJ64" s="123" t="s">
        <v>183</v>
      </c>
      <c r="AK64" s="123"/>
      <c r="AL64" s="123"/>
      <c r="AM64" s="123"/>
      <c r="AN64" s="170" t="str">
        <f>IF(AJ64&lt;&gt;"","セキュリティ管理/","")&amp;IF(AK64&lt;&gt;"","マルウェア/","")&amp;IF(AL64&lt;&gt;"","クラウド/","")&amp;IF(AM64&lt;&gt;"","別表1,2,3","")</f>
        <v>セキュリティ管理/</v>
      </c>
      <c r="AO64" s="123"/>
    </row>
    <row r="65" spans="1:41" ht="45">
      <c r="A65" s="52"/>
      <c r="B65" s="58"/>
      <c r="C65" s="71" t="s">
        <v>1272</v>
      </c>
      <c r="D65" s="71" t="s">
        <v>808</v>
      </c>
      <c r="E65" s="91" t="str">
        <f>'インフラ(自社DC)'!E61</f>
        <v>サーバや端末、ネットワーク機器の未使用又は不必要なデーモン／サービス／エージェントが全て停止又は削除される設計がされているか</v>
      </c>
      <c r="F65" s="91" t="s">
        <v>1224</v>
      </c>
      <c r="G65" s="92" t="s">
        <v>254</v>
      </c>
      <c r="H65" s="61"/>
      <c r="I65" s="107"/>
      <c r="J65" s="60"/>
      <c r="K65" s="60"/>
      <c r="L65" s="60"/>
      <c r="M65" s="123"/>
      <c r="N65" s="243"/>
      <c r="O65" s="111" cm="1">
        <f t="array" ref="O65">IF(AI65=TRUE,_xlfn.IFS(M65=1,2,M65="",IF(N65="",1,2)),0)</f>
        <v>0</v>
      </c>
      <c r="P65" s="69" t="s">
        <v>255</v>
      </c>
      <c r="Q65" s="69" t="s">
        <v>183</v>
      </c>
      <c r="R65" s="69" t="s">
        <v>183</v>
      </c>
      <c r="S65" s="69" t="s">
        <v>183</v>
      </c>
      <c r="T65" s="118" t="s">
        <v>183</v>
      </c>
      <c r="U65" s="118"/>
      <c r="V65" s="118"/>
      <c r="W65" s="118"/>
      <c r="X65" s="118" t="s">
        <v>448</v>
      </c>
      <c r="Y65" s="69"/>
      <c r="Z65" s="69"/>
      <c r="AA65" s="69"/>
      <c r="AB65" s="118"/>
      <c r="AC65" s="118"/>
      <c r="AD65" s="118"/>
      <c r="AE65" s="69" t="s">
        <v>255</v>
      </c>
      <c r="AF65" s="69" t="s">
        <v>255</v>
      </c>
      <c r="AG65" s="69"/>
      <c r="AH65" s="69"/>
      <c r="AI65" s="123" t="b">
        <f>AND(OR(AND($P$6=TRUE,$P65&lt;&gt;""),AND($Q$6=TRUE,$Q65&lt;&gt;""),AND($R$6=TRUE,$R65&lt;&gt;"")),AND($S$6=TRUE,$S65&lt;&gt;""),OR(AND($T$6=TRUE,$T65&lt;&gt;""),AND($U$6=TRUE,$U65&lt;&gt;""),AND($V$6=TRUE,$V65&lt;&gt;""),AND($W$6=TRUE,$W65&lt;&gt;""),AND($X$6=TRUE,$X65&lt;&gt;""),AND($Y$6=TRUE,$Y65&lt;&gt;""),AND($Z$6=TRUE,$Z65&lt;&gt;""),AND($AA$6=TRUE,$AA65&lt;&gt;""),AND($AB$6=TRUE,$AB65&lt;&gt;""),AND($AC$6=TRUE,$AC65&lt;&gt;""),AND($AD$6=TRUE,$AD65&lt;&gt;"")),OR(AND($AE$6=TRUE,$AE65&lt;&gt;""),AND($AF$6=TRUE,$AF65&lt;&gt;""),AND($AG$6=TRUE,$AG65&lt;&gt;""),AND($AH$6=TRUE,$AH65&lt;&gt;"")))</f>
        <v>0</v>
      </c>
      <c r="AJ65" s="123"/>
      <c r="AK65" s="123"/>
      <c r="AL65" s="123"/>
      <c r="AM65" s="123"/>
      <c r="AN65" s="170" t="str">
        <f>IF(AJ65&lt;&gt;"","セキュリティ管理/","")&amp;IF(AK65&lt;&gt;"","マルウェア/","")&amp;IF(AL65&lt;&gt;"","クラウド/","")&amp;IF(AM65&lt;&gt;"","別表1,2,3","")</f>
        <v/>
      </c>
      <c r="AO65" s="123"/>
    </row>
    <row r="66" spans="1:41" ht="67.5">
      <c r="A66" s="52"/>
      <c r="B66" s="58"/>
      <c r="C66" s="71" t="s">
        <v>1274</v>
      </c>
      <c r="D66" s="71" t="s">
        <v>1178</v>
      </c>
      <c r="E66" s="91" t="str">
        <f>'インフラ(自社DC)'!E62</f>
        <v>インターネットへ公開されているサービスについて、利用している製品の種類・バージョン情報等のシステム構成情報（バナー情報）がHTTPレスポンスヘッダに含まれないようにしているか</v>
      </c>
      <c r="F66" s="91" t="s">
        <v>1224</v>
      </c>
      <c r="G66" s="92" t="s">
        <v>503</v>
      </c>
      <c r="H66" s="61"/>
      <c r="I66" s="107"/>
      <c r="J66" s="60"/>
      <c r="K66" s="60"/>
      <c r="L66" s="60"/>
      <c r="M66" s="123"/>
      <c r="N66" s="243"/>
      <c r="O66" s="111" cm="1">
        <f t="array" ref="O66">IF(AI66=TRUE,_xlfn.IFS(M66=1,2,M66="",IF(N66="",1,2)),0)</f>
        <v>0</v>
      </c>
      <c r="P66" s="69" t="s">
        <v>255</v>
      </c>
      <c r="Q66" s="69" t="s">
        <v>183</v>
      </c>
      <c r="R66" s="118" t="s">
        <v>183</v>
      </c>
      <c r="S66" s="69" t="s">
        <v>183</v>
      </c>
      <c r="T66" s="118"/>
      <c r="U66" s="118"/>
      <c r="V66" s="118"/>
      <c r="W66" s="118"/>
      <c r="X66" s="118"/>
      <c r="Y66" s="69"/>
      <c r="Z66" s="69"/>
      <c r="AA66" s="69"/>
      <c r="AB66" s="118"/>
      <c r="AC66" s="118"/>
      <c r="AD66" s="118" t="s">
        <v>183</v>
      </c>
      <c r="AE66" s="69" t="s">
        <v>255</v>
      </c>
      <c r="AF66" s="69" t="s">
        <v>255</v>
      </c>
      <c r="AG66" s="69"/>
      <c r="AH66" s="69"/>
      <c r="AI66" s="123" t="b">
        <f>AND(OR(AND($P$6=TRUE,$P66&lt;&gt;""),AND($Q$6=TRUE,$Q66&lt;&gt;""),AND($R$6=TRUE,$R66&lt;&gt;"")),AND($S$6=TRUE,$S66&lt;&gt;""),OR(AND($T$6=TRUE,$T66&lt;&gt;""),AND($U$6=TRUE,$U66&lt;&gt;""),AND($V$6=TRUE,$V66&lt;&gt;""),AND($W$6=TRUE,$W66&lt;&gt;""),AND($X$6=TRUE,$X66&lt;&gt;""),AND($Y$6=TRUE,$Y66&lt;&gt;""),AND($Z$6=TRUE,$Z66&lt;&gt;""),AND($AA$6=TRUE,$AA66&lt;&gt;""),AND($AB$6=TRUE,$AB66&lt;&gt;""),AND($AC$6=TRUE,$AC66&lt;&gt;""),AND($AD$6=TRUE,$AD66&lt;&gt;"")),OR(AND($AE$6=TRUE,$AE66&lt;&gt;""),AND($AF$6=TRUE,$AF66&lt;&gt;""),AND($AG$6=TRUE,$AG66&lt;&gt;""),AND($AH$6=TRUE,$AH66&lt;&gt;"")))</f>
        <v>0</v>
      </c>
      <c r="AJ66" s="123"/>
      <c r="AK66" s="123"/>
      <c r="AL66" s="123"/>
      <c r="AM66" s="123"/>
      <c r="AN66" s="170" t="str">
        <f>IF(AJ66&lt;&gt;"","セキュリティ管理/","")&amp;IF(AK66&lt;&gt;"","マルウェア/","")&amp;IF(AL66&lt;&gt;"","クラウド/","")&amp;IF(AM66&lt;&gt;"","別表1,2,3","")</f>
        <v/>
      </c>
      <c r="AO66" s="123"/>
    </row>
    <row r="67" spans="1:41" ht="22.5">
      <c r="A67" s="52" t="s">
        <v>810</v>
      </c>
      <c r="B67" s="52"/>
      <c r="C67" s="113"/>
      <c r="D67" s="113"/>
      <c r="E67" s="77"/>
      <c r="F67" s="77"/>
      <c r="G67" s="56"/>
      <c r="H67" s="56"/>
      <c r="I67" s="77"/>
      <c r="J67" s="56"/>
      <c r="K67" s="56"/>
      <c r="L67" s="56"/>
      <c r="M67" s="114"/>
      <c r="N67" s="249"/>
      <c r="O67" s="249"/>
      <c r="P67" s="114"/>
      <c r="Q67" s="114"/>
      <c r="R67" s="114"/>
      <c r="S67" s="114"/>
      <c r="T67" s="114"/>
      <c r="U67" s="114"/>
      <c r="V67" s="114"/>
      <c r="W67" s="114"/>
      <c r="X67" s="114"/>
      <c r="Y67" s="114"/>
      <c r="Z67" s="114"/>
      <c r="AA67" s="114"/>
      <c r="AB67" s="114"/>
      <c r="AC67" s="114"/>
      <c r="AD67" s="114"/>
      <c r="AE67" s="114"/>
      <c r="AF67" s="114"/>
      <c r="AG67" s="114"/>
      <c r="AH67" s="114"/>
      <c r="AI67" s="114" t="s">
        <v>268</v>
      </c>
      <c r="AJ67" s="114"/>
      <c r="AK67" s="114"/>
      <c r="AL67" s="114"/>
      <c r="AM67" s="114"/>
      <c r="AN67" s="114"/>
      <c r="AO67" s="114"/>
    </row>
    <row r="68" spans="1:41" ht="22.5">
      <c r="A68" s="52"/>
      <c r="B68" s="58"/>
      <c r="C68" s="58"/>
      <c r="D68" s="58"/>
      <c r="E68" s="115"/>
      <c r="F68" s="115"/>
      <c r="G68" s="58"/>
      <c r="H68" s="59"/>
      <c r="I68" s="84"/>
      <c r="J68" s="58"/>
      <c r="K68" s="58"/>
      <c r="L68" s="58"/>
      <c r="M68" s="122"/>
      <c r="N68" s="244"/>
      <c r="O68" s="244"/>
      <c r="P68" s="122"/>
      <c r="Q68" s="122"/>
      <c r="R68" s="122"/>
      <c r="S68" s="122"/>
      <c r="T68" s="122"/>
      <c r="U68" s="122"/>
      <c r="V68" s="122"/>
      <c r="W68" s="122"/>
      <c r="X68" s="122"/>
      <c r="Y68" s="122"/>
      <c r="Z68" s="122"/>
      <c r="AA68" s="122"/>
      <c r="AB68" s="122"/>
      <c r="AC68" s="122"/>
      <c r="AD68" s="122"/>
      <c r="AE68" s="122"/>
      <c r="AF68" s="122"/>
      <c r="AG68" s="122"/>
      <c r="AH68" s="122"/>
      <c r="AI68" s="122" t="s">
        <v>268</v>
      </c>
      <c r="AJ68" s="122"/>
      <c r="AK68" s="122"/>
      <c r="AL68" s="122"/>
      <c r="AM68" s="122"/>
      <c r="AN68" s="122"/>
      <c r="AO68" s="122"/>
    </row>
    <row r="69" spans="1:41" ht="45">
      <c r="A69" s="52"/>
      <c r="B69" s="58"/>
      <c r="C69" s="71" t="s">
        <v>1275</v>
      </c>
      <c r="D69" s="71" t="s">
        <v>436</v>
      </c>
      <c r="E69" s="91" t="s">
        <v>1042</v>
      </c>
      <c r="F69" s="91" t="s">
        <v>1179</v>
      </c>
      <c r="G69" s="92" t="s">
        <v>254</v>
      </c>
      <c r="H69" s="61"/>
      <c r="I69" s="107"/>
      <c r="J69" s="60"/>
      <c r="K69" s="60"/>
      <c r="L69" s="60"/>
      <c r="M69" s="123"/>
      <c r="N69" s="243"/>
      <c r="O69" s="111" cm="1">
        <f t="array" ref="O69">IF(AI69=TRUE,_xlfn.IFS(M69=1,2,M69="",IF(N69="",1,2)),0)</f>
        <v>0</v>
      </c>
      <c r="P69" s="69" t="s">
        <v>255</v>
      </c>
      <c r="Q69" s="69" t="s">
        <v>255</v>
      </c>
      <c r="R69" s="69" t="s">
        <v>255</v>
      </c>
      <c r="S69" s="69" t="s">
        <v>183</v>
      </c>
      <c r="T69" s="118" t="s">
        <v>183</v>
      </c>
      <c r="U69" s="118"/>
      <c r="V69" s="118"/>
      <c r="W69" s="118"/>
      <c r="X69" s="118"/>
      <c r="Y69" s="69"/>
      <c r="Z69" s="69"/>
      <c r="AA69" s="69"/>
      <c r="AB69" s="118"/>
      <c r="AC69" s="118"/>
      <c r="AD69" s="118"/>
      <c r="AE69" s="69" t="s">
        <v>255</v>
      </c>
      <c r="AF69" s="69" t="s">
        <v>255</v>
      </c>
      <c r="AG69" s="69" t="s">
        <v>255</v>
      </c>
      <c r="AH69" s="69"/>
      <c r="AI69" s="123" t="b">
        <f t="shared" ref="AI69:AI83" si="6">AND(OR(AND($P$6=TRUE,$P69&lt;&gt;""),AND($Q$6=TRUE,$Q69&lt;&gt;""),AND($R$6=TRUE,$R69&lt;&gt;"")),AND($S$6=TRUE,$S69&lt;&gt;""),OR(AND($T$6=TRUE,$T69&lt;&gt;""),AND($U$6=TRUE,$U69&lt;&gt;""),AND($V$6=TRUE,$V69&lt;&gt;""),AND($W$6=TRUE,$W69&lt;&gt;""),AND($X$6=TRUE,$X69&lt;&gt;""),AND($Y$6=TRUE,$Y69&lt;&gt;""),AND($Z$6=TRUE,$Z69&lt;&gt;""),AND($AA$6=TRUE,$AA69&lt;&gt;""),AND($AB$6=TRUE,$AB69&lt;&gt;""),AND($AC$6=TRUE,$AC69&lt;&gt;""),AND($AD$6=TRUE,$AD69&lt;&gt;"")),OR(AND($AE$6=TRUE,$AE69&lt;&gt;""),AND($AF$6=TRUE,$AF69&lt;&gt;""),AND($AG$6=TRUE,$AG69&lt;&gt;""),AND($AH$6=TRUE,$AH69&lt;&gt;"")))</f>
        <v>0</v>
      </c>
      <c r="AJ69" s="123"/>
      <c r="AK69" s="123"/>
      <c r="AL69" s="123"/>
      <c r="AM69" s="123"/>
      <c r="AN69" s="170" t="str">
        <f t="shared" ref="AN69:AN81" si="7">IF(AJ69&lt;&gt;"","セキュリティ管理/","")&amp;IF(AK69&lt;&gt;"","マルウェア/","")&amp;IF(AL69&lt;&gt;"","クラウド/","")&amp;IF(AM69&lt;&gt;"","別表1,2,3","")</f>
        <v/>
      </c>
      <c r="AO69" s="123"/>
    </row>
    <row r="70" spans="1:41" ht="45">
      <c r="A70" s="52"/>
      <c r="B70" s="58"/>
      <c r="C70" s="71" t="s">
        <v>1276</v>
      </c>
      <c r="D70" s="71" t="s">
        <v>439</v>
      </c>
      <c r="E70" s="91" t="s">
        <v>1042</v>
      </c>
      <c r="F70" s="91" t="s">
        <v>1048</v>
      </c>
      <c r="G70" s="92" t="s">
        <v>254</v>
      </c>
      <c r="H70" s="61"/>
      <c r="I70" s="107"/>
      <c r="J70" s="60"/>
      <c r="K70" s="60"/>
      <c r="L70" s="60"/>
      <c r="M70" s="123"/>
      <c r="N70" s="243"/>
      <c r="O70" s="111" cm="1">
        <f t="array" ref="O70">IF(AI70=TRUE,_xlfn.IFS(M70=1,2,M70="",IF(N70="",1,2)),0)</f>
        <v>0</v>
      </c>
      <c r="P70" s="69" t="s">
        <v>255</v>
      </c>
      <c r="Q70" s="69" t="s">
        <v>255</v>
      </c>
      <c r="R70" s="69" t="s">
        <v>255</v>
      </c>
      <c r="S70" s="69" t="s">
        <v>255</v>
      </c>
      <c r="T70" s="69" t="s">
        <v>183</v>
      </c>
      <c r="U70" s="69"/>
      <c r="V70" s="69"/>
      <c r="W70" s="69"/>
      <c r="X70" s="118"/>
      <c r="Y70" s="69"/>
      <c r="Z70" s="69"/>
      <c r="AA70" s="69"/>
      <c r="AB70" s="118"/>
      <c r="AC70" s="118"/>
      <c r="AD70" s="118"/>
      <c r="AE70" s="69" t="s">
        <v>255</v>
      </c>
      <c r="AF70" s="69" t="s">
        <v>255</v>
      </c>
      <c r="AG70" s="69" t="s">
        <v>255</v>
      </c>
      <c r="AH70" s="69"/>
      <c r="AI70" s="123" t="b">
        <f t="shared" si="6"/>
        <v>0</v>
      </c>
      <c r="AJ70" s="123"/>
      <c r="AK70" s="123"/>
      <c r="AL70" s="123"/>
      <c r="AM70" s="123"/>
      <c r="AN70" s="170" t="str">
        <f t="shared" si="7"/>
        <v/>
      </c>
      <c r="AO70" s="123"/>
    </row>
    <row r="71" spans="1:41" ht="112.5">
      <c r="A71" s="52"/>
      <c r="B71" s="58"/>
      <c r="C71" s="71" t="s">
        <v>1277</v>
      </c>
      <c r="D71" s="71" t="s">
        <v>441</v>
      </c>
      <c r="E71" s="91" t="str">
        <f>'インフラ(自社DC)'!E65</f>
        <v>NWセグメントを、業務内容や取り扱う情報区分ごとに分離（サーバセグメント、運用管理セグメント、ユーザセグメント（必要に応じ部署毎）等）しているか。
また、サーバセグメントの中でも、サービスの種類や重要度に合わせて更に分離し、セグメント間の通信を最小限のサービスのみに制限しているか。</v>
      </c>
      <c r="F71" s="91" t="s">
        <v>1273</v>
      </c>
      <c r="G71" s="92" t="s">
        <v>254</v>
      </c>
      <c r="H71" s="61"/>
      <c r="I71" s="107"/>
      <c r="J71" s="60"/>
      <c r="K71" s="60"/>
      <c r="L71" s="60"/>
      <c r="M71" s="123"/>
      <c r="N71" s="243"/>
      <c r="O71" s="111" cm="1">
        <f t="array" ref="O71">IF(AI71=TRUE,_xlfn.IFS(M71=1,2,M71="",IF(N71="",1,2)),0)</f>
        <v>0</v>
      </c>
      <c r="P71" s="69" t="s">
        <v>255</v>
      </c>
      <c r="Q71" s="69" t="s">
        <v>255</v>
      </c>
      <c r="R71" s="69" t="s">
        <v>255</v>
      </c>
      <c r="S71" s="69" t="s">
        <v>183</v>
      </c>
      <c r="T71" s="118" t="s">
        <v>255</v>
      </c>
      <c r="U71" s="118"/>
      <c r="V71" s="118"/>
      <c r="W71" s="118"/>
      <c r="X71" s="118" t="s">
        <v>448</v>
      </c>
      <c r="Y71" s="69"/>
      <c r="Z71" s="69"/>
      <c r="AA71" s="69"/>
      <c r="AB71" s="118"/>
      <c r="AC71" s="118"/>
      <c r="AD71" s="118"/>
      <c r="AE71" s="69" t="s">
        <v>255</v>
      </c>
      <c r="AF71" s="69" t="s">
        <v>255</v>
      </c>
      <c r="AG71" s="69" t="s">
        <v>255</v>
      </c>
      <c r="AH71" s="69"/>
      <c r="AI71" s="123" t="b">
        <f t="shared" si="6"/>
        <v>0</v>
      </c>
      <c r="AJ71" s="123"/>
      <c r="AK71" s="123" t="s">
        <v>183</v>
      </c>
      <c r="AL71" s="123"/>
      <c r="AM71" s="123"/>
      <c r="AN71" s="170" t="str">
        <f t="shared" si="7"/>
        <v>マルウェア/</v>
      </c>
      <c r="AO71" s="123"/>
    </row>
    <row r="72" spans="1:41" ht="315">
      <c r="A72" s="52"/>
      <c r="B72" s="58"/>
      <c r="C72" s="71" t="s">
        <v>1278</v>
      </c>
      <c r="D72" s="71" t="s">
        <v>443</v>
      </c>
      <c r="E72" s="91" t="str">
        <f>'インフラ(自社DC)'!E66</f>
        <v>インターネットからアクセスを受けるシステムに関しては、DoS、DDoS攻撃に対して、以下の通り帯域幅消費攻撃とシステム資源消費攻撃の双方の対策を行っているか。
なお、アウトソースシステムにおいては、当社へのサービス提供に直接用いていない共用箇所も含み上記の対策ができているか。（詳細は当セルのコメントを参照）
・可能な限りインターネットに近い位置での対策（オンプレよりもISPやCDN、スクラビングセンターなど）
・システム停止時の影響が大きなシステムに おいては、被害を受けた場合の影響を極小化できる構成と緩和策を導入
・無線LANを構築する場合、管理フレームを悪用した通信妨害攻撃対策（IEEE802.11w規格）などの保護対策を導入
・サービスの可用性が高い水準で要求されるシステムや、企業ブランドに関わるコーポレートサイトといった、アクセス不通時の影響が大きなシステムにおいては、DNSサーバーについてもDDos対策を実施</v>
      </c>
      <c r="F72" s="91" t="s">
        <v>1224</v>
      </c>
      <c r="G72" s="92" t="s">
        <v>254</v>
      </c>
      <c r="H72" s="61"/>
      <c r="I72" s="107"/>
      <c r="J72" s="60"/>
      <c r="K72" s="60"/>
      <c r="L72" s="60"/>
      <c r="M72" s="123"/>
      <c r="N72" s="243"/>
      <c r="O72" s="111" cm="1">
        <f t="array" ref="O72">IF(AI72=TRUE,_xlfn.IFS(M72=1,2,M72="",IF(N72="",1,2)),0)</f>
        <v>0</v>
      </c>
      <c r="P72" s="69" t="s">
        <v>255</v>
      </c>
      <c r="Q72" s="69" t="s">
        <v>183</v>
      </c>
      <c r="R72" s="69" t="s">
        <v>183</v>
      </c>
      <c r="S72" s="69" t="s">
        <v>183</v>
      </c>
      <c r="T72" s="118" t="s">
        <v>183</v>
      </c>
      <c r="U72" s="118"/>
      <c r="V72" s="118"/>
      <c r="W72" s="118"/>
      <c r="X72" s="118" t="s">
        <v>448</v>
      </c>
      <c r="Y72" s="69"/>
      <c r="Z72" s="69"/>
      <c r="AA72" s="69"/>
      <c r="AB72" s="118"/>
      <c r="AC72" s="118"/>
      <c r="AD72" s="118"/>
      <c r="AE72" s="69"/>
      <c r="AF72" s="69" t="s">
        <v>255</v>
      </c>
      <c r="AG72" s="69"/>
      <c r="AH72" s="69"/>
      <c r="AI72" s="123" t="b">
        <f t="shared" si="6"/>
        <v>0</v>
      </c>
      <c r="AJ72" s="123"/>
      <c r="AK72" s="123"/>
      <c r="AL72" s="123"/>
      <c r="AM72" s="123"/>
      <c r="AN72" s="170" t="str">
        <f t="shared" si="7"/>
        <v/>
      </c>
      <c r="AO72" s="123"/>
    </row>
    <row r="73" spans="1:41" ht="405">
      <c r="A73" s="52"/>
      <c r="B73" s="58"/>
      <c r="C73" s="71" t="s">
        <v>1279</v>
      </c>
      <c r="D73" s="71" t="s">
        <v>446</v>
      </c>
      <c r="E73" s="91" t="str">
        <f>'インフラ(自社DC)'!E67</f>
        <v>「対応ランクAシステム」または「対応ランクB-1システムの中でも重要情報(※1)を大量に保有もしくは通信し、かつ漏洩時の影響が甚大なシステム」は24365でSOC監視可能な「ファイアウォール、IPS、WAF(※2)」を導入(※3)するとともに、お客様へ公開する資源に対する改ざん検知機能を実装しているか。
（※1）重要情報の定義は情報セキュリティ管理マニュアルを参照すること。
（※2）WAFは以下要件を満たすものを導入すること
・インシデント検知時にSOCから担当者へ電話とメールで連絡が来る仕組みとなっている
・インシデントの内容を技術的な知見を持ったアナリストが詳細解析できる
・カスタムシグネチャを作る機能と運用体制を有している
・誤検知や誤遮断が生じた際に、URL×シグネチャベースで、検知除外のチューニングが行える
・HTTPリクエストだけでなくレスポンスも含めて監視可能
（※3）当社オンプレシステムにおいては、セキュアドGWを経由して接続すること。アウトソースシステムでは同等の仕組みの構築が必要である。外部からのHTTP/HTTPS通信を受ける場合はWAFを必須とし、その他のプロトコルの通信を受ける場合はIPS（IDSは不可）を必須とする</v>
      </c>
      <c r="F73" s="91" t="s">
        <v>1224</v>
      </c>
      <c r="G73" s="92" t="s">
        <v>254</v>
      </c>
      <c r="H73" s="61"/>
      <c r="I73" s="107"/>
      <c r="J73" s="60"/>
      <c r="K73" s="60"/>
      <c r="L73" s="60"/>
      <c r="M73" s="123"/>
      <c r="N73" s="243"/>
      <c r="O73" s="111" cm="1">
        <f t="array" ref="O73">IF(AI73=TRUE,_xlfn.IFS(M73=1,2,M73="",IF(N73="",1,2)),0)</f>
        <v>0</v>
      </c>
      <c r="P73" s="69" t="s">
        <v>255</v>
      </c>
      <c r="Q73" s="69" t="s">
        <v>183</v>
      </c>
      <c r="R73" s="69" t="s">
        <v>183</v>
      </c>
      <c r="S73" s="69" t="s">
        <v>183</v>
      </c>
      <c r="T73" s="69" t="s">
        <v>183</v>
      </c>
      <c r="U73" s="118"/>
      <c r="V73" s="118"/>
      <c r="W73" s="118"/>
      <c r="X73" s="118" t="s">
        <v>448</v>
      </c>
      <c r="Y73" s="69"/>
      <c r="Z73" s="69"/>
      <c r="AA73" s="69"/>
      <c r="AB73" s="118"/>
      <c r="AC73" s="118"/>
      <c r="AD73" s="118"/>
      <c r="AE73" s="69"/>
      <c r="AF73" s="69" t="s">
        <v>255</v>
      </c>
      <c r="AG73" s="69"/>
      <c r="AH73" s="69"/>
      <c r="AI73" s="123" t="b">
        <f t="shared" si="6"/>
        <v>0</v>
      </c>
      <c r="AJ73" s="123"/>
      <c r="AK73" s="123"/>
      <c r="AL73" s="123"/>
      <c r="AM73" s="123"/>
      <c r="AN73" s="170" t="str">
        <f t="shared" si="7"/>
        <v/>
      </c>
      <c r="AO73" s="124" t="s">
        <v>2206</v>
      </c>
    </row>
    <row r="74" spans="1:41" ht="22.5">
      <c r="A74" s="52"/>
      <c r="B74" s="58"/>
      <c r="C74" s="71" t="s">
        <v>1280</v>
      </c>
      <c r="D74" s="71" t="s">
        <v>817</v>
      </c>
      <c r="E74" s="91" t="str">
        <f>'インフラ(自社DC)'!E68</f>
        <v>IPS等セキュリティ機器の定義ファイル、検知ルールなどの最適化を実施しているか</v>
      </c>
      <c r="F74" s="91" t="s">
        <v>1224</v>
      </c>
      <c r="G74" s="92" t="s">
        <v>254</v>
      </c>
      <c r="H74" s="61"/>
      <c r="I74" s="107"/>
      <c r="J74" s="60"/>
      <c r="K74" s="60"/>
      <c r="L74" s="60"/>
      <c r="M74" s="123"/>
      <c r="N74" s="243"/>
      <c r="O74" s="111" cm="1">
        <f t="array" ref="O74">IF(AI74=TRUE,_xlfn.IFS(M74=1,2,M74="",IF(N74="",1,2)),0)</f>
        <v>0</v>
      </c>
      <c r="P74" s="69" t="s">
        <v>255</v>
      </c>
      <c r="Q74" s="69" t="s">
        <v>183</v>
      </c>
      <c r="R74" s="69" t="s">
        <v>183</v>
      </c>
      <c r="S74" s="69" t="s">
        <v>183</v>
      </c>
      <c r="T74" s="118" t="s">
        <v>183</v>
      </c>
      <c r="U74" s="118"/>
      <c r="V74" s="118"/>
      <c r="W74" s="118"/>
      <c r="X74" s="118" t="s">
        <v>448</v>
      </c>
      <c r="Y74" s="69"/>
      <c r="Z74" s="69"/>
      <c r="AA74" s="69"/>
      <c r="AB74" s="118"/>
      <c r="AC74" s="118"/>
      <c r="AD74" s="118"/>
      <c r="AE74" s="69"/>
      <c r="AF74" s="69" t="s">
        <v>255</v>
      </c>
      <c r="AG74" s="69"/>
      <c r="AH74" s="69"/>
      <c r="AI74" s="123" t="b">
        <f t="shared" si="6"/>
        <v>0</v>
      </c>
      <c r="AJ74" s="123"/>
      <c r="AK74" s="123"/>
      <c r="AL74" s="123"/>
      <c r="AM74" s="123"/>
      <c r="AN74" s="170" t="str">
        <f t="shared" si="7"/>
        <v/>
      </c>
      <c r="AO74" s="123"/>
    </row>
    <row r="75" spans="1:41" ht="112.5">
      <c r="A75" s="52"/>
      <c r="B75" s="58"/>
      <c r="C75" s="71" t="s">
        <v>1281</v>
      </c>
      <c r="D75" s="71" t="s">
        <v>820</v>
      </c>
      <c r="E75" s="91" t="str">
        <f>'インフラ(自社DC)'!E69</f>
        <v xml:space="preserve">外部から直接アクセスを受けるサーバ（公開サーバ／専用機等）をDMZに、
情報を保有するサーバ（非公開サーバ）を内部セグメントにそれぞれ配置し、インターネットとDMZの境界、およびDMZと内部セグメントの境界にファイアウォールを導入してセグメント間の通信を必要最小限に制限しているか
</v>
      </c>
      <c r="F75" s="91" t="s">
        <v>1224</v>
      </c>
      <c r="G75" s="92" t="s">
        <v>254</v>
      </c>
      <c r="H75" s="61"/>
      <c r="I75" s="107"/>
      <c r="J75" s="60"/>
      <c r="K75" s="60"/>
      <c r="L75" s="60"/>
      <c r="M75" s="123"/>
      <c r="N75" s="243"/>
      <c r="O75" s="111" cm="1">
        <f t="array" ref="O75">IF(AI75=TRUE,_xlfn.IFS(M75=1,2,M75="",IF(N75="",1,2)),0)</f>
        <v>0</v>
      </c>
      <c r="P75" s="69" t="s">
        <v>255</v>
      </c>
      <c r="Q75" s="69" t="s">
        <v>183</v>
      </c>
      <c r="R75" s="69" t="s">
        <v>183</v>
      </c>
      <c r="S75" s="69" t="s">
        <v>183</v>
      </c>
      <c r="T75" s="118" t="s">
        <v>183</v>
      </c>
      <c r="U75" s="118"/>
      <c r="V75" s="118"/>
      <c r="W75" s="118"/>
      <c r="X75" s="118" t="s">
        <v>448</v>
      </c>
      <c r="Y75" s="69"/>
      <c r="Z75" s="69"/>
      <c r="AA75" s="69"/>
      <c r="AB75" s="69"/>
      <c r="AC75" s="69"/>
      <c r="AD75" s="69"/>
      <c r="AE75" s="69"/>
      <c r="AF75" s="69" t="s">
        <v>255</v>
      </c>
      <c r="AG75" s="69"/>
      <c r="AH75" s="69"/>
      <c r="AI75" s="123" t="b">
        <f t="shared" si="6"/>
        <v>0</v>
      </c>
      <c r="AJ75" s="123"/>
      <c r="AK75" s="123"/>
      <c r="AL75" s="123"/>
      <c r="AM75" s="123"/>
      <c r="AN75" s="170" t="str">
        <f t="shared" si="7"/>
        <v/>
      </c>
      <c r="AO75" s="123"/>
    </row>
    <row r="76" spans="1:41" ht="67.5">
      <c r="A76" s="52"/>
      <c r="B76" s="58"/>
      <c r="C76" s="71" t="s">
        <v>1282</v>
      </c>
      <c r="D76" s="71" t="s">
        <v>822</v>
      </c>
      <c r="E76" s="91" t="str">
        <f>'インフラ(自社DC)'!E70</f>
        <v>顧客情報や決済情報を保管する DB サーバーへのネットワーク経由及び物理的なアクセス を、業務上必要な対象のみに制限できているか。
特に、マイナンバー（法人番号は含まない）を保管するシステムについては必須とする。</v>
      </c>
      <c r="F76" s="91" t="s">
        <v>1224</v>
      </c>
      <c r="G76" s="92" t="s">
        <v>254</v>
      </c>
      <c r="H76" s="61"/>
      <c r="I76" s="107"/>
      <c r="J76" s="60"/>
      <c r="K76" s="60"/>
      <c r="L76" s="60"/>
      <c r="M76" s="123"/>
      <c r="N76" s="243"/>
      <c r="O76" s="111" cm="1">
        <f t="array" ref="O76">IF(AI76=TRUE,_xlfn.IFS(M76=1,2,M76="",IF(N76="",1,2)),0)</f>
        <v>0</v>
      </c>
      <c r="P76" s="69" t="s">
        <v>255</v>
      </c>
      <c r="Q76" s="69" t="s">
        <v>183</v>
      </c>
      <c r="R76" s="69" t="s">
        <v>183</v>
      </c>
      <c r="S76" s="69" t="s">
        <v>183</v>
      </c>
      <c r="T76" s="118" t="s">
        <v>183</v>
      </c>
      <c r="U76" s="118"/>
      <c r="V76" s="118"/>
      <c r="W76" s="118"/>
      <c r="X76" s="118" t="s">
        <v>448</v>
      </c>
      <c r="Y76" s="69"/>
      <c r="Z76" s="69"/>
      <c r="AA76" s="69"/>
      <c r="AB76" s="118"/>
      <c r="AC76" s="118" t="s">
        <v>183</v>
      </c>
      <c r="AD76" s="118"/>
      <c r="AE76" s="69" t="s">
        <v>255</v>
      </c>
      <c r="AF76" s="69" t="s">
        <v>255</v>
      </c>
      <c r="AG76" s="69"/>
      <c r="AH76" s="69"/>
      <c r="AI76" s="123" t="b">
        <f t="shared" si="6"/>
        <v>0</v>
      </c>
      <c r="AJ76" s="123"/>
      <c r="AK76" s="123"/>
      <c r="AL76" s="123"/>
      <c r="AM76" s="123"/>
      <c r="AN76" s="170" t="str">
        <f t="shared" si="7"/>
        <v/>
      </c>
      <c r="AO76" s="123"/>
    </row>
    <row r="77" spans="1:41" ht="45">
      <c r="A77" s="52"/>
      <c r="B77" s="58"/>
      <c r="C77" s="71" t="s">
        <v>2162</v>
      </c>
      <c r="D77" s="71" t="s">
        <v>824</v>
      </c>
      <c r="E77" s="91" t="str">
        <f>'インフラ(自社DC)'!E73</f>
        <v>リモートアクセスサーバーにより内部セグメントに対し接続できる場合、適切なアクセス制限が設けられているか</v>
      </c>
      <c r="F77" s="91" t="s">
        <v>1224</v>
      </c>
      <c r="G77" s="92" t="s">
        <v>254</v>
      </c>
      <c r="H77" s="61"/>
      <c r="I77" s="107"/>
      <c r="J77" s="60"/>
      <c r="K77" s="60"/>
      <c r="L77" s="60"/>
      <c r="M77" s="123"/>
      <c r="N77" s="243"/>
      <c r="O77" s="111" cm="1">
        <f t="array" ref="O77">IF(AI77=TRUE,_xlfn.IFS(M77=1,2,M77="",IF(N77="",1,2)),0)</f>
        <v>0</v>
      </c>
      <c r="P77" s="69" t="s">
        <v>255</v>
      </c>
      <c r="Q77" s="69" t="s">
        <v>183</v>
      </c>
      <c r="R77" s="69" t="s">
        <v>183</v>
      </c>
      <c r="S77" s="69" t="s">
        <v>183</v>
      </c>
      <c r="T77" s="118" t="s">
        <v>183</v>
      </c>
      <c r="U77" s="118"/>
      <c r="V77" s="118"/>
      <c r="W77" s="118"/>
      <c r="X77" s="118" t="s">
        <v>448</v>
      </c>
      <c r="Y77" s="69"/>
      <c r="Z77" s="69"/>
      <c r="AA77" s="69"/>
      <c r="AB77" s="118"/>
      <c r="AC77" s="118"/>
      <c r="AD77" s="118"/>
      <c r="AE77" s="69" t="s">
        <v>255</v>
      </c>
      <c r="AF77" s="69" t="s">
        <v>255</v>
      </c>
      <c r="AG77" s="69"/>
      <c r="AH77" s="69"/>
      <c r="AI77" s="123" t="b">
        <f t="shared" si="6"/>
        <v>0</v>
      </c>
      <c r="AJ77" s="123"/>
      <c r="AK77" s="123"/>
      <c r="AL77" s="123"/>
      <c r="AM77" s="123"/>
      <c r="AN77" s="170" t="str">
        <f t="shared" si="7"/>
        <v/>
      </c>
      <c r="AO77" s="123"/>
    </row>
    <row r="78" spans="1:41" ht="22.5">
      <c r="A78" s="52"/>
      <c r="B78" s="58"/>
      <c r="C78" s="71" t="s">
        <v>1283</v>
      </c>
      <c r="D78" s="71" t="s">
        <v>826</v>
      </c>
      <c r="E78" s="91" t="str">
        <f>'インフラ(自社DC)'!E74</f>
        <v>データセンター間を接続するネットワークは閉域網を利用しているか</v>
      </c>
      <c r="F78" s="91" t="s">
        <v>1224</v>
      </c>
      <c r="G78" s="92" t="s">
        <v>254</v>
      </c>
      <c r="H78" s="61"/>
      <c r="I78" s="107"/>
      <c r="J78" s="60"/>
      <c r="K78" s="60"/>
      <c r="L78" s="60"/>
      <c r="M78" s="123"/>
      <c r="N78" s="243"/>
      <c r="O78" s="111" cm="1">
        <f t="array" ref="O78">IF(AI78=TRUE,_xlfn.IFS(M78=1,2,M78="",IF(N78="",1,2)),0)</f>
        <v>0</v>
      </c>
      <c r="P78" s="69" t="s">
        <v>255</v>
      </c>
      <c r="Q78" s="69" t="s">
        <v>183</v>
      </c>
      <c r="R78" s="69" t="s">
        <v>183</v>
      </c>
      <c r="S78" s="69" t="s">
        <v>183</v>
      </c>
      <c r="T78" s="118" t="s">
        <v>183</v>
      </c>
      <c r="U78" s="118"/>
      <c r="V78" s="118"/>
      <c r="W78" s="118"/>
      <c r="X78" s="118" t="s">
        <v>448</v>
      </c>
      <c r="Y78" s="69"/>
      <c r="Z78" s="69"/>
      <c r="AA78" s="69"/>
      <c r="AB78" s="118"/>
      <c r="AC78" s="118"/>
      <c r="AD78" s="118"/>
      <c r="AE78" s="69" t="s">
        <v>255</v>
      </c>
      <c r="AF78" s="69" t="s">
        <v>255</v>
      </c>
      <c r="AG78" s="69"/>
      <c r="AH78" s="69"/>
      <c r="AI78" s="123" t="b">
        <f t="shared" si="6"/>
        <v>0</v>
      </c>
      <c r="AJ78" s="123"/>
      <c r="AK78" s="123"/>
      <c r="AL78" s="123"/>
      <c r="AM78" s="123"/>
      <c r="AN78" s="170" t="str">
        <f t="shared" si="7"/>
        <v/>
      </c>
      <c r="AO78" s="123"/>
    </row>
    <row r="79" spans="1:41" ht="157.5">
      <c r="A79" s="52"/>
      <c r="B79" s="58"/>
      <c r="C79" s="71" t="s">
        <v>1284</v>
      </c>
      <c r="D79" s="71" t="s">
        <v>829</v>
      </c>
      <c r="E79" s="91" t="str">
        <f>'インフラ(自社DC)'!E75</f>
        <v>利用していない機能を悪用した不正アクセスを防止するため、不要な通信を遮断し、必要最小限の通信のみを許可するよう設定しているか。
特に、インターネットからアクセスを直接受けるNW機器やサーバーについては、リフレクション攻撃の踏み台にされるケースがあるため、通信要件を限定すること。
（補足：特にtelnet、FTP、HTTP、NetBIOS、Windowsファイル共有（SMB/CIFS）等のサービス、およびリフレクション攻撃に使われやすい外部からのDNSリクエストや、SNMP、NTP、SSDP等のUDP通信）</v>
      </c>
      <c r="F79" s="91" t="s">
        <v>1224</v>
      </c>
      <c r="G79" s="92" t="s">
        <v>254</v>
      </c>
      <c r="H79" s="61"/>
      <c r="I79" s="107"/>
      <c r="J79" s="60"/>
      <c r="K79" s="60"/>
      <c r="L79" s="60"/>
      <c r="M79" s="123"/>
      <c r="N79" s="243"/>
      <c r="O79" s="111" cm="1">
        <f t="array" ref="O79">IF(AI79=TRUE,_xlfn.IFS(M79=1,2,M79="",IF(N79="",1,2)),0)</f>
        <v>0</v>
      </c>
      <c r="P79" s="69" t="s">
        <v>255</v>
      </c>
      <c r="Q79" s="69" t="s">
        <v>183</v>
      </c>
      <c r="R79" s="69" t="s">
        <v>183</v>
      </c>
      <c r="S79" s="69" t="s">
        <v>183</v>
      </c>
      <c r="T79" s="118" t="s">
        <v>183</v>
      </c>
      <c r="U79" s="118"/>
      <c r="V79" s="118"/>
      <c r="W79" s="118"/>
      <c r="X79" s="118" t="s">
        <v>448</v>
      </c>
      <c r="Y79" s="69"/>
      <c r="Z79" s="69"/>
      <c r="AA79" s="69"/>
      <c r="AB79" s="118"/>
      <c r="AC79" s="118"/>
      <c r="AD79" s="118"/>
      <c r="AE79" s="69" t="s">
        <v>255</v>
      </c>
      <c r="AF79" s="69" t="s">
        <v>255</v>
      </c>
      <c r="AG79" s="69"/>
      <c r="AH79" s="69"/>
      <c r="AI79" s="123" t="b">
        <f t="shared" si="6"/>
        <v>0</v>
      </c>
      <c r="AJ79" s="123"/>
      <c r="AK79" s="123"/>
      <c r="AL79" s="123"/>
      <c r="AM79" s="123"/>
      <c r="AN79" s="170" t="str">
        <f t="shared" si="7"/>
        <v/>
      </c>
      <c r="AO79" s="123"/>
    </row>
    <row r="80" spans="1:41" ht="135">
      <c r="A80" s="52"/>
      <c r="B80" s="58"/>
      <c r="C80" s="71" t="s">
        <v>1285</v>
      </c>
      <c r="D80" s="71" t="s">
        <v>832</v>
      </c>
      <c r="E80" s="91" t="str">
        <f>'インフラ(自社DC)'!E76</f>
        <v>メンテナンス用ポート（SSH（Secure Shell）、RDP（Remote Desktop Protocol）、FTP（File Transfer Protocol） 等）について、外部からの通信をファイアウォールで遮断し、接続できる端末をIPアドレスやクライアント証明書等で制限しているか。
また、当該サービス自体を利用していない場合には、サービスの停止または削除を行っているか。</v>
      </c>
      <c r="F80" s="91" t="s">
        <v>1224</v>
      </c>
      <c r="G80" s="92" t="s">
        <v>254</v>
      </c>
      <c r="H80" s="61"/>
      <c r="I80" s="107"/>
      <c r="J80" s="60"/>
      <c r="K80" s="60"/>
      <c r="L80" s="60"/>
      <c r="M80" s="123"/>
      <c r="N80" s="243"/>
      <c r="O80" s="111" cm="1">
        <f t="array" ref="O80">IF(AI80=TRUE,_xlfn.IFS(M80=1,2,M80="",IF(N80="",1,2)),0)</f>
        <v>0</v>
      </c>
      <c r="P80" s="69" t="s">
        <v>255</v>
      </c>
      <c r="Q80" s="69" t="s">
        <v>183</v>
      </c>
      <c r="R80" s="69" t="s">
        <v>183</v>
      </c>
      <c r="S80" s="69" t="s">
        <v>183</v>
      </c>
      <c r="T80" s="118" t="s">
        <v>183</v>
      </c>
      <c r="U80" s="118"/>
      <c r="V80" s="118"/>
      <c r="W80" s="118"/>
      <c r="X80" s="118" t="s">
        <v>448</v>
      </c>
      <c r="Y80" s="69"/>
      <c r="Z80" s="69"/>
      <c r="AA80" s="69"/>
      <c r="AB80" s="118"/>
      <c r="AC80" s="118"/>
      <c r="AD80" s="118"/>
      <c r="AE80" s="69" t="s">
        <v>255</v>
      </c>
      <c r="AF80" s="69" t="s">
        <v>255</v>
      </c>
      <c r="AG80" s="69"/>
      <c r="AH80" s="69"/>
      <c r="AI80" s="123" t="b">
        <f t="shared" si="6"/>
        <v>0</v>
      </c>
      <c r="AJ80" s="123"/>
      <c r="AK80" s="123"/>
      <c r="AL80" s="123"/>
      <c r="AM80" s="123"/>
      <c r="AN80" s="170" t="str">
        <f t="shared" si="7"/>
        <v/>
      </c>
      <c r="AO80" s="123"/>
    </row>
    <row r="81" spans="1:41" ht="22.5">
      <c r="A81" s="52"/>
      <c r="B81" s="58"/>
      <c r="C81" s="71" t="s">
        <v>1286</v>
      </c>
      <c r="D81" s="71" t="s">
        <v>835</v>
      </c>
      <c r="E81" s="91" t="str">
        <f>'インフラ(自社DC)'!E77</f>
        <v>システム運用業務で利用するメールアドレスにフリーメールを利用しない設計となっているか</v>
      </c>
      <c r="F81" s="99" t="s">
        <v>1151</v>
      </c>
      <c r="G81" s="92" t="s">
        <v>254</v>
      </c>
      <c r="H81" s="61"/>
      <c r="I81" s="107"/>
      <c r="J81" s="60"/>
      <c r="K81" s="60"/>
      <c r="L81" s="60"/>
      <c r="M81" s="123"/>
      <c r="N81" s="243"/>
      <c r="O81" s="111" cm="1">
        <f t="array" ref="O81">IF(AI81=TRUE,_xlfn.IFS(M81=1,2,M81="",IF(N81="",1,2)),0)</f>
        <v>0</v>
      </c>
      <c r="P81" s="69" t="s">
        <v>255</v>
      </c>
      <c r="Q81" s="69" t="s">
        <v>183</v>
      </c>
      <c r="R81" s="69" t="s">
        <v>183</v>
      </c>
      <c r="S81" s="69" t="s">
        <v>183</v>
      </c>
      <c r="T81" s="118" t="s">
        <v>183</v>
      </c>
      <c r="U81" s="118"/>
      <c r="V81" s="118"/>
      <c r="W81" s="118"/>
      <c r="X81" s="118" t="s">
        <v>448</v>
      </c>
      <c r="Y81" s="69"/>
      <c r="Z81" s="69"/>
      <c r="AA81" s="69"/>
      <c r="AB81" s="118"/>
      <c r="AC81" s="118"/>
      <c r="AD81" s="118"/>
      <c r="AE81" s="69" t="s">
        <v>255</v>
      </c>
      <c r="AF81" s="69" t="s">
        <v>255</v>
      </c>
      <c r="AG81" s="69"/>
      <c r="AH81" s="69"/>
      <c r="AI81" s="123" t="b">
        <f t="shared" si="6"/>
        <v>0</v>
      </c>
      <c r="AJ81" s="123"/>
      <c r="AK81" s="123"/>
      <c r="AL81" s="123"/>
      <c r="AM81" s="123"/>
      <c r="AN81" s="170" t="str">
        <f t="shared" si="7"/>
        <v/>
      </c>
      <c r="AO81" s="123"/>
    </row>
    <row r="82" spans="1:41" ht="157.5">
      <c r="A82" s="52"/>
      <c r="B82" s="58"/>
      <c r="C82" s="71" t="s">
        <v>1288</v>
      </c>
      <c r="D82" s="71" t="s">
        <v>1069</v>
      </c>
      <c r="E82" s="91" t="str">
        <f>'インフラ(自社DC)'!E80</f>
        <v>社内NWとインターネットとの境界に設置するファイアウォールにおいて、アウトバウンドの通信に対し、以下の要件を踏まえて設計・設定しているか。
・組織内プロキシからの通信のみ許可し、組織内プロキシを経由せずに直接インターネットへ向かう通信は遮断する
・利用する通信ポートを最低限のもの（TCP/443やその他業務で使用するもの等）に設定し、他は遮断する。</v>
      </c>
      <c r="F82" s="99" t="s">
        <v>1120</v>
      </c>
      <c r="G82" s="92" t="s">
        <v>254</v>
      </c>
      <c r="H82" s="61"/>
      <c r="I82" s="107"/>
      <c r="J82" s="60"/>
      <c r="K82" s="60"/>
      <c r="L82" s="60"/>
      <c r="M82" s="123"/>
      <c r="N82" s="243"/>
      <c r="O82" s="111" cm="1">
        <f t="array" ref="O82">IF(AI82=TRUE,_xlfn.IFS(M82=1,2,M82="",IF(N82="",1,2)),0)</f>
        <v>0</v>
      </c>
      <c r="P82" s="69" t="s">
        <v>255</v>
      </c>
      <c r="Q82" s="69" t="s">
        <v>183</v>
      </c>
      <c r="R82" s="69" t="s">
        <v>183</v>
      </c>
      <c r="S82" s="69" t="s">
        <v>183</v>
      </c>
      <c r="T82" s="118" t="s">
        <v>183</v>
      </c>
      <c r="U82" s="118"/>
      <c r="V82" s="118"/>
      <c r="W82" s="118"/>
      <c r="X82" s="118" t="s">
        <v>448</v>
      </c>
      <c r="Y82" s="69"/>
      <c r="Z82" s="69"/>
      <c r="AA82" s="69"/>
      <c r="AB82" s="118"/>
      <c r="AC82" s="118"/>
      <c r="AD82" s="118"/>
      <c r="AE82" s="69" t="s">
        <v>255</v>
      </c>
      <c r="AF82" s="69" t="s">
        <v>255</v>
      </c>
      <c r="AG82" s="69"/>
      <c r="AH82" s="69"/>
      <c r="AI82" s="123" t="b">
        <f t="shared" si="6"/>
        <v>0</v>
      </c>
      <c r="AJ82" s="123"/>
      <c r="AK82" s="123"/>
      <c r="AL82" s="123"/>
      <c r="AM82" s="123"/>
      <c r="AN82" s="170" t="str">
        <f t="shared" ref="AN82" si="8">IF(AJ82&lt;&gt;"","セキュリティ管理/","")&amp;IF(AK82&lt;&gt;"","マルウェア/","")&amp;IF(AL82&lt;&gt;"","クラウド/","")&amp;IF(AM82&lt;&gt;"","別表1,2,3","")</f>
        <v/>
      </c>
      <c r="AO82" s="124" t="s">
        <v>2233</v>
      </c>
    </row>
    <row r="83" spans="1:41" ht="270">
      <c r="A83" s="52"/>
      <c r="B83" s="58"/>
      <c r="C83" s="71" t="s">
        <v>1290</v>
      </c>
      <c r="D83" s="196" t="s">
        <v>1072</v>
      </c>
      <c r="E83" s="91" t="str">
        <f>'インフラ(自社DC)'!E81</f>
        <v>構築対象のサーバや端末などの資源からのインターネットへの通信は、組織内のプロキシを使用して以下の通り制御するようにしているか。
・Webフィルタリングのホワイトリストに業務上必須のサイトを登録（万が一マルウェア感染によりインターネット経路の通信を遮断した時にも、必要なサイトの通信を継続できるようにするため）
・ カテゴリフィルタやブラックリストを用いた以下のサイトの制限
　- 業務上必要のないサイト
　- 業務利用に不適切なサイト(情報の不正な持ち出しに利用され得る、Webメールやストレージサービス等)
　- 不審なサイト(ウイルス感染のリスクが高いと思われるサイトや、マルウェアのコントロールに使われていそうなサイト等)</v>
      </c>
      <c r="F83" s="99" t="s">
        <v>1120</v>
      </c>
      <c r="G83" s="92" t="s">
        <v>254</v>
      </c>
      <c r="H83" s="61"/>
      <c r="I83" s="107"/>
      <c r="J83" s="60"/>
      <c r="K83" s="60"/>
      <c r="L83" s="60"/>
      <c r="M83" s="123"/>
      <c r="N83" s="243"/>
      <c r="O83" s="111" cm="1">
        <f t="array" ref="O83">IF(AI83=TRUE,_xlfn.IFS(M83=1,2,M83="",IF(N83="",1,2)),0)</f>
        <v>0</v>
      </c>
      <c r="P83" s="69" t="s">
        <v>255</v>
      </c>
      <c r="Q83" s="69" t="s">
        <v>183</v>
      </c>
      <c r="R83" s="69" t="s">
        <v>183</v>
      </c>
      <c r="S83" s="69" t="s">
        <v>183</v>
      </c>
      <c r="T83" s="118" t="s">
        <v>183</v>
      </c>
      <c r="U83" s="118"/>
      <c r="V83" s="118"/>
      <c r="W83" s="118"/>
      <c r="X83" s="118" t="s">
        <v>448</v>
      </c>
      <c r="Y83" s="69"/>
      <c r="Z83" s="69"/>
      <c r="AA83" s="69"/>
      <c r="AB83" s="118"/>
      <c r="AC83" s="118"/>
      <c r="AD83" s="118"/>
      <c r="AE83" s="69" t="s">
        <v>255</v>
      </c>
      <c r="AF83" s="69" t="s">
        <v>255</v>
      </c>
      <c r="AG83" s="69"/>
      <c r="AH83" s="69"/>
      <c r="AI83" s="123" t="b">
        <f t="shared" si="6"/>
        <v>0</v>
      </c>
      <c r="AJ83" s="123"/>
      <c r="AK83" s="123"/>
      <c r="AL83" s="123"/>
      <c r="AM83" s="123"/>
      <c r="AN83" s="170" t="str">
        <f t="shared" ref="AN83" si="9">IF(AJ83&lt;&gt;"","セキュリティ管理/","")&amp;IF(AK83&lt;&gt;"","マルウェア/","")&amp;IF(AL83&lt;&gt;"","クラウド/","")&amp;IF(AM83&lt;&gt;"","別表1,2,3","")</f>
        <v/>
      </c>
      <c r="AO83" s="124" t="s">
        <v>2225</v>
      </c>
    </row>
    <row r="84" spans="1:41" ht="22.5">
      <c r="A84" s="52" t="s">
        <v>845</v>
      </c>
      <c r="B84" s="52"/>
      <c r="C84" s="113"/>
      <c r="D84" s="113"/>
      <c r="E84" s="77"/>
      <c r="F84" s="77"/>
      <c r="G84" s="56"/>
      <c r="H84" s="56"/>
      <c r="I84" s="77"/>
      <c r="J84" s="56"/>
      <c r="K84" s="56"/>
      <c r="L84" s="56"/>
      <c r="M84" s="114"/>
      <c r="N84" s="249"/>
      <c r="O84" s="249"/>
      <c r="P84" s="114"/>
      <c r="Q84" s="114"/>
      <c r="R84" s="114"/>
      <c r="S84" s="114"/>
      <c r="T84" s="114"/>
      <c r="U84" s="114"/>
      <c r="V84" s="114"/>
      <c r="W84" s="114"/>
      <c r="X84" s="114"/>
      <c r="Y84" s="114"/>
      <c r="Z84" s="114"/>
      <c r="AA84" s="114"/>
      <c r="AB84" s="114"/>
      <c r="AC84" s="114"/>
      <c r="AD84" s="114"/>
      <c r="AE84" s="114"/>
      <c r="AF84" s="114"/>
      <c r="AG84" s="114"/>
      <c r="AH84" s="114"/>
      <c r="AI84" s="114" t="s">
        <v>268</v>
      </c>
      <c r="AJ84" s="114"/>
      <c r="AK84" s="114"/>
      <c r="AL84" s="114"/>
      <c r="AM84" s="114"/>
      <c r="AN84" s="114"/>
      <c r="AO84" s="114"/>
    </row>
    <row r="85" spans="1:41" ht="22.5">
      <c r="A85" s="52"/>
      <c r="B85" s="58"/>
      <c r="C85" s="58"/>
      <c r="D85" s="58"/>
      <c r="E85" s="115"/>
      <c r="F85" s="115"/>
      <c r="G85" s="58"/>
      <c r="H85" s="59"/>
      <c r="I85" s="84"/>
      <c r="J85" s="58"/>
      <c r="K85" s="58"/>
      <c r="L85" s="58"/>
      <c r="M85" s="122"/>
      <c r="N85" s="244"/>
      <c r="O85" s="244"/>
      <c r="P85" s="122"/>
      <c r="Q85" s="122"/>
      <c r="R85" s="122"/>
      <c r="S85" s="122"/>
      <c r="T85" s="122"/>
      <c r="U85" s="122"/>
      <c r="V85" s="122"/>
      <c r="W85" s="122"/>
      <c r="X85" s="122"/>
      <c r="Y85" s="122"/>
      <c r="Z85" s="122"/>
      <c r="AA85" s="122"/>
      <c r="AB85" s="122"/>
      <c r="AC85" s="122"/>
      <c r="AD85" s="122"/>
      <c r="AE85" s="122"/>
      <c r="AF85" s="122"/>
      <c r="AG85" s="122"/>
      <c r="AH85" s="122"/>
      <c r="AI85" s="122" t="s">
        <v>268</v>
      </c>
      <c r="AJ85" s="122"/>
      <c r="AK85" s="122"/>
      <c r="AL85" s="122"/>
      <c r="AM85" s="122"/>
      <c r="AN85" s="122"/>
      <c r="AO85" s="122"/>
    </row>
    <row r="86" spans="1:41" ht="67.5">
      <c r="A86" s="52"/>
      <c r="B86" s="58"/>
      <c r="C86" s="71" t="s">
        <v>1291</v>
      </c>
      <c r="D86" s="71" t="s">
        <v>451</v>
      </c>
      <c r="E86" s="91" t="s">
        <v>1074</v>
      </c>
      <c r="F86" s="91" t="s">
        <v>1196</v>
      </c>
      <c r="G86" s="92" t="s">
        <v>254</v>
      </c>
      <c r="H86" s="61"/>
      <c r="I86" s="107"/>
      <c r="J86" s="60"/>
      <c r="K86" s="60"/>
      <c r="L86" s="60"/>
      <c r="M86" s="123"/>
      <c r="N86" s="243"/>
      <c r="O86" s="111" cm="1">
        <f t="array" ref="O86">IF(AI86=TRUE,_xlfn.IFS(M86=1,2,M86="",IF(N86="",1,2)),0)</f>
        <v>0</v>
      </c>
      <c r="P86" s="69" t="s">
        <v>255</v>
      </c>
      <c r="Q86" s="69" t="s">
        <v>255</v>
      </c>
      <c r="R86" s="69" t="s">
        <v>255</v>
      </c>
      <c r="S86" s="69" t="s">
        <v>255</v>
      </c>
      <c r="T86" s="69"/>
      <c r="U86" s="69"/>
      <c r="V86" s="69"/>
      <c r="W86" s="69"/>
      <c r="X86" s="118"/>
      <c r="Y86" s="118" t="s">
        <v>255</v>
      </c>
      <c r="Z86" s="69"/>
      <c r="AA86" s="69"/>
      <c r="AB86" s="118"/>
      <c r="AC86" s="118"/>
      <c r="AD86" s="118"/>
      <c r="AE86" s="69" t="s">
        <v>255</v>
      </c>
      <c r="AF86" s="69" t="s">
        <v>255</v>
      </c>
      <c r="AG86" s="69" t="s">
        <v>255</v>
      </c>
      <c r="AH86" s="118" t="s">
        <v>255</v>
      </c>
      <c r="AI86" s="123" t="b">
        <f t="shared" ref="AI86:AI108" si="10">AND(OR(AND($P$6=TRUE,$P86&lt;&gt;""),AND($Q$6=TRUE,$Q86&lt;&gt;""),AND($R$6=TRUE,$R86&lt;&gt;"")),AND($S$6=TRUE,$S86&lt;&gt;""),OR(AND($T$6=TRUE,$T86&lt;&gt;""),AND($U$6=TRUE,$U86&lt;&gt;""),AND($V$6=TRUE,$V86&lt;&gt;""),AND($W$6=TRUE,$W86&lt;&gt;""),AND($X$6=TRUE,$X86&lt;&gt;""),AND($Y$6=TRUE,$Y86&lt;&gt;""),AND($Z$6=TRUE,$Z86&lt;&gt;""),AND($AA$6=TRUE,$AA86&lt;&gt;""),AND($AB$6=TRUE,$AB86&lt;&gt;""),AND($AC$6=TRUE,$AC86&lt;&gt;""),AND($AD$6=TRUE,$AD86&lt;&gt;"")),OR(AND($AE$6=TRUE,$AE86&lt;&gt;""),AND($AF$6=TRUE,$AF86&lt;&gt;""),AND($AG$6=TRUE,$AG86&lt;&gt;""),AND($AH$6=TRUE,$AH86&lt;&gt;"")))</f>
        <v>0</v>
      </c>
      <c r="AJ86" s="167"/>
      <c r="AK86" s="167"/>
      <c r="AL86" s="167"/>
      <c r="AM86" s="167"/>
      <c r="AN86" s="170" t="str">
        <f t="shared" ref="AN86:AN108" si="11">IF(AJ86&lt;&gt;"","セキュリティ管理/","")&amp;IF(AK86&lt;&gt;"","マルウェア/","")&amp;IF(AL86&lt;&gt;"","クラウド/","")&amp;IF(AM86&lt;&gt;"","別表1,2,3","")</f>
        <v/>
      </c>
      <c r="AO86" s="167"/>
    </row>
    <row r="87" spans="1:41" ht="67.5">
      <c r="A87" s="52"/>
      <c r="B87" s="58"/>
      <c r="C87" s="71" t="s">
        <v>1292</v>
      </c>
      <c r="D87" s="71" t="s">
        <v>454</v>
      </c>
      <c r="E87" s="91" t="s">
        <v>1074</v>
      </c>
      <c r="F87" s="91" t="s">
        <v>1076</v>
      </c>
      <c r="G87" s="92" t="s">
        <v>254</v>
      </c>
      <c r="H87" s="61"/>
      <c r="I87" s="107"/>
      <c r="J87" s="60"/>
      <c r="K87" s="60"/>
      <c r="L87" s="60"/>
      <c r="M87" s="123"/>
      <c r="N87" s="243"/>
      <c r="O87" s="111" cm="1">
        <f t="array" ref="O87">IF(AI87=TRUE,_xlfn.IFS(M87=1,2,M87="",IF(N87="",1,2)),0)</f>
        <v>0</v>
      </c>
      <c r="P87" s="69" t="s">
        <v>255</v>
      </c>
      <c r="Q87" s="69" t="s">
        <v>255</v>
      </c>
      <c r="R87" s="69" t="s">
        <v>255</v>
      </c>
      <c r="S87" s="69" t="s">
        <v>255</v>
      </c>
      <c r="T87" s="69"/>
      <c r="U87" s="69"/>
      <c r="V87" s="69"/>
      <c r="W87" s="69"/>
      <c r="X87" s="118"/>
      <c r="Y87" s="118"/>
      <c r="Z87" s="69"/>
      <c r="AA87" s="118" t="s">
        <v>255</v>
      </c>
      <c r="AB87" s="118"/>
      <c r="AC87" s="118"/>
      <c r="AD87" s="118"/>
      <c r="AE87" s="69" t="s">
        <v>255</v>
      </c>
      <c r="AF87" s="69" t="s">
        <v>255</v>
      </c>
      <c r="AG87" s="69" t="s">
        <v>255</v>
      </c>
      <c r="AH87" s="69" t="s">
        <v>255</v>
      </c>
      <c r="AI87" s="123" t="b">
        <f t="shared" si="10"/>
        <v>0</v>
      </c>
      <c r="AJ87" s="123"/>
      <c r="AK87" s="123"/>
      <c r="AL87" s="123"/>
      <c r="AM87" s="123"/>
      <c r="AN87" s="170" t="str">
        <f t="shared" si="11"/>
        <v/>
      </c>
      <c r="AO87" s="123"/>
    </row>
    <row r="88" spans="1:41" ht="45">
      <c r="A88" s="52"/>
      <c r="B88" s="58"/>
      <c r="C88" s="71" t="s">
        <v>1293</v>
      </c>
      <c r="D88" s="71" t="s">
        <v>457</v>
      </c>
      <c r="E88" s="91" t="str">
        <f>'インフラ(自社DC)'!E84</f>
        <v>構築対象の端末について、常に基準となる時刻（システムリソースとの）と同期を取っているか</v>
      </c>
      <c r="F88" s="99" t="s">
        <v>1151</v>
      </c>
      <c r="G88" s="92" t="s">
        <v>254</v>
      </c>
      <c r="H88" s="61"/>
      <c r="I88" s="107"/>
      <c r="J88" s="60"/>
      <c r="K88" s="60"/>
      <c r="L88" s="60"/>
      <c r="M88" s="123"/>
      <c r="N88" s="243"/>
      <c r="O88" s="111" cm="1">
        <f t="array" ref="O88">IF(AI88=TRUE,_xlfn.IFS(M88=1,2,M88="",IF(N88="",1,2)),0)</f>
        <v>0</v>
      </c>
      <c r="P88" s="69" t="s">
        <v>255</v>
      </c>
      <c r="Q88" s="69" t="s">
        <v>255</v>
      </c>
      <c r="R88" s="69" t="s">
        <v>255</v>
      </c>
      <c r="S88" s="69" t="s">
        <v>255</v>
      </c>
      <c r="T88" s="69"/>
      <c r="U88" s="69"/>
      <c r="V88" s="69"/>
      <c r="W88" s="69"/>
      <c r="X88" s="118" t="s">
        <v>448</v>
      </c>
      <c r="Y88" s="118" t="s">
        <v>255</v>
      </c>
      <c r="Z88" s="69"/>
      <c r="AA88" s="69"/>
      <c r="AB88" s="118"/>
      <c r="AC88" s="118"/>
      <c r="AD88" s="118"/>
      <c r="AE88" s="69" t="s">
        <v>183</v>
      </c>
      <c r="AF88" s="69" t="s">
        <v>183</v>
      </c>
      <c r="AG88" s="69" t="s">
        <v>255</v>
      </c>
      <c r="AH88" s="118" t="s">
        <v>255</v>
      </c>
      <c r="AI88" s="123" t="b">
        <f t="shared" si="10"/>
        <v>0</v>
      </c>
      <c r="AJ88" s="167"/>
      <c r="AK88" s="167"/>
      <c r="AL88" s="167"/>
      <c r="AM88" s="167"/>
      <c r="AN88" s="170" t="str">
        <f t="shared" si="11"/>
        <v/>
      </c>
      <c r="AO88" s="167"/>
    </row>
    <row r="89" spans="1:41" ht="157.5">
      <c r="A89" s="52"/>
      <c r="B89" s="58"/>
      <c r="C89" s="71" t="s">
        <v>1294</v>
      </c>
      <c r="D89" s="71" t="s">
        <v>460</v>
      </c>
      <c r="E89" s="91" t="str">
        <f>'インフラ(自社DC)'!E85</f>
        <v>構築対象の端末について、起動時および一定時間（１０分間）の無操作時は、ID・パスワードの入力を必要としているか。
（アウトソースシステムは、回答で「YES」を選択した場合、下記のうち該当する番号を備考欄に記入する。）
１．端末操作起動時および一定時間無操作時
２．端末操作起動時のみ</v>
      </c>
      <c r="F89" s="99" t="s">
        <v>1199</v>
      </c>
      <c r="G89" s="92" t="s">
        <v>254</v>
      </c>
      <c r="H89" s="61"/>
      <c r="I89" s="107"/>
      <c r="J89" s="60"/>
      <c r="K89" s="60"/>
      <c r="L89" s="60"/>
      <c r="M89" s="123"/>
      <c r="N89" s="243"/>
      <c r="O89" s="111" cm="1">
        <f t="array" ref="O89">IF(AI89=TRUE,_xlfn.IFS(M89=1,2,M89="",IF(N89="",1,2)),0)</f>
        <v>0</v>
      </c>
      <c r="P89" s="69" t="s">
        <v>255</v>
      </c>
      <c r="Q89" s="69" t="s">
        <v>255</v>
      </c>
      <c r="R89" s="69" t="s">
        <v>255</v>
      </c>
      <c r="S89" s="69" t="s">
        <v>255</v>
      </c>
      <c r="T89" s="69"/>
      <c r="U89" s="69"/>
      <c r="V89" s="69"/>
      <c r="W89" s="69"/>
      <c r="X89" s="118"/>
      <c r="Y89" s="118" t="s">
        <v>255</v>
      </c>
      <c r="Z89" s="69"/>
      <c r="AA89" s="69"/>
      <c r="AB89" s="118"/>
      <c r="AC89" s="118"/>
      <c r="AD89" s="118"/>
      <c r="AE89" s="69" t="s">
        <v>183</v>
      </c>
      <c r="AF89" s="69" t="s">
        <v>183</v>
      </c>
      <c r="AG89" s="69" t="s">
        <v>255</v>
      </c>
      <c r="AH89" s="118" t="s">
        <v>255</v>
      </c>
      <c r="AI89" s="123" t="b">
        <f t="shared" si="10"/>
        <v>0</v>
      </c>
      <c r="AJ89" s="167"/>
      <c r="AK89" s="167"/>
      <c r="AL89" s="167"/>
      <c r="AM89" s="167" t="s">
        <v>183</v>
      </c>
      <c r="AN89" s="170" t="str">
        <f t="shared" si="11"/>
        <v>別表1,2,3</v>
      </c>
      <c r="AO89" s="167"/>
    </row>
    <row r="90" spans="1:41" ht="360">
      <c r="A90" s="52"/>
      <c r="B90" s="58"/>
      <c r="C90" s="71" t="s">
        <v>1295</v>
      </c>
      <c r="D90" s="71" t="s">
        <v>462</v>
      </c>
      <c r="E90" s="91" t="str">
        <f>'インフラ(自社DC)'!E87</f>
        <v>構築対象の端末について、端末間の通信を業務要件に基づいて必要最低限に制限、または遮断しているか。
攻撃者によりリモートコントロールされたユーザ端末から、周囲のユーザ端末へのファイル共有機能を悪用した内部侵害拡大を防止する。
ファイル共有が業務上必要な場合は監視を強化し、不正なファイル共有機能の利用を検知する。
ユーザ端末間の通信を制限する代表例は以下のようなものがある。
・Active Directoryのグループポリシー等を利用してファイル共有機能を停止するとともに、ユーザーによるファイル共有の新規作成を禁止する。
・パーソナルファイアウォール等のアクセス制御機能を用いて、ユーザ端末間の通信を遮断し、ウィルス定義ファイルやセキュリティパッチ自動配信等の運用管理に必要な通信のみ受付ける設定とする。
・ユーザー端末相互間において445/tcp、NetBIOS 137, 139での通信を禁止する、SMB v1（SMB 1.0/CIFSファイル共有）を無効化する。</v>
      </c>
      <c r="F90" s="99" t="s">
        <v>1199</v>
      </c>
      <c r="G90" s="92" t="s">
        <v>254</v>
      </c>
      <c r="H90" s="61"/>
      <c r="I90" s="107"/>
      <c r="J90" s="60"/>
      <c r="K90" s="60"/>
      <c r="L90" s="60"/>
      <c r="M90" s="123"/>
      <c r="N90" s="243"/>
      <c r="O90" s="111" cm="1">
        <f t="array" ref="O90">IF(AI90=TRUE,_xlfn.IFS(M90=1,2,M90="",IF(N90="",1,2)),0)</f>
        <v>0</v>
      </c>
      <c r="P90" s="69" t="s">
        <v>255</v>
      </c>
      <c r="Q90" s="69" t="s">
        <v>255</v>
      </c>
      <c r="R90" s="69" t="s">
        <v>255</v>
      </c>
      <c r="S90" s="69" t="s">
        <v>255</v>
      </c>
      <c r="T90" s="69"/>
      <c r="U90" s="69"/>
      <c r="V90" s="69"/>
      <c r="W90" s="69"/>
      <c r="X90" s="118"/>
      <c r="Y90" s="118" t="s">
        <v>255</v>
      </c>
      <c r="Z90" s="69"/>
      <c r="AA90" s="69"/>
      <c r="AB90" s="118"/>
      <c r="AC90" s="118"/>
      <c r="AD90" s="118"/>
      <c r="AE90" s="69" t="s">
        <v>183</v>
      </c>
      <c r="AF90" s="69" t="s">
        <v>183</v>
      </c>
      <c r="AG90" s="69" t="s">
        <v>255</v>
      </c>
      <c r="AH90" s="118" t="s">
        <v>255</v>
      </c>
      <c r="AI90" s="123" t="b">
        <f t="shared" si="10"/>
        <v>0</v>
      </c>
      <c r="AJ90" s="167"/>
      <c r="AK90" s="167" t="s">
        <v>183</v>
      </c>
      <c r="AL90" s="167"/>
      <c r="AM90" s="167"/>
      <c r="AN90" s="170" t="str">
        <f t="shared" si="11"/>
        <v>マルウェア/</v>
      </c>
      <c r="AO90" s="167"/>
    </row>
    <row r="91" spans="1:41" ht="90">
      <c r="A91" s="52"/>
      <c r="B91" s="58"/>
      <c r="C91" s="71" t="s">
        <v>1296</v>
      </c>
      <c r="D91" s="71" t="s">
        <v>855</v>
      </c>
      <c r="E91" s="91" t="str">
        <f>'インフラ(自社DC)'!E88</f>
        <v>構築対象の端末について、端末内に本番データを保存できないようにしているか
保存する必要がある場合は、暗号化および外部媒体への書き出しを制御をしているか
また、上記暗号化に使用した暗号鍵は耐タンパー性を有する暗号モジュールへ格納すること。</v>
      </c>
      <c r="F91" s="99" t="s">
        <v>1151</v>
      </c>
      <c r="G91" s="92" t="s">
        <v>254</v>
      </c>
      <c r="H91" s="61"/>
      <c r="I91" s="107"/>
      <c r="J91" s="60"/>
      <c r="K91" s="60"/>
      <c r="L91" s="60"/>
      <c r="M91" s="123"/>
      <c r="N91" s="243"/>
      <c r="O91" s="111" cm="1">
        <f t="array" ref="O91">IF(AI91=TRUE,_xlfn.IFS(M91=1,2,M91="",IF(N91="",1,2)),0)</f>
        <v>0</v>
      </c>
      <c r="P91" s="69" t="s">
        <v>255</v>
      </c>
      <c r="Q91" s="69" t="s">
        <v>255</v>
      </c>
      <c r="R91" s="69" t="s">
        <v>255</v>
      </c>
      <c r="S91" s="69" t="s">
        <v>255</v>
      </c>
      <c r="T91" s="69"/>
      <c r="U91" s="69"/>
      <c r="V91" s="69"/>
      <c r="W91" s="69"/>
      <c r="X91" s="118"/>
      <c r="Y91" s="118" t="s">
        <v>255</v>
      </c>
      <c r="Z91" s="69"/>
      <c r="AA91" s="69"/>
      <c r="AB91" s="118"/>
      <c r="AC91" s="118"/>
      <c r="AD91" s="118"/>
      <c r="AE91" s="69" t="s">
        <v>183</v>
      </c>
      <c r="AF91" s="69" t="s">
        <v>183</v>
      </c>
      <c r="AG91" s="69" t="s">
        <v>255</v>
      </c>
      <c r="AH91" s="118" t="s">
        <v>255</v>
      </c>
      <c r="AI91" s="123" t="b">
        <f t="shared" si="10"/>
        <v>0</v>
      </c>
      <c r="AJ91" s="167" t="s">
        <v>183</v>
      </c>
      <c r="AK91" s="167" t="s">
        <v>183</v>
      </c>
      <c r="AL91" s="167"/>
      <c r="AM91" s="167" t="s">
        <v>183</v>
      </c>
      <c r="AN91" s="170" t="str">
        <f t="shared" si="11"/>
        <v>セキュリティ管理/マルウェア/別表1,2,3</v>
      </c>
      <c r="AO91" s="167"/>
    </row>
    <row r="92" spans="1:41" ht="202.5">
      <c r="A92" s="52"/>
      <c r="B92" s="58"/>
      <c r="C92" s="71" t="s">
        <v>1297</v>
      </c>
      <c r="D92" s="71" t="s">
        <v>859</v>
      </c>
      <c r="E92" s="91" t="str">
        <f>'インフラ(自社DC)'!E90</f>
        <v>構築対象の端末はＵＳＢポートの利用を制限し、外部媒体を使用できない様にしているか（Windows PCに対するスマートフォン等のUSB接続対策を含む）
例外的に外部媒体の利用を認める端末を用意する場合は、以下の通り対応しているか。
　・外部媒体接続時の自動再生機能を停止
　・（外部媒体に書き出しを行う場合）通常の運用端末や業務端末とは別に書き出し用の端末を用意し、許可された利用者および外部媒体にのみに書き出しを制限するツールや仕組みを導入するとともに、自動的に暗号化を行う</v>
      </c>
      <c r="F92" s="99" t="s">
        <v>1151</v>
      </c>
      <c r="G92" s="92" t="s">
        <v>254</v>
      </c>
      <c r="H92" s="61"/>
      <c r="I92" s="107"/>
      <c r="J92" s="60"/>
      <c r="K92" s="60"/>
      <c r="L92" s="60"/>
      <c r="M92" s="123"/>
      <c r="N92" s="243"/>
      <c r="O92" s="111" cm="1">
        <f t="array" ref="O92">IF(AI92=TRUE,_xlfn.IFS(M92=1,2,M92="",IF(N92="",1,2)),0)</f>
        <v>0</v>
      </c>
      <c r="P92" s="69" t="s">
        <v>255</v>
      </c>
      <c r="Q92" s="69" t="s">
        <v>255</v>
      </c>
      <c r="R92" s="69" t="s">
        <v>255</v>
      </c>
      <c r="S92" s="69" t="s">
        <v>255</v>
      </c>
      <c r="T92" s="69"/>
      <c r="U92" s="69"/>
      <c r="V92" s="69"/>
      <c r="W92" s="69"/>
      <c r="X92" s="118"/>
      <c r="Y92" s="118" t="s">
        <v>255</v>
      </c>
      <c r="Z92" s="69"/>
      <c r="AA92" s="69"/>
      <c r="AB92" s="118"/>
      <c r="AC92" s="118"/>
      <c r="AD92" s="118"/>
      <c r="AE92" s="69" t="s">
        <v>183</v>
      </c>
      <c r="AF92" s="69" t="s">
        <v>183</v>
      </c>
      <c r="AG92" s="69" t="s">
        <v>255</v>
      </c>
      <c r="AH92" s="118" t="s">
        <v>255</v>
      </c>
      <c r="AI92" s="123" t="b">
        <f t="shared" si="10"/>
        <v>0</v>
      </c>
      <c r="AJ92" s="167"/>
      <c r="AK92" s="167" t="s">
        <v>183</v>
      </c>
      <c r="AL92" s="167"/>
      <c r="AM92" s="167" t="s">
        <v>183</v>
      </c>
      <c r="AN92" s="170" t="str">
        <f t="shared" ref="AN92" si="12">IF(AJ92&lt;&gt;"","セキュリティ管理/","")&amp;IF(AK92&lt;&gt;"","マルウェア/","")&amp;IF(AL92&lt;&gt;"","クラウド/","")&amp;IF(AM92&lt;&gt;"","別表1,2,3","")</f>
        <v>マルウェア/別表1,2,3</v>
      </c>
      <c r="AO92" s="167" t="s">
        <v>1287</v>
      </c>
    </row>
    <row r="93" spans="1:41" ht="135">
      <c r="A93" s="52"/>
      <c r="B93" s="58"/>
      <c r="C93" s="71" t="s">
        <v>1298</v>
      </c>
      <c r="D93" s="71" t="s">
        <v>1202</v>
      </c>
      <c r="E93" s="91" t="str">
        <f>'インフラ(自社DC)'!E91</f>
        <v>構築対象の端末については、本番データの印刷が行えない様にシステム的な対策を行っているか。
本番データを扱わずに印刷を行う場合、あるいは現地法制・現地慣習などを踏まえて例外的に本番データの印刷を行わざるを得ない場合は、印刷ログを自動取得・保管しているか。
なお、東京海上/あんしん生命におけるひとり一台端末については、夜間(22-5時）または土日祝日の印刷時にリーダー系列者にレポート送付する機能を実装すること。</v>
      </c>
      <c r="F93" s="99" t="s">
        <v>1151</v>
      </c>
      <c r="G93" s="92" t="s">
        <v>254</v>
      </c>
      <c r="H93" s="61"/>
      <c r="I93" s="107"/>
      <c r="J93" s="60"/>
      <c r="K93" s="60"/>
      <c r="L93" s="60"/>
      <c r="M93" s="123"/>
      <c r="N93" s="243"/>
      <c r="O93" s="111" cm="1">
        <f t="array" ref="O93">IF(AI93=TRUE,_xlfn.IFS(M93=1,2,M93="",IF(N93="",1,2)),0)</f>
        <v>0</v>
      </c>
      <c r="P93" s="69" t="s">
        <v>255</v>
      </c>
      <c r="Q93" s="69" t="s">
        <v>255</v>
      </c>
      <c r="R93" s="69" t="s">
        <v>255</v>
      </c>
      <c r="S93" s="69" t="s">
        <v>255</v>
      </c>
      <c r="T93" s="69"/>
      <c r="U93" s="69"/>
      <c r="V93" s="69"/>
      <c r="W93" s="69"/>
      <c r="X93" s="118"/>
      <c r="Y93" s="118" t="s">
        <v>255</v>
      </c>
      <c r="Z93" s="69"/>
      <c r="AA93" s="69"/>
      <c r="AB93" s="118"/>
      <c r="AC93" s="118"/>
      <c r="AD93" s="118"/>
      <c r="AE93" s="69" t="s">
        <v>183</v>
      </c>
      <c r="AF93" s="69" t="s">
        <v>183</v>
      </c>
      <c r="AG93" s="69" t="s">
        <v>255</v>
      </c>
      <c r="AH93" s="118" t="s">
        <v>255</v>
      </c>
      <c r="AI93" s="123" t="b">
        <f t="shared" si="10"/>
        <v>0</v>
      </c>
      <c r="AJ93" s="167" t="s">
        <v>183</v>
      </c>
      <c r="AK93" s="167"/>
      <c r="AL93" s="167"/>
      <c r="AM93" s="167" t="s">
        <v>183</v>
      </c>
      <c r="AN93" s="170" t="str">
        <f t="shared" ref="AN93" si="13">IF(AJ93&lt;&gt;"","セキュリティ管理/","")&amp;IF(AK93&lt;&gt;"","マルウェア/","")&amp;IF(AL93&lt;&gt;"","クラウド/","")&amp;IF(AM93&lt;&gt;"","別表1,2,3","")</f>
        <v>セキュリティ管理/別表1,2,3</v>
      </c>
      <c r="AO93" s="264" t="s">
        <v>2213</v>
      </c>
    </row>
    <row r="94" spans="1:41" ht="157.5">
      <c r="A94" s="52"/>
      <c r="B94" s="58"/>
      <c r="C94" s="71" t="s">
        <v>1299</v>
      </c>
      <c r="D94" s="71" t="s">
        <v>863</v>
      </c>
      <c r="E94" s="91" t="str">
        <f>'インフラ(自社DC)'!E92</f>
        <v>構築対象の端末から社外へデータ提供する際は、電子メールもしくはデータへのアクセス制御（有効期限、メールアドレスに基づくアクセス制御）ができる電子ポストなどのサービスを使用する設計としているか。
また、電子メールは添付ファイルを自動的に暗号化する機能を実装し、暗号化パスワードは以下の対策を実施しているか。
・事前に送付先と取り決めたパスワードを使用する
・取り決めたパスワードはメール以外の方法で伝える</v>
      </c>
      <c r="F94" s="99" t="s">
        <v>1151</v>
      </c>
      <c r="G94" s="92" t="s">
        <v>254</v>
      </c>
      <c r="H94" s="61"/>
      <c r="I94" s="107"/>
      <c r="J94" s="60"/>
      <c r="K94" s="60"/>
      <c r="L94" s="60"/>
      <c r="M94" s="123"/>
      <c r="N94" s="243"/>
      <c r="O94" s="111" cm="1">
        <f t="array" ref="O94">IF(AI94=TRUE,_xlfn.IFS(M94=1,2,M94="",IF(N94="",1,2)),0)</f>
        <v>0</v>
      </c>
      <c r="P94" s="69" t="s">
        <v>255</v>
      </c>
      <c r="Q94" s="69" t="s">
        <v>255</v>
      </c>
      <c r="R94" s="69" t="s">
        <v>255</v>
      </c>
      <c r="S94" s="69" t="s">
        <v>255</v>
      </c>
      <c r="T94" s="69"/>
      <c r="U94" s="69"/>
      <c r="V94" s="69"/>
      <c r="W94" s="69"/>
      <c r="X94" s="118"/>
      <c r="Y94" s="118" t="s">
        <v>255</v>
      </c>
      <c r="Z94" s="69"/>
      <c r="AA94" s="69"/>
      <c r="AB94" s="118"/>
      <c r="AC94" s="118"/>
      <c r="AD94" s="118"/>
      <c r="AE94" s="69" t="s">
        <v>183</v>
      </c>
      <c r="AF94" s="69" t="s">
        <v>183</v>
      </c>
      <c r="AG94" s="69" t="s">
        <v>255</v>
      </c>
      <c r="AH94" s="118" t="s">
        <v>255</v>
      </c>
      <c r="AI94" s="123" t="b">
        <f t="shared" si="10"/>
        <v>0</v>
      </c>
      <c r="AJ94" s="167"/>
      <c r="AK94" s="167"/>
      <c r="AL94" s="167"/>
      <c r="AM94" s="167" t="s">
        <v>183</v>
      </c>
      <c r="AN94" s="170" t="str">
        <f t="shared" ref="AN94" si="14">IF(AJ94&lt;&gt;"","セキュリティ管理/","")&amp;IF(AK94&lt;&gt;"","マルウェア/","")&amp;IF(AL94&lt;&gt;"","クラウド/","")&amp;IF(AM94&lt;&gt;"","別表1,2,3","")</f>
        <v>別表1,2,3</v>
      </c>
      <c r="AO94" s="264" t="s">
        <v>1289</v>
      </c>
    </row>
    <row r="95" spans="1:41" ht="135">
      <c r="A95" s="52"/>
      <c r="B95" s="58"/>
      <c r="C95" s="71" t="s">
        <v>1300</v>
      </c>
      <c r="D95" s="71" t="s">
        <v>867</v>
      </c>
      <c r="E95" s="91" t="str">
        <f>'インフラ(自社DC)'!E93</f>
        <v>構築対象の端末で使用するアカウントの権限を以下のように最小化しているか。
・ユーザー端末で使用するアカウントはDomain Usersグループに登録し（一般ユーザー権限とし）、管理者権限を付与しない。
・ユーザー端末のメンテナンスを行う場合は、Operatorsグループに登録したアカウント（ローカル管理者権限）を使用する。</v>
      </c>
      <c r="F95" s="99" t="s">
        <v>1151</v>
      </c>
      <c r="G95" s="92" t="s">
        <v>254</v>
      </c>
      <c r="H95" s="61"/>
      <c r="I95" s="107"/>
      <c r="J95" s="60"/>
      <c r="K95" s="60"/>
      <c r="L95" s="60"/>
      <c r="M95" s="123"/>
      <c r="N95" s="243"/>
      <c r="O95" s="111" cm="1">
        <f t="array" ref="O95">IF(AI95=TRUE,_xlfn.IFS(M95=1,2,M95="",IF(N95="",1,2)),0)</f>
        <v>0</v>
      </c>
      <c r="P95" s="69" t="s">
        <v>255</v>
      </c>
      <c r="Q95" s="69" t="s">
        <v>255</v>
      </c>
      <c r="R95" s="69" t="s">
        <v>255</v>
      </c>
      <c r="S95" s="69" t="s">
        <v>255</v>
      </c>
      <c r="T95" s="69"/>
      <c r="U95" s="69"/>
      <c r="V95" s="69"/>
      <c r="W95" s="69"/>
      <c r="X95" s="118"/>
      <c r="Y95" s="118" t="s">
        <v>255</v>
      </c>
      <c r="Z95" s="69"/>
      <c r="AA95" s="69"/>
      <c r="AB95" s="118"/>
      <c r="AC95" s="118"/>
      <c r="AD95" s="118"/>
      <c r="AE95" s="69" t="s">
        <v>183</v>
      </c>
      <c r="AF95" s="69" t="s">
        <v>183</v>
      </c>
      <c r="AG95" s="69" t="s">
        <v>255</v>
      </c>
      <c r="AH95" s="118" t="s">
        <v>255</v>
      </c>
      <c r="AI95" s="123" t="b">
        <f t="shared" si="10"/>
        <v>0</v>
      </c>
      <c r="AJ95" s="167"/>
      <c r="AK95" s="167" t="s">
        <v>183</v>
      </c>
      <c r="AL95" s="167"/>
      <c r="AM95" s="167"/>
      <c r="AN95" s="170" t="str">
        <f t="shared" si="11"/>
        <v>マルウェア/</v>
      </c>
      <c r="AO95" s="167"/>
    </row>
    <row r="96" spans="1:41" ht="180">
      <c r="A96" s="52"/>
      <c r="B96" s="58"/>
      <c r="C96" s="71" t="s">
        <v>2163</v>
      </c>
      <c r="D96" s="71" t="s">
        <v>870</v>
      </c>
      <c r="E96" s="91" t="str">
        <f>'インフラ(自社DC)'!E94</f>
        <v xml:space="preserve">構築対象のドメインの管理者アカウントを使用する業務を最小化しているか。
不用意な管理者アカウントの配布・拡散を防ぐため以下を実施する。
・ドメインの管理者アカウントは、普段使用するアカウントとは別に管理者専用のアカウントを割り当てる。
・当アカウントはドメインの管理者権限が必要となる業務に対してのみ許可する。
・当アカウントは特定の運用管理端末でのみ使用する。
</v>
      </c>
      <c r="F96" s="99" t="s">
        <v>1151</v>
      </c>
      <c r="G96" s="92" t="s">
        <v>254</v>
      </c>
      <c r="H96" s="61"/>
      <c r="I96" s="107"/>
      <c r="J96" s="60"/>
      <c r="K96" s="60"/>
      <c r="L96" s="60"/>
      <c r="M96" s="123"/>
      <c r="N96" s="243"/>
      <c r="O96" s="111" cm="1">
        <f t="array" ref="O96">IF(AI96=TRUE,_xlfn.IFS(M96=1,2,M96="",IF(N96="",1,2)),0)</f>
        <v>0</v>
      </c>
      <c r="P96" s="69" t="s">
        <v>255</v>
      </c>
      <c r="Q96" s="69" t="s">
        <v>255</v>
      </c>
      <c r="R96" s="69" t="s">
        <v>255</v>
      </c>
      <c r="S96" s="69" t="s">
        <v>255</v>
      </c>
      <c r="T96" s="69"/>
      <c r="U96" s="69"/>
      <c r="V96" s="69"/>
      <c r="W96" s="69"/>
      <c r="X96" s="118"/>
      <c r="Y96" s="118" t="s">
        <v>255</v>
      </c>
      <c r="Z96" s="69"/>
      <c r="AA96" s="69"/>
      <c r="AB96" s="118"/>
      <c r="AC96" s="118"/>
      <c r="AD96" s="118"/>
      <c r="AE96" s="69" t="s">
        <v>183</v>
      </c>
      <c r="AF96" s="69" t="s">
        <v>183</v>
      </c>
      <c r="AG96" s="69" t="s">
        <v>255</v>
      </c>
      <c r="AH96" s="118" t="s">
        <v>255</v>
      </c>
      <c r="AI96" s="123" t="b">
        <f t="shared" si="10"/>
        <v>0</v>
      </c>
      <c r="AJ96" s="167"/>
      <c r="AK96" s="167" t="s">
        <v>183</v>
      </c>
      <c r="AL96" s="167"/>
      <c r="AM96" s="167" t="s">
        <v>183</v>
      </c>
      <c r="AN96" s="170" t="str">
        <f t="shared" si="11"/>
        <v>マルウェア/別表1,2,3</v>
      </c>
      <c r="AO96" s="167"/>
    </row>
    <row r="97" spans="1:41" ht="202.5">
      <c r="A97" s="52"/>
      <c r="B97" s="58"/>
      <c r="C97" s="71" t="s">
        <v>2164</v>
      </c>
      <c r="D97" s="71" t="s">
        <v>872</v>
      </c>
      <c r="E97" s="91" t="str">
        <f>'インフラ(自社DC)'!E95</f>
        <v xml:space="preserve">構築対象の端末が不特定のインターネットアクセスやメール送受信を行う場合、その出入口の経路において、IPS/IDSを用いて以下の対策を実装しているか。
・不正コードの検知と遮断、およびモニタリング
・アウトバウンドの不正通信の検知と遮断状、およびモニタリング
（回答で「YES」を選択した場合は、下記のうち該当する番号を備考欄に記入する。）
1.対策、モニタリング共に実施している
2.対策はしていないがモニタリングは実施している
</v>
      </c>
      <c r="F97" s="99" t="s">
        <v>1151</v>
      </c>
      <c r="G97" s="92" t="s">
        <v>254</v>
      </c>
      <c r="H97" s="61"/>
      <c r="I97" s="107"/>
      <c r="J97" s="60"/>
      <c r="K97" s="60"/>
      <c r="L97" s="60"/>
      <c r="M97" s="123"/>
      <c r="N97" s="243"/>
      <c r="O97" s="111" cm="1">
        <f t="array" ref="O97">IF(AI97=TRUE,_xlfn.IFS(M97=1,2,M97="",IF(N97="",1,2)),0)</f>
        <v>0</v>
      </c>
      <c r="P97" s="69" t="s">
        <v>255</v>
      </c>
      <c r="Q97" s="69" t="s">
        <v>255</v>
      </c>
      <c r="R97" s="69" t="s">
        <v>255</v>
      </c>
      <c r="S97" s="69" t="s">
        <v>255</v>
      </c>
      <c r="T97" s="69"/>
      <c r="U97" s="69"/>
      <c r="V97" s="69"/>
      <c r="W97" s="69"/>
      <c r="X97" s="118"/>
      <c r="Y97" s="118" t="s">
        <v>255</v>
      </c>
      <c r="Z97" s="69"/>
      <c r="AA97" s="69"/>
      <c r="AB97" s="118"/>
      <c r="AC97" s="118"/>
      <c r="AD97" s="118"/>
      <c r="AE97" s="69" t="s">
        <v>183</v>
      </c>
      <c r="AF97" s="69" t="s">
        <v>183</v>
      </c>
      <c r="AG97" s="69" t="s">
        <v>255</v>
      </c>
      <c r="AH97" s="118" t="s">
        <v>255</v>
      </c>
      <c r="AI97" s="123" t="b">
        <f t="shared" si="10"/>
        <v>0</v>
      </c>
      <c r="AJ97" s="167"/>
      <c r="AK97" s="167" t="s">
        <v>183</v>
      </c>
      <c r="AL97" s="167"/>
      <c r="AM97" s="167"/>
      <c r="AN97" s="170" t="str">
        <f t="shared" si="11"/>
        <v>マルウェア/</v>
      </c>
      <c r="AO97" s="167" t="s">
        <v>1287</v>
      </c>
    </row>
    <row r="98" spans="1:41" ht="135">
      <c r="A98" s="52"/>
      <c r="B98" s="58"/>
      <c r="C98" s="71" t="s">
        <v>2165</v>
      </c>
      <c r="D98" s="71" t="s">
        <v>874</v>
      </c>
      <c r="E98" s="91" t="str">
        <f>'インフラ(自社DC)'!E96</f>
        <v>構築対象の端末が不特定のインターネットアクセスや外部からのメール受信を行う場合、EDRや振舞検知製品の導入や、NW上にIDS/IPS等を導入することにより、社内システムとのデータ送受信の内容をチェックしているか。
また、不正コードの実行や不審な通信が検知された場合に、検知内容や遮断状況に応じて必要な対策をとるための手順およびツールを準備しているか。</v>
      </c>
      <c r="F98" s="99" t="s">
        <v>1151</v>
      </c>
      <c r="G98" s="92" t="s">
        <v>254</v>
      </c>
      <c r="H98" s="61"/>
      <c r="I98" s="107"/>
      <c r="J98" s="60"/>
      <c r="K98" s="60"/>
      <c r="L98" s="60"/>
      <c r="M98" s="123"/>
      <c r="N98" s="243"/>
      <c r="O98" s="111" cm="1">
        <f t="array" ref="O98">IF(AI98=TRUE,_xlfn.IFS(M98=1,2,M98="",IF(N98="",1,2)),0)</f>
        <v>0</v>
      </c>
      <c r="P98" s="69" t="s">
        <v>255</v>
      </c>
      <c r="Q98" s="69" t="s">
        <v>255</v>
      </c>
      <c r="R98" s="69" t="s">
        <v>255</v>
      </c>
      <c r="S98" s="69" t="s">
        <v>255</v>
      </c>
      <c r="T98" s="69"/>
      <c r="U98" s="69"/>
      <c r="V98" s="69"/>
      <c r="W98" s="69"/>
      <c r="X98" s="118"/>
      <c r="Y98" s="118" t="s">
        <v>255</v>
      </c>
      <c r="Z98" s="69"/>
      <c r="AA98" s="69"/>
      <c r="AB98" s="118"/>
      <c r="AC98" s="118"/>
      <c r="AD98" s="118"/>
      <c r="AE98" s="69" t="s">
        <v>183</v>
      </c>
      <c r="AF98" s="69" t="s">
        <v>183</v>
      </c>
      <c r="AG98" s="69" t="s">
        <v>255</v>
      </c>
      <c r="AH98" s="118" t="s">
        <v>255</v>
      </c>
      <c r="AI98" s="123" t="b">
        <f t="shared" si="10"/>
        <v>0</v>
      </c>
      <c r="AJ98" s="167"/>
      <c r="AK98" s="167"/>
      <c r="AL98" s="167"/>
      <c r="AM98" s="167"/>
      <c r="AN98" s="170" t="str">
        <f t="shared" ref="AN98" si="15">IF(AJ98&lt;&gt;"","セキュリティ管理/","")&amp;IF(AK98&lt;&gt;"","マルウェア/","")&amp;IF(AL98&lt;&gt;"","クラウド/","")&amp;IF(AM98&lt;&gt;"","別表1,2,3","")</f>
        <v/>
      </c>
      <c r="AO98" s="167" t="s">
        <v>1287</v>
      </c>
    </row>
    <row r="99" spans="1:41" ht="157.5">
      <c r="A99" s="52"/>
      <c r="B99" s="58"/>
      <c r="C99" s="71" t="s">
        <v>2166</v>
      </c>
      <c r="D99" s="71" t="s">
        <v>876</v>
      </c>
      <c r="E99" s="91" t="str">
        <f>'インフラ(自社DC)'!E97</f>
        <v>構築対象の端末が不特定のインターネットアクセスや外部からのメール受信を行う場合、万が一不審ファイルをダウンロードしてしまった場合でも、不用意に実行されないための以下のような制限を行っているか。
・ 許可したプログラム・プロセスのみ実行可能とする。
・ PowerShellやWSH（Windows Scripting Host）を無効化して不必要なコマンドやスクリプトの実行をブロックする。</v>
      </c>
      <c r="F99" s="99" t="s">
        <v>1151</v>
      </c>
      <c r="G99" s="92" t="s">
        <v>254</v>
      </c>
      <c r="H99" s="61"/>
      <c r="I99" s="107"/>
      <c r="J99" s="60"/>
      <c r="K99" s="60"/>
      <c r="L99" s="60"/>
      <c r="M99" s="123"/>
      <c r="N99" s="243"/>
      <c r="O99" s="111" cm="1">
        <f t="array" ref="O99">IF(AI99=TRUE,_xlfn.IFS(M99=1,2,M99="",IF(N99="",1,2)),0)</f>
        <v>0</v>
      </c>
      <c r="P99" s="69" t="s">
        <v>255</v>
      </c>
      <c r="Q99" s="69" t="s">
        <v>255</v>
      </c>
      <c r="R99" s="69" t="s">
        <v>255</v>
      </c>
      <c r="S99" s="69" t="s">
        <v>255</v>
      </c>
      <c r="T99" s="69"/>
      <c r="U99" s="69"/>
      <c r="V99" s="69"/>
      <c r="W99" s="69"/>
      <c r="X99" s="118"/>
      <c r="Y99" s="118" t="s">
        <v>255</v>
      </c>
      <c r="Z99" s="69"/>
      <c r="AA99" s="69"/>
      <c r="AB99" s="118"/>
      <c r="AC99" s="118"/>
      <c r="AD99" s="118"/>
      <c r="AE99" s="69" t="s">
        <v>183</v>
      </c>
      <c r="AF99" s="69" t="s">
        <v>183</v>
      </c>
      <c r="AG99" s="69" t="s">
        <v>255</v>
      </c>
      <c r="AH99" s="118" t="s">
        <v>255</v>
      </c>
      <c r="AI99" s="123" t="b">
        <f t="shared" si="10"/>
        <v>0</v>
      </c>
      <c r="AJ99" s="167"/>
      <c r="AK99" s="167"/>
      <c r="AL99" s="167"/>
      <c r="AM99" s="167"/>
      <c r="AN99" s="170" t="str">
        <f t="shared" ref="AN99" si="16">IF(AJ99&lt;&gt;"","セキュリティ管理/","")&amp;IF(AK99&lt;&gt;"","マルウェア/","")&amp;IF(AL99&lt;&gt;"","クラウド/","")&amp;IF(AM99&lt;&gt;"","別表1,2,3","")</f>
        <v/>
      </c>
      <c r="AO99" s="167" t="s">
        <v>1287</v>
      </c>
    </row>
    <row r="100" spans="1:41" ht="135">
      <c r="A100" s="52"/>
      <c r="B100" s="58"/>
      <c r="C100" s="71" t="s">
        <v>2167</v>
      </c>
      <c r="D100" s="71" t="s">
        <v>879</v>
      </c>
      <c r="E100" s="91" t="str">
        <f>'インフラ(自社DC)'!E98</f>
        <v>構築対象の端末が不特定のインターネットアクセスや外部からのメール受信を行う場合、以下の条件をもとに端末内のファイルの保持条項や不正なアクセス履歴の有無を調べるための仕組み(例えばEDRなど)を構築しているか。
・任意のハッシュ値やファイル名をキーに、保持状況を調査する
・任意のURLやIPアドレスをキーに、アクセス履歴を調査する</v>
      </c>
      <c r="F100" s="99" t="s">
        <v>1151</v>
      </c>
      <c r="G100" s="92" t="s">
        <v>254</v>
      </c>
      <c r="H100" s="61"/>
      <c r="I100" s="107"/>
      <c r="J100" s="60"/>
      <c r="K100" s="60"/>
      <c r="L100" s="60"/>
      <c r="M100" s="123"/>
      <c r="N100" s="243"/>
      <c r="O100" s="111" cm="1">
        <f t="array" ref="O100">IF(AI100=TRUE,_xlfn.IFS(M100=1,2,M100="",IF(N100="",1,2)),0)</f>
        <v>0</v>
      </c>
      <c r="P100" s="69" t="s">
        <v>255</v>
      </c>
      <c r="Q100" s="69" t="s">
        <v>255</v>
      </c>
      <c r="R100" s="69" t="s">
        <v>255</v>
      </c>
      <c r="S100" s="69" t="s">
        <v>255</v>
      </c>
      <c r="T100" s="69"/>
      <c r="U100" s="69"/>
      <c r="V100" s="69"/>
      <c r="W100" s="69"/>
      <c r="X100" s="118"/>
      <c r="Y100" s="118" t="s">
        <v>255</v>
      </c>
      <c r="Z100" s="69"/>
      <c r="AA100" s="69"/>
      <c r="AB100" s="118"/>
      <c r="AC100" s="118"/>
      <c r="AD100" s="118"/>
      <c r="AE100" s="69" t="s">
        <v>183</v>
      </c>
      <c r="AF100" s="69" t="s">
        <v>183</v>
      </c>
      <c r="AG100" s="69" t="s">
        <v>255</v>
      </c>
      <c r="AH100" s="118" t="s">
        <v>255</v>
      </c>
      <c r="AI100" s="123" t="b">
        <f t="shared" si="10"/>
        <v>0</v>
      </c>
      <c r="AJ100" s="167"/>
      <c r="AK100" s="167"/>
      <c r="AL100" s="167"/>
      <c r="AM100" s="167"/>
      <c r="AN100" s="170" t="str">
        <f t="shared" ref="AN100" si="17">IF(AJ100&lt;&gt;"","セキュリティ管理/","")&amp;IF(AK100&lt;&gt;"","マルウェア/","")&amp;IF(AL100&lt;&gt;"","クラウド/","")&amp;IF(AM100&lt;&gt;"","別表1,2,3","")</f>
        <v/>
      </c>
      <c r="AO100" s="167" t="s">
        <v>1287</v>
      </c>
    </row>
    <row r="101" spans="1:41" ht="45">
      <c r="A101" s="52"/>
      <c r="B101" s="58"/>
      <c r="C101" s="71" t="s">
        <v>2168</v>
      </c>
      <c r="D101" s="71" t="s">
        <v>882</v>
      </c>
      <c r="E101" s="91" t="str">
        <f>'インフラ(自社DC)'!E99</f>
        <v>構築対象の端末が不特定のインターネットアクセスや外部からのメール受信を行う場合、本番サーバのメンテナンス用ポートへの通信（SSHやRDP、FTPなど）を不可としているか</v>
      </c>
      <c r="F101" s="99" t="s">
        <v>1151</v>
      </c>
      <c r="G101" s="92" t="s">
        <v>254</v>
      </c>
      <c r="H101" s="61"/>
      <c r="I101" s="107"/>
      <c r="J101" s="60"/>
      <c r="K101" s="60"/>
      <c r="L101" s="60"/>
      <c r="M101" s="123"/>
      <c r="N101" s="243"/>
      <c r="O101" s="111" cm="1">
        <f t="array" ref="O101">IF(AI101=TRUE,_xlfn.IFS(M101=1,2,M101="",IF(N101="",1,2)),0)</f>
        <v>0</v>
      </c>
      <c r="P101" s="69" t="s">
        <v>255</v>
      </c>
      <c r="Q101" s="69" t="s">
        <v>255</v>
      </c>
      <c r="R101" s="69" t="s">
        <v>255</v>
      </c>
      <c r="S101" s="69" t="s">
        <v>255</v>
      </c>
      <c r="T101" s="69"/>
      <c r="U101" s="69"/>
      <c r="V101" s="69"/>
      <c r="W101" s="69"/>
      <c r="X101" s="118"/>
      <c r="Y101" s="118" t="s">
        <v>255</v>
      </c>
      <c r="Z101" s="69"/>
      <c r="AA101" s="69"/>
      <c r="AB101" s="118"/>
      <c r="AC101" s="118"/>
      <c r="AD101" s="118"/>
      <c r="AE101" s="69" t="s">
        <v>183</v>
      </c>
      <c r="AF101" s="69" t="s">
        <v>183</v>
      </c>
      <c r="AG101" s="69" t="s">
        <v>255</v>
      </c>
      <c r="AH101" s="118" t="s">
        <v>255</v>
      </c>
      <c r="AI101" s="123" t="b">
        <f t="shared" si="10"/>
        <v>0</v>
      </c>
      <c r="AJ101" s="167"/>
      <c r="AK101" s="167"/>
      <c r="AL101" s="167"/>
      <c r="AM101" s="167"/>
      <c r="AN101" s="170" t="str">
        <f t="shared" ref="AN101" si="18">IF(AJ101&lt;&gt;"","セキュリティ管理/","")&amp;IF(AK101&lt;&gt;"","マルウェア/","")&amp;IF(AL101&lt;&gt;"","クラウド/","")&amp;IF(AM101&lt;&gt;"","別表1,2,3","")</f>
        <v/>
      </c>
      <c r="AO101" s="167" t="s">
        <v>1287</v>
      </c>
    </row>
    <row r="102" spans="1:41" ht="157.5">
      <c r="A102" s="52"/>
      <c r="B102" s="58"/>
      <c r="C102" s="71" t="s">
        <v>2169</v>
      </c>
      <c r="D102" s="71" t="s">
        <v>885</v>
      </c>
      <c r="E102" s="91" t="str">
        <f>'インフラ(自社DC)'!E100</f>
        <v xml:space="preserve">構築対象の端末が不特定のインターネットアクセスや外部からのメール受信を行う場合、以下を実施しているか。
・インターネット閲覧環境の分離(仮想ブラウザ等）
・ブラウザのプロキシ設定の有効化
・POSTサイズ制限、アクセスログの取得
</v>
      </c>
      <c r="F102" s="99" t="s">
        <v>1151</v>
      </c>
      <c r="G102" s="92" t="s">
        <v>254</v>
      </c>
      <c r="H102" s="61"/>
      <c r="I102" s="107"/>
      <c r="J102" s="60"/>
      <c r="K102" s="60"/>
      <c r="L102" s="60"/>
      <c r="M102" s="123"/>
      <c r="N102" s="243"/>
      <c r="O102" s="111" cm="1">
        <f t="array" ref="O102">IF(AI102=TRUE,_xlfn.IFS(M102=1,2,M102="",IF(N102="",1,2)),0)</f>
        <v>0</v>
      </c>
      <c r="P102" s="69" t="s">
        <v>255</v>
      </c>
      <c r="Q102" s="69" t="s">
        <v>255</v>
      </c>
      <c r="R102" s="69" t="s">
        <v>255</v>
      </c>
      <c r="S102" s="69" t="s">
        <v>255</v>
      </c>
      <c r="T102" s="69"/>
      <c r="U102" s="69"/>
      <c r="V102" s="69"/>
      <c r="W102" s="69"/>
      <c r="X102" s="118"/>
      <c r="Y102" s="118" t="s">
        <v>255</v>
      </c>
      <c r="Z102" s="69"/>
      <c r="AA102" s="69"/>
      <c r="AB102" s="118"/>
      <c r="AC102" s="118"/>
      <c r="AD102" s="118"/>
      <c r="AE102" s="69" t="s">
        <v>183</v>
      </c>
      <c r="AF102" s="69" t="s">
        <v>183</v>
      </c>
      <c r="AG102" s="69" t="s">
        <v>255</v>
      </c>
      <c r="AH102" s="118" t="s">
        <v>255</v>
      </c>
      <c r="AI102" s="123" t="b">
        <f t="shared" si="10"/>
        <v>0</v>
      </c>
      <c r="AJ102" s="167"/>
      <c r="AK102" s="167"/>
      <c r="AL102" s="167"/>
      <c r="AM102" s="167" t="s">
        <v>183</v>
      </c>
      <c r="AN102" s="170" t="str">
        <f t="shared" ref="AN102" si="19">IF(AJ102&lt;&gt;"","セキュリティ管理/","")&amp;IF(AK102&lt;&gt;"","マルウェア/","")&amp;IF(AL102&lt;&gt;"","クラウド/","")&amp;IF(AM102&lt;&gt;"","別表1,2,3","")</f>
        <v>別表1,2,3</v>
      </c>
      <c r="AO102" s="264" t="s">
        <v>2213</v>
      </c>
    </row>
    <row r="103" spans="1:41" ht="180">
      <c r="A103" s="52"/>
      <c r="B103" s="58"/>
      <c r="C103" s="71" t="s">
        <v>2170</v>
      </c>
      <c r="D103" s="71" t="s">
        <v>1211</v>
      </c>
      <c r="E103" s="91" t="str">
        <f>'インフラ(自社DC)'!E101</f>
        <v xml:space="preserve">不特定からのメールを受信、かつ、不特定のインターネットへ直接アクセス可能な端末を構築する場合、不正なリンクが貼られたメールがフィルタリングをすり抜けた場合に備え、不正サイトへのアクセスを抑止できるようになっているか
不正サイトへの対策には以下のようなものがある。
・外部サイトへのURLリンクを一部加工する等のメール無害化を行う。
・仮想ブラウザにより端末とインターネットを分離する。
</v>
      </c>
      <c r="F103" s="99" t="s">
        <v>1151</v>
      </c>
      <c r="G103" s="92" t="s">
        <v>254</v>
      </c>
      <c r="H103" s="61"/>
      <c r="I103" s="107"/>
      <c r="J103" s="60"/>
      <c r="K103" s="60"/>
      <c r="L103" s="60"/>
      <c r="M103" s="123"/>
      <c r="N103" s="243"/>
      <c r="O103" s="111" cm="1">
        <f t="array" ref="O103">IF(AI103=TRUE,_xlfn.IFS(M103=1,2,M103="",IF(N103="",1,2)),0)</f>
        <v>0</v>
      </c>
      <c r="P103" s="69" t="s">
        <v>255</v>
      </c>
      <c r="Q103" s="69" t="s">
        <v>255</v>
      </c>
      <c r="R103" s="69" t="s">
        <v>255</v>
      </c>
      <c r="S103" s="69" t="s">
        <v>255</v>
      </c>
      <c r="T103" s="69"/>
      <c r="U103" s="69"/>
      <c r="V103" s="69"/>
      <c r="W103" s="69"/>
      <c r="X103" s="118"/>
      <c r="Y103" s="118" t="s">
        <v>255</v>
      </c>
      <c r="Z103" s="69"/>
      <c r="AA103" s="69"/>
      <c r="AB103" s="118"/>
      <c r="AC103" s="118"/>
      <c r="AD103" s="118"/>
      <c r="AE103" s="69" t="s">
        <v>183</v>
      </c>
      <c r="AF103" s="69" t="s">
        <v>183</v>
      </c>
      <c r="AG103" s="69" t="s">
        <v>255</v>
      </c>
      <c r="AH103" s="118" t="s">
        <v>255</v>
      </c>
      <c r="AI103" s="123" t="b">
        <f t="shared" si="10"/>
        <v>0</v>
      </c>
      <c r="AJ103" s="167"/>
      <c r="AK103" s="167"/>
      <c r="AL103" s="167"/>
      <c r="AM103" s="167"/>
      <c r="AN103" s="170" t="str">
        <f t="shared" ref="AN103" si="20">IF(AJ103&lt;&gt;"","セキュリティ管理/","")&amp;IF(AK103&lt;&gt;"","マルウェア/","")&amp;IF(AL103&lt;&gt;"","クラウド/","")&amp;IF(AM103&lt;&gt;"","別表1,2,3","")</f>
        <v/>
      </c>
      <c r="AO103" s="167" t="s">
        <v>1287</v>
      </c>
    </row>
    <row r="104" spans="1:41" ht="67.5">
      <c r="A104" s="52"/>
      <c r="B104" s="58"/>
      <c r="C104" s="71" t="s">
        <v>2171</v>
      </c>
      <c r="D104" s="71" t="s">
        <v>890</v>
      </c>
      <c r="E104" s="91" t="str">
        <f>'インフラ(自社DC)'!E103</f>
        <v>不特定からのメールを受信できるメール環境を構築する場合、あるいはメール受信を行う端末を構築する場合は、発信元のドメインやIPアドレス（特定のIPアドレス，海外等），メールの件名・本文に含まれるキーワード等の条件により、メールを遮断する機能を有しているか</v>
      </c>
      <c r="F104" s="99" t="s">
        <v>1151</v>
      </c>
      <c r="G104" s="92" t="s">
        <v>254</v>
      </c>
      <c r="H104" s="61"/>
      <c r="I104" s="107"/>
      <c r="J104" s="60"/>
      <c r="K104" s="60"/>
      <c r="L104" s="60"/>
      <c r="M104" s="123"/>
      <c r="N104" s="243"/>
      <c r="O104" s="111" cm="1">
        <f t="array" ref="O104">IF(AI104=TRUE,_xlfn.IFS(M104=1,2,M104="",IF(N104="",1,2)),0)</f>
        <v>0</v>
      </c>
      <c r="P104" s="69" t="s">
        <v>255</v>
      </c>
      <c r="Q104" s="69" t="s">
        <v>255</v>
      </c>
      <c r="R104" s="69" t="s">
        <v>255</v>
      </c>
      <c r="S104" s="69" t="s">
        <v>255</v>
      </c>
      <c r="T104" s="69"/>
      <c r="U104" s="69"/>
      <c r="V104" s="69"/>
      <c r="W104" s="69"/>
      <c r="X104" s="118"/>
      <c r="Y104" s="118" t="s">
        <v>255</v>
      </c>
      <c r="Z104" s="69"/>
      <c r="AA104" s="118" t="s">
        <v>255</v>
      </c>
      <c r="AB104" s="118"/>
      <c r="AC104" s="118"/>
      <c r="AD104" s="118"/>
      <c r="AE104" s="69" t="s">
        <v>183</v>
      </c>
      <c r="AF104" s="69" t="s">
        <v>183</v>
      </c>
      <c r="AG104" s="69" t="s">
        <v>255</v>
      </c>
      <c r="AH104" s="118" t="s">
        <v>255</v>
      </c>
      <c r="AI104" s="123" t="b">
        <f t="shared" si="10"/>
        <v>0</v>
      </c>
      <c r="AJ104" s="167"/>
      <c r="AK104" s="167" t="s">
        <v>183</v>
      </c>
      <c r="AL104" s="167"/>
      <c r="AM104" s="167"/>
      <c r="AN104" s="170" t="str">
        <f t="shared" si="11"/>
        <v>マルウェア/</v>
      </c>
      <c r="AO104" s="167" t="s">
        <v>1287</v>
      </c>
    </row>
    <row r="105" spans="1:41" ht="202.5">
      <c r="A105" s="52"/>
      <c r="B105" s="58"/>
      <c r="C105" s="71" t="s">
        <v>2172</v>
      </c>
      <c r="D105" s="71" t="s">
        <v>893</v>
      </c>
      <c r="E105" s="91" t="str">
        <f>'インフラ(自社DC)'!E104</f>
        <v>不特定からのメールを受信できるメール環境を構築する場合、あるいはメール受信を行う端末を構築する場合は、スパムメールや添付ファイルをフィルタリングし、実行形式の添付ファイルおよび実行形式のファイルを圧縮したものである場合はメールゲートウェイやメールサーバでドロップし、ユーザの手元に届かないようにしているか
（パスワード付き圧縮ファイル等、ファイル形式を技術的に判別できない場合を除く）
単体で実行される形式の添付ファイルは以下のようなものがある。
exe、bat、js、link、jar、chm、CMD、com、cpl、dll、hta、JSE、msc、ocx、pif、scr、sys、vbs、vbe、wsf、wsh等　</v>
      </c>
      <c r="F105" s="99" t="s">
        <v>1151</v>
      </c>
      <c r="G105" s="92" t="s">
        <v>254</v>
      </c>
      <c r="H105" s="61"/>
      <c r="I105" s="107"/>
      <c r="J105" s="60"/>
      <c r="K105" s="60"/>
      <c r="L105" s="60"/>
      <c r="M105" s="123"/>
      <c r="N105" s="243"/>
      <c r="O105" s="111" cm="1">
        <f t="array" ref="O105">IF(AI105=TRUE,_xlfn.IFS(M105=1,2,M105="",IF(N105="",1,2)),0)</f>
        <v>0</v>
      </c>
      <c r="P105" s="69" t="s">
        <v>255</v>
      </c>
      <c r="Q105" s="69" t="s">
        <v>255</v>
      </c>
      <c r="R105" s="69" t="s">
        <v>255</v>
      </c>
      <c r="S105" s="69" t="s">
        <v>255</v>
      </c>
      <c r="T105" s="69"/>
      <c r="U105" s="69"/>
      <c r="V105" s="69"/>
      <c r="W105" s="69"/>
      <c r="X105" s="118"/>
      <c r="Y105" s="118" t="s">
        <v>255</v>
      </c>
      <c r="Z105" s="69"/>
      <c r="AA105" s="118" t="s">
        <v>255</v>
      </c>
      <c r="AB105" s="118"/>
      <c r="AC105" s="118"/>
      <c r="AD105" s="118"/>
      <c r="AE105" s="69" t="s">
        <v>183</v>
      </c>
      <c r="AF105" s="69" t="s">
        <v>183</v>
      </c>
      <c r="AG105" s="69" t="s">
        <v>255</v>
      </c>
      <c r="AH105" s="118" t="s">
        <v>255</v>
      </c>
      <c r="AI105" s="123" t="b">
        <f t="shared" si="10"/>
        <v>0</v>
      </c>
      <c r="AJ105" s="167"/>
      <c r="AK105" s="167" t="s">
        <v>183</v>
      </c>
      <c r="AL105" s="167"/>
      <c r="AM105" s="167" t="s">
        <v>183</v>
      </c>
      <c r="AN105" s="170" t="str">
        <f t="shared" ref="AN105" si="21">IF(AJ105&lt;&gt;"","セキュリティ管理/","")&amp;IF(AK105&lt;&gt;"","マルウェア/","")&amp;IF(AL105&lt;&gt;"","クラウド/","")&amp;IF(AM105&lt;&gt;"","別表1,2,3","")</f>
        <v>マルウェア/別表1,2,3</v>
      </c>
      <c r="AO105" s="167" t="s">
        <v>1287</v>
      </c>
    </row>
    <row r="106" spans="1:41" ht="135">
      <c r="A106" s="52"/>
      <c r="B106" s="58"/>
      <c r="C106" s="71" t="s">
        <v>2173</v>
      </c>
      <c r="D106" s="71" t="s">
        <v>896</v>
      </c>
      <c r="E106" s="91" t="str">
        <f>'インフラ(自社DC)'!E110</f>
        <v>任意の添付ファイルを社外に送信できるメール環境を構築する場合、あるいは外部へのメール送信を行う端末を構築する場合は、重要情報検知システム等により、送信時に上司の承認を求める、もしくは写に上司を設定しなければ送信できない仕組みとし、管理者が不正な送付でないことをモニタリングしているか。
もし現地法制・現地慣習などを踏まえ、上記対策が実施できない場合は個別にITサービス管理部へ相談すること</v>
      </c>
      <c r="F106" s="99" t="s">
        <v>1151</v>
      </c>
      <c r="G106" s="92" t="s">
        <v>254</v>
      </c>
      <c r="H106" s="61"/>
      <c r="I106" s="107"/>
      <c r="J106" s="60"/>
      <c r="K106" s="60"/>
      <c r="L106" s="60"/>
      <c r="M106" s="123"/>
      <c r="N106" s="243"/>
      <c r="O106" s="111" cm="1">
        <f t="array" ref="O106">IF(AI106=TRUE,_xlfn.IFS(M106=1,2,M106="",IF(N106="",1,2)),0)</f>
        <v>0</v>
      </c>
      <c r="P106" s="69" t="s">
        <v>255</v>
      </c>
      <c r="Q106" s="69" t="s">
        <v>255</v>
      </c>
      <c r="R106" s="69" t="s">
        <v>255</v>
      </c>
      <c r="S106" s="69" t="s">
        <v>255</v>
      </c>
      <c r="T106" s="69"/>
      <c r="U106" s="69"/>
      <c r="V106" s="69"/>
      <c r="W106" s="69"/>
      <c r="X106" s="118"/>
      <c r="Y106" s="118" t="s">
        <v>255</v>
      </c>
      <c r="Z106" s="69"/>
      <c r="AA106" s="118" t="s">
        <v>255</v>
      </c>
      <c r="AB106" s="118"/>
      <c r="AC106" s="118"/>
      <c r="AD106" s="118"/>
      <c r="AE106" s="69" t="s">
        <v>183</v>
      </c>
      <c r="AF106" s="69" t="s">
        <v>183</v>
      </c>
      <c r="AG106" s="69" t="s">
        <v>255</v>
      </c>
      <c r="AH106" s="118" t="s">
        <v>255</v>
      </c>
      <c r="AI106" s="123" t="b">
        <f t="shared" si="10"/>
        <v>0</v>
      </c>
      <c r="AJ106" s="167"/>
      <c r="AK106" s="167"/>
      <c r="AL106" s="167"/>
      <c r="AM106" s="167" t="s">
        <v>183</v>
      </c>
      <c r="AN106" s="170" t="str">
        <f t="shared" ref="AN106" si="22">IF(AJ106&lt;&gt;"","セキュリティ管理/","")&amp;IF(AK106&lt;&gt;"","マルウェア/","")&amp;IF(AL106&lt;&gt;"","クラウド/","")&amp;IF(AM106&lt;&gt;"","別表1,2,3","")</f>
        <v>別表1,2,3</v>
      </c>
      <c r="AO106" s="167" t="s">
        <v>1287</v>
      </c>
    </row>
    <row r="107" spans="1:41" ht="202.5">
      <c r="A107" s="52"/>
      <c r="B107" s="58"/>
      <c r="C107" s="71" t="s">
        <v>2174</v>
      </c>
      <c r="D107" s="71" t="s">
        <v>899</v>
      </c>
      <c r="E107" s="91" t="str">
        <f>'インフラ(自社DC)'!E112</f>
        <v>構築対象のプロキシの認証機能を有効にし、インターネットへの通信について以下の要件を踏まえた上で認証を行うようにしているか
・プロキシは、ユーザ管理機能付またはディレクトリサービスと連携可能でユーザ単位で認証が可能になっているか。
・ユーザで認証する場合は、Basic認証ではなく、Digest認証やNTLM認証等の認証方式を採用しているか。
・端末やサーバで認証する場合は、証明書を登録したデバイス単位で認証が可能になっているか。</v>
      </c>
      <c r="F107" s="99" t="s">
        <v>1120</v>
      </c>
      <c r="G107" s="92" t="s">
        <v>254</v>
      </c>
      <c r="H107" s="61"/>
      <c r="I107" s="107"/>
      <c r="J107" s="60"/>
      <c r="K107" s="60"/>
      <c r="L107" s="60"/>
      <c r="M107" s="123"/>
      <c r="N107" s="243"/>
      <c r="O107" s="111" cm="1">
        <f t="array" ref="O107">IF(AI107=TRUE,_xlfn.IFS(M107=1,2,M107="",IF(N107="",1,2)),0)</f>
        <v>0</v>
      </c>
      <c r="P107" s="69" t="s">
        <v>255</v>
      </c>
      <c r="Q107" s="69" t="s">
        <v>183</v>
      </c>
      <c r="R107" s="69" t="s">
        <v>183</v>
      </c>
      <c r="S107" s="69" t="s">
        <v>183</v>
      </c>
      <c r="T107" s="69"/>
      <c r="U107" s="69"/>
      <c r="V107" s="69"/>
      <c r="W107" s="69"/>
      <c r="X107" s="118" t="s">
        <v>448</v>
      </c>
      <c r="Y107" s="69"/>
      <c r="Z107" s="118" t="s">
        <v>255</v>
      </c>
      <c r="AA107" s="69"/>
      <c r="AB107" s="118"/>
      <c r="AC107" s="118"/>
      <c r="AD107" s="118"/>
      <c r="AE107" s="69" t="s">
        <v>255</v>
      </c>
      <c r="AF107" s="69" t="s">
        <v>255</v>
      </c>
      <c r="AG107" s="69"/>
      <c r="AH107" s="118" t="s">
        <v>255</v>
      </c>
      <c r="AI107" s="123" t="b">
        <f t="shared" si="10"/>
        <v>0</v>
      </c>
      <c r="AJ107" s="167"/>
      <c r="AK107" s="167"/>
      <c r="AL107" s="167"/>
      <c r="AM107" s="167"/>
      <c r="AN107" s="170" t="str">
        <f t="shared" si="11"/>
        <v/>
      </c>
      <c r="AO107" s="167"/>
    </row>
    <row r="108" spans="1:41" ht="45">
      <c r="A108" s="52"/>
      <c r="B108" s="58"/>
      <c r="C108" s="71" t="s">
        <v>2175</v>
      </c>
      <c r="D108" s="71" t="s">
        <v>902</v>
      </c>
      <c r="E108" s="91" t="str">
        <f>'インフラ(自社DC)'!E113</f>
        <v>構築対象のプロキシにおいて一定時間操作が行われなかった場合のタイムアウトが設定されているか</v>
      </c>
      <c r="F108" s="99" t="s">
        <v>1120</v>
      </c>
      <c r="G108" s="92" t="s">
        <v>254</v>
      </c>
      <c r="H108" s="61"/>
      <c r="I108" s="107"/>
      <c r="J108" s="60"/>
      <c r="K108" s="60"/>
      <c r="L108" s="60"/>
      <c r="M108" s="123"/>
      <c r="N108" s="243"/>
      <c r="O108" s="111" cm="1">
        <f t="array" ref="O108">IF(AI108=TRUE,_xlfn.IFS(M108=1,2,M108="",IF(N108="",1,2)),0)</f>
        <v>0</v>
      </c>
      <c r="P108" s="69" t="s">
        <v>255</v>
      </c>
      <c r="Q108" s="69" t="s">
        <v>183</v>
      </c>
      <c r="R108" s="69" t="s">
        <v>183</v>
      </c>
      <c r="S108" s="69" t="s">
        <v>183</v>
      </c>
      <c r="T108" s="69"/>
      <c r="U108" s="69"/>
      <c r="V108" s="69"/>
      <c r="W108" s="69"/>
      <c r="X108" s="118" t="s">
        <v>448</v>
      </c>
      <c r="Y108" s="69"/>
      <c r="Z108" s="118" t="s">
        <v>255</v>
      </c>
      <c r="AA108" s="69"/>
      <c r="AB108" s="118"/>
      <c r="AC108" s="118"/>
      <c r="AD108" s="118"/>
      <c r="AE108" s="69" t="s">
        <v>255</v>
      </c>
      <c r="AF108" s="69" t="s">
        <v>255</v>
      </c>
      <c r="AG108" s="69"/>
      <c r="AH108" s="118" t="s">
        <v>255</v>
      </c>
      <c r="AI108" s="123" t="b">
        <f t="shared" si="10"/>
        <v>0</v>
      </c>
      <c r="AJ108" s="167"/>
      <c r="AK108" s="167"/>
      <c r="AL108" s="167"/>
      <c r="AM108" s="167"/>
      <c r="AN108" s="170" t="str">
        <f t="shared" si="11"/>
        <v/>
      </c>
      <c r="AO108" s="167"/>
    </row>
    <row r="109" spans="1:41">
      <c r="H109">
        <f>COUNTA(H10:H108)</f>
        <v>0</v>
      </c>
      <c r="O109" s="24">
        <f>COUNTIF(O10:O108,2)</f>
        <v>0</v>
      </c>
      <c r="AI109" s="24">
        <f>COUNTIF(AI10:AI108,TRUE)</f>
        <v>0</v>
      </c>
      <c r="AJ109" s="24"/>
      <c r="AK109" s="24"/>
      <c r="AL109" s="24"/>
      <c r="AM109" s="24"/>
      <c r="AN109" s="24"/>
    </row>
    <row r="110" spans="1:41">
      <c r="H110">
        <f>COUNTIF(H10:H108,インデックス!CJ185)</f>
        <v>0</v>
      </c>
      <c r="O110" s="24" cm="1">
        <f t="array" ref="O110">SUMPRODUCT((O10:O108=2)*($AN10:$AN108&lt;&gt;""))</f>
        <v>0</v>
      </c>
      <c r="AI110" s="24" cm="1">
        <f t="array" ref="AI110">SUMPRODUCT((AI10:AI108=TRUE)*($AN10:$AN108&lt;&gt;""))</f>
        <v>0</v>
      </c>
    </row>
    <row r="111" spans="1:41">
      <c r="H111" cm="1">
        <f t="array" ref="H111">SUMPRODUCT((H10:H108&lt;&gt;"")*(AN10:AN108&lt;&gt;""))</f>
        <v>0</v>
      </c>
    </row>
    <row r="112" spans="1:41">
      <c r="H112" cm="1">
        <f t="array" ref="H112">SUMPRODUCT((H10:H108=インデックス!$CJ$185)*(AN10:AN108&lt;&gt;""))</f>
        <v>0</v>
      </c>
    </row>
  </sheetData>
  <autoFilter ref="A7:AO108" xr:uid="{00000000-0009-0000-0000-00000A000000}"/>
  <mergeCells count="1">
    <mergeCell ref="M1:N2"/>
  </mergeCells>
  <phoneticPr fontId="7"/>
  <conditionalFormatting sqref="E10:I82 E84:I108">
    <cfRule type="expression" dxfId="91" priority="392">
      <formula>$AI10=FALSE</formula>
    </cfRule>
  </conditionalFormatting>
  <conditionalFormatting sqref="E83:I83">
    <cfRule type="expression" dxfId="90" priority="5">
      <formula>$AI83=FALSE</formula>
    </cfRule>
  </conditionalFormatting>
  <dataValidations count="1">
    <dataValidation type="list" allowBlank="1" showInputMessage="1" showErrorMessage="1" sqref="M8:M108" xr:uid="{00000000-0002-0000-0A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990C65CC-7DC0-4DF8-BEFC-E8A37006EAC0}">
            <xm:f>M$1=インデックス!$CJ$189</xm:f>
            <x14:dxf>
              <fill>
                <patternFill>
                  <bgColor theme="5"/>
                </patternFill>
              </fill>
            </x14:dxf>
          </x14:cfRule>
          <x14:cfRule type="expression" priority="9" id="{A42AF8E6-5294-4DAA-B720-B02E876D5573}">
            <xm:f>M$1=インデックス!$CJ$188</xm:f>
            <x14:dxf>
              <fill>
                <patternFill>
                  <bgColor theme="9"/>
                </patternFill>
              </fill>
            </x14:dxf>
          </x14:cfRule>
          <x14:cfRule type="expression" priority="10" id="{3E7A506E-2348-4399-85CE-B03A482D7E96}">
            <xm:f>M$1=インデックス!$CJ$187</xm:f>
            <x14:dxf>
              <fill>
                <patternFill>
                  <bgColor theme="4"/>
                </patternFill>
              </fill>
            </x14:dxf>
          </x14:cfRule>
          <xm:sqref>M1:N2</xm:sqref>
        </x14:conditionalFormatting>
        <x14:conditionalFormatting xmlns:xm="http://schemas.microsoft.com/office/excel/2006/main">
          <x14:cfRule type="expression" priority="1128" id="{C900EF8E-35B3-4A5D-835C-7FA8B25EFF95}">
            <xm:f>AND($AI10=TRUE,COUNTIF($H10,インデックス!$CJ$186),ISBLANK($I10))</xm:f>
            <x14:dxf>
              <fill>
                <patternFill>
                  <bgColor theme="5"/>
                </patternFill>
              </fill>
            </x14:dxf>
          </x14:cfRule>
          <x14:cfRule type="expression" priority="1129" id="{3C04D7C5-AF51-4B30-9AD2-62D8B21F8683}">
            <xm:f>AND($AI10=TRUE,$H10=インデックス!$CJ$184,ISBLANK($I10))</xm:f>
            <x14:dxf>
              <fill>
                <patternFill>
                  <bgColor theme="5"/>
                </patternFill>
              </fill>
            </x14:dxf>
          </x14:cfRule>
          <xm:sqref>I98:I108 I10:I96</xm:sqref>
        </x14:conditionalFormatting>
        <x14:conditionalFormatting xmlns:xm="http://schemas.microsoft.com/office/excel/2006/main">
          <x14:cfRule type="expression" priority="1146" id="{B32C1FDF-F1D4-43E5-903E-4D942EF5BDA6}">
            <xm:f>AND(AI52=TRUE,COUNTIF(H52,インデックス!$CJ$186),LENB(I52)=161)</xm:f>
            <x14:dxf>
              <fill>
                <patternFill>
                  <bgColor theme="5"/>
                </patternFill>
              </fill>
            </x14:dxf>
          </x14:cfRule>
          <x14:cfRule type="expression" priority="1147" id="{E553C2BE-C16D-4860-A0DB-B67B685E7161}">
            <xm:f>AND(AI52=TRUE,H52=インデックス!$CJ$184,LENB(I52)=161)</xm:f>
            <x14:dxf>
              <fill>
                <patternFill>
                  <bgColor theme="5"/>
                </patternFill>
              </fill>
            </x14:dxf>
          </x14:cfRule>
          <x14:cfRule type="expression" priority="1148" id="{A3663D75-2F7F-4CDE-9A41-F6749F1E5170}">
            <xm:f>AND(AI52=TRUE,H52=インデックス!$CJ$183,LENB(I52)=161)</xm:f>
            <x14:dxf>
              <fill>
                <patternFill>
                  <bgColor theme="5"/>
                </patternFill>
              </fill>
            </x14:dxf>
          </x14:cfRule>
          <xm:sqref>I52</xm:sqref>
        </x14:conditionalFormatting>
        <x14:conditionalFormatting xmlns:xm="http://schemas.microsoft.com/office/excel/2006/main">
          <x14:cfRule type="expression" priority="1161" id="{C143A12A-9D7D-481F-84E3-CFECBBBCB8C4}">
            <xm:f>AND($AI97=TRUE,$H97=インデックス!$CJ$183,ISBLANK($I97))</xm:f>
            <x14:dxf>
              <fill>
                <patternFill>
                  <bgColor theme="5"/>
                </patternFill>
              </fill>
            </x14:dxf>
          </x14:cfRule>
          <x14:cfRule type="expression" priority="1162" id="{B15EB163-7C40-43DC-ACF6-319B66345F32}">
            <xm:f>AND($AI97=TRUE,COUNTIF($H97,インデックス!$CJ$186),ISBLANK($I97))</xm:f>
            <x14:dxf>
              <fill>
                <patternFill>
                  <bgColor theme="5"/>
                </patternFill>
              </fill>
            </x14:dxf>
          </x14:cfRule>
          <x14:cfRule type="expression" priority="1163" id="{E410FECD-502F-4745-8EBA-8B93DB42DCC7}">
            <xm:f>AND($AI97=TRUE,$H97=インデックス!$CJ$184,ISBLANK($I97))</xm:f>
            <x14:dxf>
              <fill>
                <patternFill>
                  <bgColor theme="5"/>
                </patternFill>
              </fill>
            </x14:dxf>
          </x14:cfRule>
          <xm:sqref>I97</xm:sqref>
        </x14:conditionalFormatting>
        <x14:conditionalFormatting xmlns:xm="http://schemas.microsoft.com/office/excel/2006/main">
          <x14:cfRule type="expression" priority="1192" id="{988796F5-B026-4D28-BAA8-943B326C22C2}">
            <xm:f>AND($AI10=TRUE,OR($H10=インデックス!$CJ$183,$H10=インデックス!$CJ$184,$H10=インデックス!$CJ$185,$H10=インデックス!$CJ$186),ISBLANK($M10))</xm:f>
            <x14:dxf>
              <fill>
                <patternFill>
                  <bgColor theme="5"/>
                </patternFill>
              </fill>
            </x14:dxf>
          </x14:cfRule>
          <xm:sqref>M10:M108</xm:sqref>
        </x14:conditionalFormatting>
        <x14:conditionalFormatting xmlns:xm="http://schemas.microsoft.com/office/excel/2006/main">
          <x14:cfRule type="expression" priority="1194" id="{B17F85E4-34B2-47A3-8B60-675D917DA961}">
            <xm:f>AND($AI10=TRUE,OR($H10=インデックス!$CJ$184,$H10=インデックス!$CJ$185,$H10=インデックス!$CJ$186),ISBLANK($N10))</xm:f>
            <x14:dxf>
              <fill>
                <patternFill>
                  <bgColor theme="5"/>
                </patternFill>
              </fill>
            </x14:dxf>
          </x14:cfRule>
          <xm:sqref>N10:N108</xm:sqref>
        </x14:conditionalFormatting>
        <x14:conditionalFormatting xmlns:xm="http://schemas.microsoft.com/office/excel/2006/main">
          <x14:cfRule type="expression" priority="1221" id="{7A01DF47-1B4D-4389-A447-CE59159EC0F6}">
            <xm:f>AND($AI20=TRUE,インデックス!$AL$63=TRUE,$H20=インデックス!$CJ$183,ISBLANK($I20))</xm:f>
            <x14:dxf>
              <fill>
                <patternFill>
                  <bgColor theme="5"/>
                </patternFill>
              </fill>
            </x14:dxf>
          </x14:cfRule>
          <xm:sqref>I20 I28 I34 I89</xm:sqref>
        </x14:conditionalFormatting>
        <x14:conditionalFormatting xmlns:xm="http://schemas.microsoft.com/office/excel/2006/main">
          <x14:cfRule type="expression" priority="1815" id="{1B078808-D8B1-4A24-BA24-D599885BA862}">
            <xm:f>AND($AI10=TRUE,$H10=インデックス!$CJ$184,ISBLANK($M10),インデックス!$AL$40=TRUE)</xm:f>
            <x14:dxf>
              <fill>
                <patternFill>
                  <bgColor theme="5"/>
                </patternFill>
              </fill>
            </x14:dxf>
          </x14:cfRule>
          <xm:sqref>M10:M108</xm:sqref>
        </x14:conditionalFormatting>
        <x14:conditionalFormatting xmlns:xm="http://schemas.microsoft.com/office/excel/2006/main">
          <x14:cfRule type="expression" priority="1816" id="{934E296E-D4ED-4AA5-9E1B-16249462466B}">
            <xm:f>AND($AI10=TRUE,$H10=インデックス!$CJ$184,ISBLANK($N10),インデックス!$AL$40=TRUE)</xm:f>
            <x14:dxf>
              <fill>
                <patternFill>
                  <bgColor theme="5"/>
                </patternFill>
              </fill>
            </x14:dxf>
          </x14:cfRule>
          <xm:sqref>N16:O16 N55:O55 N45:O45 N48:O48 N62:O62 N84:O85 N10:N15 N26:O26 N17:N25 N31:O32 N27:N30 N38:O39 N33:N37 N50:O51 N49 N67:O68 N63:N66 N86:N108 N52:N54 N40:N44 N46:N47 N56:N61 N69:N83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インデックス!$CJ$183:$CJ$186</xm:f>
          </x14:formula1>
          <xm:sqref>H49 H10:H15 H27:H30 H33:H37 H56:H61 H86:H108 H63:H66 H40:H44 H52:H54 H17:H25 H46:H47 H69:H83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AM57"/>
  <sheetViews>
    <sheetView showGridLines="0" zoomScale="70" zoomScaleNormal="70" workbookViewId="0">
      <pane ySplit="6" topLeftCell="A23" activePane="bottomLeft" state="frozen"/>
      <selection activeCell="B5" sqref="B5"/>
      <selection pane="bottomLeft" activeCell="E26" sqref="E26"/>
    </sheetView>
  </sheetViews>
  <sheetFormatPr defaultRowHeight="18" outlineLevelCol="1"/>
  <cols>
    <col min="1" max="2" width="5.58203125" customWidth="1"/>
    <col min="3" max="3" width="9.08203125" bestFit="1" customWidth="1"/>
    <col min="4" max="4" width="8.58203125" customWidth="1"/>
    <col min="5" max="5" width="100.58203125" style="152" customWidth="1"/>
    <col min="6" max="6" width="16.58203125" customWidth="1"/>
    <col min="7" max="7" width="20.58203125" customWidth="1"/>
    <col min="8" max="8" width="55.58203125" customWidth="1"/>
    <col min="9" max="11" width="15.58203125" style="24" hidden="1" customWidth="1" outlineLevel="1"/>
    <col min="12" max="12" width="18.58203125" style="24" customWidth="1" collapsed="1"/>
    <col min="13" max="13" width="50.58203125" style="49" customWidth="1"/>
    <col min="14" max="14" width="17.58203125" style="49" hidden="1" customWidth="1" outlineLevel="1"/>
    <col min="15" max="33" width="15.58203125" style="24" hidden="1" customWidth="1" outlineLevel="1"/>
    <col min="34" max="37" width="15.58203125" hidden="1" customWidth="1" outlineLevel="1"/>
    <col min="38" max="38" width="40.75" customWidth="1" collapsed="1"/>
    <col min="39" max="39" width="18.75" customWidth="1"/>
  </cols>
  <sheetData>
    <row r="1" spans="1:39" ht="32.5">
      <c r="A1" s="43" t="s">
        <v>1301</v>
      </c>
      <c r="E1" s="20"/>
      <c r="L1" s="387" t="str" cm="1">
        <f t="array" ref="L1">IF(COUNTIF(N9:N53,1)=0,インデックス!$CJ$187,IF(AND(インデックス!$AL$63,SUMPRODUCT((N9:N53=1)*($AL9:$AL53&lt;&gt;""))=0),インデックス!$CJ$188,インデックス!$CJ$189))</f>
        <v>全件評価完了</v>
      </c>
      <c r="M1" s="387"/>
      <c r="Y1"/>
      <c r="Z1"/>
      <c r="AA1"/>
      <c r="AB1"/>
      <c r="AC1"/>
      <c r="AD1"/>
      <c r="AE1"/>
      <c r="AF1"/>
      <c r="AG1"/>
    </row>
    <row r="2" spans="1:39" ht="26.5">
      <c r="B2" s="42" t="s">
        <v>1302</v>
      </c>
      <c r="E2" s="20"/>
      <c r="L2" s="387"/>
      <c r="M2" s="387"/>
      <c r="Y2"/>
      <c r="Z2"/>
      <c r="AA2"/>
      <c r="AB2"/>
      <c r="AC2"/>
      <c r="AD2"/>
      <c r="AE2"/>
      <c r="AF2"/>
      <c r="AG2"/>
    </row>
    <row r="3" spans="1:39" ht="26.5">
      <c r="B3" s="42" t="s">
        <v>714</v>
      </c>
      <c r="E3" s="20"/>
      <c r="Y3"/>
      <c r="Z3"/>
      <c r="AA3"/>
      <c r="AB3"/>
      <c r="AC3"/>
      <c r="AD3"/>
      <c r="AE3"/>
      <c r="AF3"/>
      <c r="AG3"/>
    </row>
    <row r="4" spans="1:39" ht="26.5">
      <c r="B4" s="42" t="s">
        <v>228</v>
      </c>
      <c r="E4" s="20"/>
      <c r="Y4"/>
      <c r="Z4"/>
      <c r="AA4"/>
      <c r="AB4"/>
      <c r="AC4"/>
      <c r="AD4"/>
      <c r="AE4"/>
      <c r="AF4"/>
      <c r="AG4"/>
    </row>
    <row r="5" spans="1:39">
      <c r="I5" s="160"/>
      <c r="J5" s="160"/>
      <c r="K5" s="160"/>
      <c r="L5" s="163" t="s">
        <v>229</v>
      </c>
      <c r="M5" s="161"/>
      <c r="N5" s="161"/>
      <c r="O5" s="25" t="b">
        <f>AND(インデックス!$AL$38,インデックス!$AL$63)</f>
        <v>0</v>
      </c>
      <c r="P5" s="25" t="b">
        <f>インデックス!$AL$39</f>
        <v>0</v>
      </c>
      <c r="Q5" s="25" t="b">
        <f>OR(インデックス!$AL$37,インデックス!$AL$40)</f>
        <v>0</v>
      </c>
      <c r="R5" s="32" t="b">
        <f>インデックス!AL109</f>
        <v>0</v>
      </c>
      <c r="S5" s="26" t="b">
        <f>AND(TRUE,NOT(OR(インデックス!$AL$51,インデックス!$AL$69)))</f>
        <v>1</v>
      </c>
      <c r="T5" s="26" t="b">
        <f>AND(インデックス!$AL$56,NOT(OR(インデックス!$AL$51,インデックス!$AL$69)))</f>
        <v>0</v>
      </c>
      <c r="U5" s="26" t="b">
        <f>AND(インデックス!$AL$57,NOT(OR(インデックス!$AL$51,インデックス!$AL$69)))</f>
        <v>0</v>
      </c>
      <c r="V5" s="26" t="b">
        <f>AND(インデックス!$AL$58,NOT(OR(インデックス!$AL$51,インデックス!$AL$69)))</f>
        <v>0</v>
      </c>
      <c r="W5" s="30" t="b">
        <f>AND(インデックス!$AL$63,NOT(OR(インデックス!$AL$51,インデックス!$AL$69)))</f>
        <v>0</v>
      </c>
      <c r="X5" s="26" t="b">
        <f>インデックス!$AL$86</f>
        <v>0</v>
      </c>
      <c r="Y5" s="26" t="b">
        <f>インデックス!$AL$88</f>
        <v>0</v>
      </c>
      <c r="Z5" s="26" t="b">
        <f>インデックス!$AL$87</f>
        <v>0</v>
      </c>
      <c r="AA5" s="26" t="b">
        <f>AND(インデックス!$AL$93,NOT(OR(インデックス!$AL$51,インデックス!$AL$69)))</f>
        <v>0</v>
      </c>
      <c r="AB5" s="26" t="b">
        <f>AND(インデックス!$AL$94,NOT(OR(インデックス!$AL$51,インデックス!$AL$69)))</f>
        <v>0</v>
      </c>
      <c r="AC5" s="31" t="b">
        <f>インデックス!$AL$43</f>
        <v>0</v>
      </c>
      <c r="AD5" s="31" t="b">
        <f>OR(インデックス!$AL$48,インデックス!$AL$49)</f>
        <v>0</v>
      </c>
      <c r="AE5" s="31" t="b">
        <f>インデックス!$AL$63</f>
        <v>0</v>
      </c>
      <c r="AF5" s="31" t="b">
        <f>インデックス!$AL$44</f>
        <v>0</v>
      </c>
      <c r="AG5" s="160"/>
      <c r="AH5" s="162"/>
      <c r="AI5" s="162"/>
      <c r="AJ5" s="162"/>
      <c r="AK5" s="162"/>
      <c r="AL5" s="162"/>
      <c r="AM5" s="162"/>
    </row>
    <row r="6" spans="1:39" ht="67.5">
      <c r="A6" s="293"/>
      <c r="B6" s="293"/>
      <c r="C6" s="293" t="s">
        <v>230</v>
      </c>
      <c r="D6" s="293" t="s">
        <v>155</v>
      </c>
      <c r="E6" s="292" t="s">
        <v>231</v>
      </c>
      <c r="F6" s="294" t="s">
        <v>232</v>
      </c>
      <c r="G6" s="64" t="s">
        <v>233</v>
      </c>
      <c r="H6" s="291" t="s">
        <v>1985</v>
      </c>
      <c r="I6" s="64" t="s">
        <v>234</v>
      </c>
      <c r="J6" s="64" t="s">
        <v>235</v>
      </c>
      <c r="K6" s="64" t="s">
        <v>236</v>
      </c>
      <c r="L6" s="159" t="s">
        <v>2000</v>
      </c>
      <c r="M6" s="73" t="s">
        <v>237</v>
      </c>
      <c r="N6" s="290" t="s">
        <v>1989</v>
      </c>
      <c r="O6" s="64" t="s">
        <v>238</v>
      </c>
      <c r="P6" s="64" t="s">
        <v>239</v>
      </c>
      <c r="Q6" s="159" t="s">
        <v>240</v>
      </c>
      <c r="R6" s="64" t="s">
        <v>715</v>
      </c>
      <c r="S6" s="74" t="s">
        <v>241</v>
      </c>
      <c r="T6" s="112" t="s">
        <v>716</v>
      </c>
      <c r="U6" s="112" t="s">
        <v>717</v>
      </c>
      <c r="V6" s="112" t="s">
        <v>718</v>
      </c>
      <c r="W6" s="74" t="s">
        <v>195</v>
      </c>
      <c r="X6" s="74" t="s">
        <v>82</v>
      </c>
      <c r="Y6" s="74" t="s">
        <v>84</v>
      </c>
      <c r="Z6" s="74" t="s">
        <v>469</v>
      </c>
      <c r="AA6" s="74" t="s">
        <v>242</v>
      </c>
      <c r="AB6" s="74" t="s">
        <v>466</v>
      </c>
      <c r="AC6" s="74" t="s">
        <v>470</v>
      </c>
      <c r="AD6" s="112" t="s">
        <v>467</v>
      </c>
      <c r="AE6" s="112" t="s">
        <v>195</v>
      </c>
      <c r="AF6" s="74" t="s">
        <v>719</v>
      </c>
      <c r="AG6" s="74" t="s">
        <v>243</v>
      </c>
      <c r="AH6" s="74" t="s">
        <v>244</v>
      </c>
      <c r="AI6" s="74" t="s">
        <v>245</v>
      </c>
      <c r="AJ6" s="74" t="s">
        <v>246</v>
      </c>
      <c r="AK6" s="74" t="s">
        <v>247</v>
      </c>
      <c r="AL6" s="74" t="s">
        <v>248</v>
      </c>
      <c r="AM6" s="74" t="s">
        <v>249</v>
      </c>
    </row>
    <row r="7" spans="1:39" ht="22.5">
      <c r="A7" s="75" t="s">
        <v>1303</v>
      </c>
      <c r="B7" s="75"/>
      <c r="C7" s="76"/>
      <c r="D7" s="76"/>
      <c r="E7" s="77"/>
      <c r="F7" s="78"/>
      <c r="G7" s="79"/>
      <c r="H7" s="79"/>
      <c r="I7" s="80"/>
      <c r="J7" s="80"/>
      <c r="K7" s="80"/>
      <c r="L7" s="80"/>
      <c r="M7" s="81"/>
      <c r="N7" s="81"/>
      <c r="O7" s="80"/>
      <c r="P7" s="80"/>
      <c r="Q7" s="80"/>
      <c r="R7" s="80"/>
      <c r="S7" s="80"/>
      <c r="T7" s="80"/>
      <c r="U7" s="80"/>
      <c r="V7" s="80"/>
      <c r="W7" s="80"/>
      <c r="X7" s="80"/>
      <c r="Y7" s="80"/>
      <c r="Z7" s="80"/>
      <c r="AA7" s="80"/>
      <c r="AB7" s="80"/>
      <c r="AC7" s="80"/>
      <c r="AD7" s="80"/>
      <c r="AE7" s="80"/>
      <c r="AF7" s="80"/>
      <c r="AG7" s="80"/>
      <c r="AH7" s="80"/>
      <c r="AI7" s="80"/>
      <c r="AJ7" s="80"/>
      <c r="AK7" s="80"/>
      <c r="AL7" s="80"/>
      <c r="AM7" s="80"/>
    </row>
    <row r="8" spans="1:39" ht="22.5">
      <c r="A8" s="75"/>
      <c r="B8" s="82"/>
      <c r="C8" s="83"/>
      <c r="D8" s="83"/>
      <c r="E8" s="84"/>
      <c r="F8" s="85"/>
      <c r="G8" s="86"/>
      <c r="H8" s="86"/>
      <c r="I8" s="87"/>
      <c r="J8" s="87"/>
      <c r="K8" s="87"/>
      <c r="L8" s="87"/>
      <c r="M8" s="88"/>
      <c r="N8" s="88"/>
      <c r="O8" s="87"/>
      <c r="P8" s="87"/>
      <c r="Q8" s="87"/>
      <c r="R8" s="87"/>
      <c r="S8" s="89"/>
      <c r="T8" s="89"/>
      <c r="U8" s="89"/>
      <c r="V8" s="89"/>
      <c r="W8" s="89"/>
      <c r="X8" s="89"/>
      <c r="Y8" s="89"/>
      <c r="Z8" s="89"/>
      <c r="AA8" s="89"/>
      <c r="AB8" s="89"/>
      <c r="AC8" s="89"/>
      <c r="AD8" s="89"/>
      <c r="AE8" s="89"/>
      <c r="AF8" s="89"/>
      <c r="AG8" s="89"/>
      <c r="AH8" s="89"/>
      <c r="AI8" s="89"/>
      <c r="AJ8" s="89"/>
      <c r="AK8" s="89"/>
      <c r="AL8" s="89"/>
      <c r="AM8" s="89"/>
    </row>
    <row r="9" spans="1:39" ht="22.5">
      <c r="A9" s="75"/>
      <c r="B9" s="82"/>
      <c r="C9" s="71" t="s">
        <v>1304</v>
      </c>
      <c r="D9" s="90" t="s">
        <v>252</v>
      </c>
      <c r="E9" s="91" t="s">
        <v>1305</v>
      </c>
      <c r="F9" s="92" t="s">
        <v>254</v>
      </c>
      <c r="G9" s="91"/>
      <c r="H9" s="181"/>
      <c r="I9" s="94"/>
      <c r="J9" s="94"/>
      <c r="K9" s="94"/>
      <c r="L9" s="94"/>
      <c r="M9" s="247"/>
      <c r="N9" s="111" cm="1">
        <f t="array" ref="N9">IF(AG9=TRUE,_xlfn.IFS(L9=1,2,L9="",IF(M9="",1,2)),0)</f>
        <v>0</v>
      </c>
      <c r="O9" s="95" t="s">
        <v>255</v>
      </c>
      <c r="P9" s="95" t="s">
        <v>183</v>
      </c>
      <c r="Q9" s="95" t="s">
        <v>183</v>
      </c>
      <c r="R9" s="95" t="s">
        <v>183</v>
      </c>
      <c r="S9" s="96" t="s">
        <v>183</v>
      </c>
      <c r="T9" s="96" t="s">
        <v>448</v>
      </c>
      <c r="U9" s="96" t="s">
        <v>448</v>
      </c>
      <c r="V9" s="96" t="s">
        <v>448</v>
      </c>
      <c r="W9" s="96" t="s">
        <v>448</v>
      </c>
      <c r="X9" s="95"/>
      <c r="Y9" s="95"/>
      <c r="Z9" s="95"/>
      <c r="AA9" s="95"/>
      <c r="AB9" s="95"/>
      <c r="AC9" s="95" t="s">
        <v>183</v>
      </c>
      <c r="AD9" s="95" t="s">
        <v>183</v>
      </c>
      <c r="AE9" s="95"/>
      <c r="AF9" s="95"/>
      <c r="AG9" s="94" t="b">
        <f>AND(OR(AND($O$5=TRUE,$O9&lt;&gt;""),AND($P$5=TRUE,$P9&lt;&gt;""),AND($Q$5=TRUE,$Q9&lt;&gt;"")),AND($R$5=TRUE,$R9&lt;&gt;""),OR(AND($S$5=TRUE,$S9&lt;&gt;""),AND($T$5=TRUE,$T9&lt;&gt;""),AND($U$5=TRUE,$U9&lt;&gt;""),AND($V$5=TRUE,$V9&lt;&gt;""),AND($W$5=TRUE,$W9&lt;&gt;""),AND($X$5=TRUE,$X9&lt;&gt;""),AND($Y$5=TRUE,$Y9&lt;&gt;""),AND($Z$5=TRUE,$Z9&lt;&gt;""),AND($AA$5=TRUE,$AA9&lt;&gt;""),AND($AB$5=TRUE,$AB9&lt;&gt;"")),OR(AND($AC$5=TRUE,$AC9&lt;&gt;""),AND($AD$5=TRUE,$AD9&lt;&gt;""),AND($AE$5=TRUE,$AE9&lt;&gt;""),AND($AF$5=TRUE,$AF9&lt;&gt;"")))</f>
        <v>0</v>
      </c>
      <c r="AH9" s="94"/>
      <c r="AI9" s="94"/>
      <c r="AJ9" s="94"/>
      <c r="AK9" s="94"/>
      <c r="AL9" s="170" t="str">
        <f>IF(AH9&lt;&gt;"","セキュリティ管理/","")&amp;IF(AI9&lt;&gt;"","マルウェア/","")&amp;IF(AJ9&lt;&gt;"","クラウド/","")&amp;IF(AK9&lt;&gt;"","別表1,2,3","")</f>
        <v/>
      </c>
      <c r="AM9" s="94"/>
    </row>
    <row r="10" spans="1:39" ht="202.5">
      <c r="A10" s="75"/>
      <c r="B10" s="82"/>
      <c r="C10" s="71" t="s">
        <v>1306</v>
      </c>
      <c r="D10" s="90" t="s">
        <v>478</v>
      </c>
      <c r="E10" s="91" t="s">
        <v>1307</v>
      </c>
      <c r="F10" s="92" t="s">
        <v>254</v>
      </c>
      <c r="G10" s="181"/>
      <c r="H10" s="181"/>
      <c r="I10" s="94"/>
      <c r="J10" s="94"/>
      <c r="K10" s="94"/>
      <c r="L10" s="94"/>
      <c r="M10" s="247"/>
      <c r="N10" s="111" cm="1">
        <f t="array" ref="N10">IF(AG10=TRUE,_xlfn.IFS(L10=1,2,L10="",IF(M10="",1,2)),0)</f>
        <v>0</v>
      </c>
      <c r="O10" s="95" t="s">
        <v>255</v>
      </c>
      <c r="P10" s="95" t="s">
        <v>183</v>
      </c>
      <c r="Q10" s="95" t="s">
        <v>183</v>
      </c>
      <c r="R10" s="95" t="s">
        <v>183</v>
      </c>
      <c r="S10" s="96" t="s">
        <v>183</v>
      </c>
      <c r="T10" s="96" t="s">
        <v>448</v>
      </c>
      <c r="U10" s="96" t="s">
        <v>448</v>
      </c>
      <c r="V10" s="96" t="s">
        <v>448</v>
      </c>
      <c r="W10" s="96" t="s">
        <v>448</v>
      </c>
      <c r="X10" s="95"/>
      <c r="Y10" s="95"/>
      <c r="Z10" s="95"/>
      <c r="AA10" s="95"/>
      <c r="AB10" s="95"/>
      <c r="AC10" s="95" t="s">
        <v>183</v>
      </c>
      <c r="AD10" s="95" t="s">
        <v>183</v>
      </c>
      <c r="AE10" s="95"/>
      <c r="AF10" s="95"/>
      <c r="AG10" s="94" t="b">
        <f>AND(OR(AND($O$5=TRUE,$O10&lt;&gt;""),AND($P$5=TRUE,$P10&lt;&gt;""),AND($Q$5=TRUE,$Q10&lt;&gt;"")),AND($R$5=TRUE,$R10&lt;&gt;""),OR(AND($S$5=TRUE,$S10&lt;&gt;""),AND($T$5=TRUE,$T10&lt;&gt;""),AND($U$5=TRUE,$U10&lt;&gt;""),AND($V$5=TRUE,$V10&lt;&gt;""),AND($W$5=TRUE,$W10&lt;&gt;""),AND($X$5=TRUE,$X10&lt;&gt;""),AND($Y$5=TRUE,$Y10&lt;&gt;""),AND($Z$5=TRUE,$Z10&lt;&gt;""),AND($AA$5=TRUE,$AA10&lt;&gt;""),AND($AB$5=TRUE,$AB10&lt;&gt;"")),OR(AND($AC$5=TRUE,$AC10&lt;&gt;""),AND($AD$5=TRUE,$AD10&lt;&gt;""),AND($AE$5=TRUE,$AE10&lt;&gt;""),AND($AF$5=TRUE,$AF10&lt;&gt;"")))</f>
        <v>0</v>
      </c>
      <c r="AH10" s="94"/>
      <c r="AI10" s="94"/>
      <c r="AJ10" s="94"/>
      <c r="AK10" s="94"/>
      <c r="AL10" s="170" t="str">
        <f>IF(AH10&lt;&gt;"","セキュリティ管理/","")&amp;IF(AI10&lt;&gt;"","マルウェア/","")&amp;IF(AJ10&lt;&gt;"","クラウド/","")&amp;IF(AK10&lt;&gt;"","別表1,2,3","")</f>
        <v/>
      </c>
      <c r="AM10" s="94"/>
    </row>
    <row r="11" spans="1:39" ht="67.5">
      <c r="A11" s="75"/>
      <c r="B11" s="82"/>
      <c r="C11" s="71" t="s">
        <v>2259</v>
      </c>
      <c r="D11" s="90" t="s">
        <v>259</v>
      </c>
      <c r="E11" s="91" t="s">
        <v>1308</v>
      </c>
      <c r="F11" s="92" t="s">
        <v>254</v>
      </c>
      <c r="G11" s="181"/>
      <c r="H11" s="181"/>
      <c r="I11" s="94"/>
      <c r="J11" s="94"/>
      <c r="K11" s="94"/>
      <c r="L11" s="94"/>
      <c r="M11" s="247"/>
      <c r="N11" s="111" cm="1">
        <f t="array" ref="N11">IF(AG11=TRUE,_xlfn.IFS(L11=1,2,L11="",IF(M11="",1,2)),0)</f>
        <v>0</v>
      </c>
      <c r="O11" s="95" t="s">
        <v>255</v>
      </c>
      <c r="P11" s="95" t="s">
        <v>183</v>
      </c>
      <c r="Q11" s="95" t="s">
        <v>183</v>
      </c>
      <c r="R11" s="95" t="s">
        <v>183</v>
      </c>
      <c r="S11" s="96" t="s">
        <v>183</v>
      </c>
      <c r="T11" s="96" t="s">
        <v>448</v>
      </c>
      <c r="U11" s="96" t="s">
        <v>448</v>
      </c>
      <c r="V11" s="96" t="s">
        <v>448</v>
      </c>
      <c r="W11" s="96" t="s">
        <v>448</v>
      </c>
      <c r="X11" s="95"/>
      <c r="Y11" s="95"/>
      <c r="Z11" s="95"/>
      <c r="AA11" s="95"/>
      <c r="AB11" s="95"/>
      <c r="AC11" s="95" t="s">
        <v>183</v>
      </c>
      <c r="AD11" s="95" t="s">
        <v>183</v>
      </c>
      <c r="AE11" s="95"/>
      <c r="AF11" s="95"/>
      <c r="AG11" s="94" t="b">
        <f>AND(OR(AND($O$5=TRUE,$O11&lt;&gt;""),AND($P$5=TRUE,$P11&lt;&gt;""),AND($Q$5=TRUE,$Q11&lt;&gt;"")),AND($R$5=TRUE,$R11&lt;&gt;""),OR(AND($S$5=TRUE,$S11&lt;&gt;""),AND($T$5=TRUE,$T11&lt;&gt;""),AND($U$5=TRUE,$U11&lt;&gt;""),AND($V$5=TRUE,$V11&lt;&gt;""),AND($W$5=TRUE,$W11&lt;&gt;""),AND($X$5=TRUE,$X11&lt;&gt;""),AND($Y$5=TRUE,$Y11&lt;&gt;""),AND($Z$5=TRUE,$Z11&lt;&gt;""),AND($AA$5=TRUE,$AA11&lt;&gt;""),AND($AB$5=TRUE,$AB11&lt;&gt;"")),OR(AND($AC$5=TRUE,$AC11&lt;&gt;""),AND($AD$5=TRUE,$AD11&lt;&gt;""),AND($AE$5=TRUE,$AE11&lt;&gt;""),AND($AF$5=TRUE,$AF11&lt;&gt;"")))</f>
        <v>0</v>
      </c>
      <c r="AH11" s="94"/>
      <c r="AI11" s="94"/>
      <c r="AJ11" s="94"/>
      <c r="AK11" s="94"/>
      <c r="AL11" s="170" t="str">
        <f>IF(AH11&lt;&gt;"","セキュリティ管理/","")&amp;IF(AI11&lt;&gt;"","マルウェア/","")&amp;IF(AJ11&lt;&gt;"","クラウド/","")&amp;IF(AK11&lt;&gt;"","別表1,2,3","")</f>
        <v/>
      </c>
      <c r="AM11" s="94"/>
    </row>
    <row r="12" spans="1:39" ht="67.5">
      <c r="A12" s="75"/>
      <c r="B12" s="82"/>
      <c r="C12" s="196" t="s">
        <v>2260</v>
      </c>
      <c r="D12" s="196" t="s">
        <v>2258</v>
      </c>
      <c r="E12" s="91" t="s">
        <v>2275</v>
      </c>
      <c r="F12" s="92" t="s">
        <v>254</v>
      </c>
      <c r="G12" s="181"/>
      <c r="H12" s="181"/>
      <c r="I12" s="94"/>
      <c r="J12" s="94"/>
      <c r="K12" s="94"/>
      <c r="L12" s="94"/>
      <c r="M12" s="247"/>
      <c r="N12" s="111" cm="1">
        <f t="array" ref="N12">IF(AG12=TRUE,_xlfn.IFS(L12=1,2,L12="",IF(M12="",1,2)),0)</f>
        <v>0</v>
      </c>
      <c r="O12" s="95" t="s">
        <v>255</v>
      </c>
      <c r="P12" s="95" t="s">
        <v>183</v>
      </c>
      <c r="Q12" s="95" t="s">
        <v>183</v>
      </c>
      <c r="R12" s="95" t="s">
        <v>183</v>
      </c>
      <c r="S12" s="96" t="s">
        <v>183</v>
      </c>
      <c r="T12" s="96" t="s">
        <v>448</v>
      </c>
      <c r="U12" s="96" t="s">
        <v>448</v>
      </c>
      <c r="V12" s="96" t="s">
        <v>448</v>
      </c>
      <c r="W12" s="96" t="s">
        <v>448</v>
      </c>
      <c r="X12" s="95"/>
      <c r="Y12" s="95"/>
      <c r="Z12" s="95"/>
      <c r="AA12" s="95"/>
      <c r="AB12" s="95"/>
      <c r="AC12" s="95" t="s">
        <v>183</v>
      </c>
      <c r="AD12" s="95" t="s">
        <v>183</v>
      </c>
      <c r="AE12" s="95"/>
      <c r="AF12" s="95"/>
      <c r="AG12" s="94" t="b">
        <f>AND(OR(AND($O$5=TRUE,$O12&lt;&gt;""),AND($P$5=TRUE,$P12&lt;&gt;""),AND($Q$5=TRUE,$Q12&lt;&gt;"")),AND($R$5=TRUE,$R12&lt;&gt;""),OR(AND($S$5=TRUE,$S12&lt;&gt;""),AND($T$5=TRUE,$T12&lt;&gt;""),AND($U$5=TRUE,$U12&lt;&gt;""),AND($V$5=TRUE,$V12&lt;&gt;""),AND($W$5=TRUE,$W12&lt;&gt;""),AND($X$5=TRUE,$X12&lt;&gt;""),AND($Y$5=TRUE,$Y12&lt;&gt;""),AND($Z$5=TRUE,$Z12&lt;&gt;""),AND($AA$5=TRUE,$AA12&lt;&gt;""),AND($AB$5=TRUE,$AB12&lt;&gt;"")),OR(AND($AC$5=TRUE,$AC12&lt;&gt;""),AND($AD$5=TRUE,$AD12&lt;&gt;""),AND($AE$5=TRUE,$AE12&lt;&gt;""),AND($AF$5=TRUE,$AF12&lt;&gt;"")))</f>
        <v>0</v>
      </c>
      <c r="AH12" s="94"/>
      <c r="AI12" s="94"/>
      <c r="AJ12" s="94"/>
      <c r="AK12" s="94"/>
      <c r="AL12" s="170" t="str">
        <f>IF(AH12&lt;&gt;"","セキュリティ管理/","")&amp;IF(AI12&lt;&gt;"","マルウェア/","")&amp;IF(AJ12&lt;&gt;"","クラウド/","")&amp;IF(AK12&lt;&gt;"","別表1,2,3","")</f>
        <v/>
      </c>
      <c r="AM12" s="94" t="s">
        <v>2261</v>
      </c>
    </row>
    <row r="13" spans="1:39" ht="22.5">
      <c r="A13" s="75" t="s">
        <v>1309</v>
      </c>
      <c r="B13" s="75"/>
      <c r="C13" s="113"/>
      <c r="D13" s="76"/>
      <c r="E13" s="77"/>
      <c r="F13" s="78"/>
      <c r="G13" s="79"/>
      <c r="H13" s="79"/>
      <c r="I13" s="80"/>
      <c r="J13" s="80"/>
      <c r="K13" s="80"/>
      <c r="L13" s="80"/>
      <c r="M13" s="245"/>
      <c r="N13" s="245"/>
      <c r="O13" s="80"/>
      <c r="P13" s="80"/>
      <c r="Q13" s="80"/>
      <c r="R13" s="80"/>
      <c r="S13" s="80"/>
      <c r="T13" s="80"/>
      <c r="U13" s="80"/>
      <c r="V13" s="80"/>
      <c r="W13" s="80"/>
      <c r="X13" s="80"/>
      <c r="Y13" s="80"/>
      <c r="Z13" s="80"/>
      <c r="AA13" s="80"/>
      <c r="AB13" s="80"/>
      <c r="AC13" s="80"/>
      <c r="AD13" s="80"/>
      <c r="AE13" s="80"/>
      <c r="AF13" s="80"/>
      <c r="AG13" s="80" t="s">
        <v>728</v>
      </c>
      <c r="AH13" s="80"/>
      <c r="AI13" s="80"/>
      <c r="AJ13" s="80"/>
      <c r="AK13" s="80"/>
      <c r="AL13" s="80"/>
      <c r="AM13" s="80"/>
    </row>
    <row r="14" spans="1:39" ht="22.5">
      <c r="A14" s="75"/>
      <c r="B14" s="82"/>
      <c r="C14" s="115"/>
      <c r="D14" s="83"/>
      <c r="E14" s="84"/>
      <c r="F14" s="85"/>
      <c r="G14" s="86"/>
      <c r="H14" s="86"/>
      <c r="I14" s="87"/>
      <c r="J14" s="87"/>
      <c r="K14" s="87"/>
      <c r="L14" s="87"/>
      <c r="M14" s="246"/>
      <c r="N14" s="246"/>
      <c r="O14" s="87"/>
      <c r="P14" s="87"/>
      <c r="Q14" s="87"/>
      <c r="R14" s="87"/>
      <c r="S14" s="89"/>
      <c r="T14" s="89"/>
      <c r="U14" s="89"/>
      <c r="V14" s="89"/>
      <c r="W14" s="89"/>
      <c r="X14" s="89"/>
      <c r="Y14" s="89"/>
      <c r="Z14" s="89"/>
      <c r="AA14" s="89"/>
      <c r="AB14" s="89"/>
      <c r="AC14" s="89"/>
      <c r="AD14" s="89"/>
      <c r="AE14" s="89"/>
      <c r="AF14" s="89"/>
      <c r="AG14" s="89" t="s">
        <v>728</v>
      </c>
      <c r="AH14" s="89"/>
      <c r="AI14" s="89"/>
      <c r="AJ14" s="89"/>
      <c r="AK14" s="89"/>
      <c r="AL14" s="89"/>
      <c r="AM14" s="89"/>
    </row>
    <row r="15" spans="1:39" ht="202.5">
      <c r="A15" s="75"/>
      <c r="B15" s="82"/>
      <c r="C15" s="71" t="s">
        <v>1310</v>
      </c>
      <c r="D15" s="90" t="s">
        <v>270</v>
      </c>
      <c r="E15" s="91" t="s">
        <v>1311</v>
      </c>
      <c r="F15" s="92" t="s">
        <v>254</v>
      </c>
      <c r="G15" s="181"/>
      <c r="H15" s="181"/>
      <c r="I15" s="94"/>
      <c r="J15" s="94"/>
      <c r="K15" s="94"/>
      <c r="L15" s="94"/>
      <c r="M15" s="247"/>
      <c r="N15" s="111" cm="1">
        <f t="array" ref="N15">IF(AG15=TRUE,_xlfn.IFS(L15=1,2,L15="",IF(M15="",1,2)),0)</f>
        <v>0</v>
      </c>
      <c r="O15" s="95" t="s">
        <v>255</v>
      </c>
      <c r="P15" s="95" t="s">
        <v>183</v>
      </c>
      <c r="Q15" s="95" t="s">
        <v>183</v>
      </c>
      <c r="R15" s="95" t="s">
        <v>183</v>
      </c>
      <c r="S15" s="96" t="s">
        <v>183</v>
      </c>
      <c r="T15" s="96" t="s">
        <v>448</v>
      </c>
      <c r="U15" s="96" t="s">
        <v>448</v>
      </c>
      <c r="V15" s="96" t="s">
        <v>448</v>
      </c>
      <c r="W15" s="96" t="s">
        <v>448</v>
      </c>
      <c r="X15" s="95"/>
      <c r="Y15" s="95"/>
      <c r="Z15" s="95"/>
      <c r="AA15" s="95"/>
      <c r="AB15" s="95"/>
      <c r="AC15" s="95" t="s">
        <v>183</v>
      </c>
      <c r="AD15" s="95" t="s">
        <v>183</v>
      </c>
      <c r="AE15" s="95" t="s">
        <v>255</v>
      </c>
      <c r="AF15" s="95"/>
      <c r="AG15" s="94" t="b">
        <f>AND(OR(AND($O$5=TRUE,$O15&lt;&gt;""),AND($P$5=TRUE,$P15&lt;&gt;""),AND($Q$5=TRUE,$Q15&lt;&gt;"")),AND($R$5=TRUE,$R15&lt;&gt;""),OR(AND($S$5=TRUE,$S15&lt;&gt;""),AND($T$5=TRUE,$T15&lt;&gt;""),AND($U$5=TRUE,$U15&lt;&gt;""),AND($V$5=TRUE,$V15&lt;&gt;""),AND($W$5=TRUE,$W15&lt;&gt;""),AND($X$5=TRUE,$X15&lt;&gt;""),AND($Y$5=TRUE,$Y15&lt;&gt;""),AND($Z$5=TRUE,$Z15&lt;&gt;""),AND($AA$5=TRUE,$AA15&lt;&gt;""),AND($AB$5=TRUE,$AB15&lt;&gt;"")),OR(AND($AC$5=TRUE,$AC15&lt;&gt;""),AND($AD$5=TRUE,$AD15&lt;&gt;""),AND($AE$5=TRUE,$AE15&lt;&gt;""),AND($AF$5=TRUE,$AF15&lt;&gt;"")))</f>
        <v>0</v>
      </c>
      <c r="AH15" s="94" t="s">
        <v>183</v>
      </c>
      <c r="AI15" s="94"/>
      <c r="AJ15" s="94"/>
      <c r="AK15" s="94" t="s">
        <v>183</v>
      </c>
      <c r="AL15" s="170" t="str">
        <f>IF(AH15&lt;&gt;"","セキュリティ管理/","")&amp;IF(AI15&lt;&gt;"","マルウェア/","")&amp;IF(AJ15&lt;&gt;"","クラウド/","")&amp;IF(AK15&lt;&gt;"","別表1,2,3","")</f>
        <v>セキュリティ管理/別表1,2,3</v>
      </c>
      <c r="AM15" s="94"/>
    </row>
    <row r="16" spans="1:39" ht="112.5">
      <c r="A16" s="75"/>
      <c r="B16" s="82"/>
      <c r="C16" s="71" t="s">
        <v>1312</v>
      </c>
      <c r="D16" s="90" t="s">
        <v>562</v>
      </c>
      <c r="E16" s="91" t="s">
        <v>1313</v>
      </c>
      <c r="F16" s="92" t="s">
        <v>254</v>
      </c>
      <c r="G16" s="181"/>
      <c r="H16" s="181"/>
      <c r="I16" s="97" t="s">
        <v>1314</v>
      </c>
      <c r="J16" s="94"/>
      <c r="K16" s="94"/>
      <c r="L16" s="94"/>
      <c r="M16" s="247"/>
      <c r="N16" s="111" cm="1">
        <f t="array" ref="N16">IF(AG16=TRUE,_xlfn.IFS(L16=1,2,L16="",IF(M16="",1,2)),0)</f>
        <v>0</v>
      </c>
      <c r="O16" s="95" t="s">
        <v>255</v>
      </c>
      <c r="P16" s="95" t="s">
        <v>183</v>
      </c>
      <c r="Q16" s="95" t="s">
        <v>183</v>
      </c>
      <c r="R16" s="95" t="s">
        <v>183</v>
      </c>
      <c r="S16" s="96" t="s">
        <v>183</v>
      </c>
      <c r="T16" s="96" t="s">
        <v>448</v>
      </c>
      <c r="U16" s="96" t="s">
        <v>448</v>
      </c>
      <c r="V16" s="96" t="s">
        <v>448</v>
      </c>
      <c r="W16" s="96" t="s">
        <v>448</v>
      </c>
      <c r="X16" s="95"/>
      <c r="Y16" s="95"/>
      <c r="Z16" s="95"/>
      <c r="AA16" s="95"/>
      <c r="AB16" s="95"/>
      <c r="AC16" s="95" t="s">
        <v>183</v>
      </c>
      <c r="AD16" s="95" t="s">
        <v>183</v>
      </c>
      <c r="AE16" s="95" t="s">
        <v>255</v>
      </c>
      <c r="AF16" s="95"/>
      <c r="AG16" s="94" t="b">
        <f>AND(OR(AND($O$5=TRUE,$O16&lt;&gt;""),AND($P$5=TRUE,$P16&lt;&gt;""),AND($Q$5=TRUE,$Q16&lt;&gt;"")),AND($R$5=TRUE,$R16&lt;&gt;""),OR(AND($S$5=TRUE,$S16&lt;&gt;""),AND($T$5=TRUE,$T16&lt;&gt;""),AND($U$5=TRUE,$U16&lt;&gt;""),AND($V$5=TRUE,$V16&lt;&gt;""),AND($W$5=TRUE,$W16&lt;&gt;""),AND($X$5=TRUE,$X16&lt;&gt;""),AND($Y$5=TRUE,$Y16&lt;&gt;""),AND($Z$5=TRUE,$Z16&lt;&gt;""),AND($AA$5=TRUE,$AA16&lt;&gt;""),AND($AB$5=TRUE,$AB16&lt;&gt;"")),OR(AND($AC$5=TRUE,$AC16&lt;&gt;""),AND($AD$5=TRUE,$AD16&lt;&gt;""),AND($AE$5=TRUE,$AE16&lt;&gt;""),AND($AF$5=TRUE,$AF16&lt;&gt;"")))</f>
        <v>0</v>
      </c>
      <c r="AH16" s="94" t="s">
        <v>183</v>
      </c>
      <c r="AI16" s="94"/>
      <c r="AJ16" s="94"/>
      <c r="AK16" s="94" t="s">
        <v>183</v>
      </c>
      <c r="AL16" s="170" t="str">
        <f>IF(AH16&lt;&gt;"","セキュリティ管理/","")&amp;IF(AI16&lt;&gt;"","マルウェア/","")&amp;IF(AJ16&lt;&gt;"","クラウド/","")&amp;IF(AK16&lt;&gt;"","別表1,2,3","")</f>
        <v>セキュリティ管理/別表1,2,3</v>
      </c>
      <c r="AM16" s="94"/>
    </row>
    <row r="17" spans="1:39" ht="45">
      <c r="A17" s="75"/>
      <c r="B17" s="82"/>
      <c r="C17" s="71" t="s">
        <v>1315</v>
      </c>
      <c r="D17" s="90" t="s">
        <v>565</v>
      </c>
      <c r="E17" s="91" t="s">
        <v>1316</v>
      </c>
      <c r="F17" s="92" t="s">
        <v>254</v>
      </c>
      <c r="G17" s="181"/>
      <c r="H17" s="181"/>
      <c r="I17" s="94"/>
      <c r="J17" s="94"/>
      <c r="K17" s="94"/>
      <c r="L17" s="94"/>
      <c r="M17" s="247"/>
      <c r="N17" s="111" cm="1">
        <f t="array" ref="N17">IF(AG17=TRUE,_xlfn.IFS(L17=1,2,L17="",IF(M17="",1,2)),0)</f>
        <v>0</v>
      </c>
      <c r="O17" s="95" t="s">
        <v>255</v>
      </c>
      <c r="P17" s="95" t="s">
        <v>183</v>
      </c>
      <c r="Q17" s="95" t="s">
        <v>183</v>
      </c>
      <c r="R17" s="95" t="s">
        <v>183</v>
      </c>
      <c r="S17" s="95" t="s">
        <v>183</v>
      </c>
      <c r="T17" s="96" t="s">
        <v>448</v>
      </c>
      <c r="U17" s="96" t="s">
        <v>448</v>
      </c>
      <c r="V17" s="96" t="s">
        <v>448</v>
      </c>
      <c r="W17" s="96" t="s">
        <v>448</v>
      </c>
      <c r="X17" s="95"/>
      <c r="Y17" s="95"/>
      <c r="Z17" s="95"/>
      <c r="AA17" s="95"/>
      <c r="AB17" s="95"/>
      <c r="AC17" s="95" t="s">
        <v>183</v>
      </c>
      <c r="AD17" s="95" t="s">
        <v>183</v>
      </c>
      <c r="AE17" s="95"/>
      <c r="AF17" s="95"/>
      <c r="AG17" s="94" t="b">
        <f>AND(OR(AND($O$5=TRUE,$O17&lt;&gt;""),AND($P$5=TRUE,$P17&lt;&gt;""),AND($Q$5=TRUE,$Q17&lt;&gt;"")),AND($R$5=TRUE,$R17&lt;&gt;""),OR(AND($S$5=TRUE,$S17&lt;&gt;""),AND($T$5=TRUE,$T17&lt;&gt;""),AND($U$5=TRUE,$U17&lt;&gt;""),AND($V$5=TRUE,$V17&lt;&gt;""),AND($W$5=TRUE,$W17&lt;&gt;""),AND($X$5=TRUE,$X17&lt;&gt;""),AND($Y$5=TRUE,$Y17&lt;&gt;""),AND($Z$5=TRUE,$Z17&lt;&gt;""),AND($AA$5=TRUE,$AA17&lt;&gt;""),AND($AB$5=TRUE,$AB17&lt;&gt;"")),OR(AND($AC$5=TRUE,$AC17&lt;&gt;""),AND($AD$5=TRUE,$AD17&lt;&gt;""),AND($AE$5=TRUE,$AE17&lt;&gt;""),AND($AF$5=TRUE,$AF17&lt;&gt;"")))</f>
        <v>0</v>
      </c>
      <c r="AH17" s="94"/>
      <c r="AI17" s="94"/>
      <c r="AJ17" s="94"/>
      <c r="AK17" s="94"/>
      <c r="AL17" s="170" t="str">
        <f>IF(AH17&lt;&gt;"","セキュリティ管理/","")&amp;IF(AI17&lt;&gt;"","マルウェア/","")&amp;IF(AJ17&lt;&gt;"","クラウド/","")&amp;IF(AK17&lt;&gt;"","別表1,2,3","")</f>
        <v/>
      </c>
      <c r="AM17" s="94"/>
    </row>
    <row r="18" spans="1:39" ht="112.5">
      <c r="A18" s="75"/>
      <c r="B18" s="82"/>
      <c r="C18" s="71" t="s">
        <v>1317</v>
      </c>
      <c r="D18" s="90" t="s">
        <v>756</v>
      </c>
      <c r="E18" s="107" t="s">
        <v>1318</v>
      </c>
      <c r="F18" s="92" t="s">
        <v>254</v>
      </c>
      <c r="G18" s="181"/>
      <c r="H18" s="181"/>
      <c r="I18" s="94"/>
      <c r="J18" s="94"/>
      <c r="K18" s="94"/>
      <c r="L18" s="94"/>
      <c r="M18" s="247"/>
      <c r="N18" s="111" cm="1">
        <f t="array" ref="N18">IF(AG18=TRUE,_xlfn.IFS(L18=1,2,L18="",IF(M18="",1,2)),0)</f>
        <v>0</v>
      </c>
      <c r="O18" s="95" t="s">
        <v>255</v>
      </c>
      <c r="P18" s="95" t="s">
        <v>183</v>
      </c>
      <c r="Q18" s="95" t="s">
        <v>183</v>
      </c>
      <c r="R18" s="95" t="s">
        <v>183</v>
      </c>
      <c r="S18" s="96" t="s">
        <v>183</v>
      </c>
      <c r="T18" s="96" t="s">
        <v>448</v>
      </c>
      <c r="U18" s="96" t="s">
        <v>448</v>
      </c>
      <c r="V18" s="96" t="s">
        <v>448</v>
      </c>
      <c r="W18" s="96" t="s">
        <v>448</v>
      </c>
      <c r="X18" s="95"/>
      <c r="Y18" s="95"/>
      <c r="Z18" s="95"/>
      <c r="AA18" s="95"/>
      <c r="AB18" s="96" t="s">
        <v>183</v>
      </c>
      <c r="AC18" s="95" t="s">
        <v>183</v>
      </c>
      <c r="AD18" s="95" t="s">
        <v>183</v>
      </c>
      <c r="AE18" s="95" t="s">
        <v>255</v>
      </c>
      <c r="AF18" s="95"/>
      <c r="AG18" s="94" t="b">
        <f>AND(OR(AND($O$5=TRUE,$O18&lt;&gt;""),AND($P$5=TRUE,$P18&lt;&gt;""),AND($Q$5=TRUE,$Q18&lt;&gt;"")),AND($R$5=TRUE,$R18&lt;&gt;""),OR(AND($S$5=TRUE,$S18&lt;&gt;""),AND($T$5=TRUE,$T18&lt;&gt;""),AND($U$5=TRUE,$U18&lt;&gt;""),AND($V$5=TRUE,$V18&lt;&gt;""),AND($W$5=TRUE,$W18&lt;&gt;""),AND($X$5=TRUE,$X18&lt;&gt;""),AND($Y$5=TRUE,$Y18&lt;&gt;""),AND($Z$5=TRUE,$Z18&lt;&gt;""),AND($AA$5=TRUE,$AA18&lt;&gt;""),AND($AB$5=TRUE,$AB18&lt;&gt;"")),OR(AND($AC$5=TRUE,$AC18&lt;&gt;""),AND($AD$5=TRUE,$AD18&lt;&gt;""),AND($AE$5=TRUE,$AE18&lt;&gt;""),AND($AF$5=TRUE,$AF18&lt;&gt;"")))</f>
        <v>0</v>
      </c>
      <c r="AH18" s="94" t="s">
        <v>183</v>
      </c>
      <c r="AI18" s="94"/>
      <c r="AJ18" s="94"/>
      <c r="AK18" s="94"/>
      <c r="AL18" s="170" t="str">
        <f>IF(AH18&lt;&gt;"","セキュリティ管理/","")&amp;IF(AI18&lt;&gt;"","マルウェア/","")&amp;IF(AJ18&lt;&gt;"","クラウド/","")&amp;IF(AK18&lt;&gt;"","別表1,2,3","")</f>
        <v>セキュリティ管理/</v>
      </c>
      <c r="AM18" s="94" t="s">
        <v>563</v>
      </c>
    </row>
    <row r="19" spans="1:39" ht="135">
      <c r="A19" s="75"/>
      <c r="B19" s="82"/>
      <c r="C19" s="71" t="s">
        <v>1319</v>
      </c>
      <c r="D19" s="90" t="s">
        <v>758</v>
      </c>
      <c r="E19" s="91" t="s">
        <v>1320</v>
      </c>
      <c r="F19" s="92" t="s">
        <v>254</v>
      </c>
      <c r="G19" s="181"/>
      <c r="H19" s="181"/>
      <c r="I19" s="94"/>
      <c r="J19" s="94"/>
      <c r="K19" s="94"/>
      <c r="L19" s="94"/>
      <c r="M19" s="247"/>
      <c r="N19" s="111" cm="1">
        <f t="array" ref="N19">IF(AG19=TRUE,_xlfn.IFS(L19=1,2,L19="",IF(M19="",1,2)),0)</f>
        <v>0</v>
      </c>
      <c r="O19" s="95" t="s">
        <v>255</v>
      </c>
      <c r="P19" s="95" t="s">
        <v>183</v>
      </c>
      <c r="Q19" s="95" t="s">
        <v>183</v>
      </c>
      <c r="R19" s="95" t="s">
        <v>183</v>
      </c>
      <c r="S19" s="96" t="s">
        <v>183</v>
      </c>
      <c r="T19" s="96" t="s">
        <v>448</v>
      </c>
      <c r="U19" s="96" t="s">
        <v>448</v>
      </c>
      <c r="V19" s="96" t="s">
        <v>448</v>
      </c>
      <c r="W19" s="96" t="s">
        <v>448</v>
      </c>
      <c r="X19" s="95"/>
      <c r="Y19" s="95"/>
      <c r="Z19" s="95"/>
      <c r="AA19" s="95"/>
      <c r="AB19" s="95"/>
      <c r="AC19" s="95" t="s">
        <v>183</v>
      </c>
      <c r="AD19" s="95" t="s">
        <v>183</v>
      </c>
      <c r="AE19" s="95" t="s">
        <v>255</v>
      </c>
      <c r="AF19" s="95"/>
      <c r="AG19" s="94" t="b">
        <f>AND(OR(AND($O$5=TRUE,$O19&lt;&gt;""),AND($P$5=TRUE,$P19&lt;&gt;""),AND($Q$5=TRUE,$Q19&lt;&gt;"")),AND($R$5=TRUE,$R19&lt;&gt;""),OR(AND($S$5=TRUE,$S19&lt;&gt;""),AND($T$5=TRUE,$T19&lt;&gt;""),AND($U$5=TRUE,$U19&lt;&gt;""),AND($V$5=TRUE,$V19&lt;&gt;""),AND($W$5=TRUE,$W19&lt;&gt;""),AND($X$5=TRUE,$X19&lt;&gt;""),AND($Y$5=TRUE,$Y19&lt;&gt;""),AND($Z$5=TRUE,$Z19&lt;&gt;""),AND($AA$5=TRUE,$AA19&lt;&gt;""),AND($AB$5=TRUE,$AB19&lt;&gt;"")),OR(AND($AC$5=TRUE,$AC19&lt;&gt;""),AND($AD$5=TRUE,$AD19&lt;&gt;""),AND($AE$5=TRUE,$AE19&lt;&gt;""),AND($AF$5=TRUE,$AF19&lt;&gt;"")))</f>
        <v>0</v>
      </c>
      <c r="AH19" s="94" t="s">
        <v>183</v>
      </c>
      <c r="AI19" s="94"/>
      <c r="AJ19" s="94"/>
      <c r="AK19" s="94" t="s">
        <v>183</v>
      </c>
      <c r="AL19" s="170" t="str">
        <f>IF(AH19&lt;&gt;"","セキュリティ管理/","")&amp;IF(AI19&lt;&gt;"","マルウェア/","")&amp;IF(AJ19&lt;&gt;"","クラウド/","")&amp;IF(AK19&lt;&gt;"","別表1,2,3","")</f>
        <v>セキュリティ管理/別表1,2,3</v>
      </c>
      <c r="AM19" s="94"/>
    </row>
    <row r="20" spans="1:39" ht="22.5">
      <c r="A20" s="75" t="s">
        <v>1321</v>
      </c>
      <c r="B20" s="75"/>
      <c r="C20" s="113"/>
      <c r="D20" s="76"/>
      <c r="E20" s="77"/>
      <c r="F20" s="78"/>
      <c r="G20" s="79"/>
      <c r="H20" s="79"/>
      <c r="I20" s="80"/>
      <c r="J20" s="80"/>
      <c r="K20" s="80"/>
      <c r="L20" s="80"/>
      <c r="M20" s="245"/>
      <c r="N20" s="245"/>
      <c r="O20" s="80"/>
      <c r="P20" s="80"/>
      <c r="Q20" s="80"/>
      <c r="R20" s="80"/>
      <c r="S20" s="80"/>
      <c r="T20" s="80"/>
      <c r="U20" s="80"/>
      <c r="V20" s="80"/>
      <c r="W20" s="80"/>
      <c r="X20" s="80"/>
      <c r="Y20" s="80"/>
      <c r="Z20" s="80"/>
      <c r="AA20" s="80"/>
      <c r="AB20" s="80"/>
      <c r="AC20" s="80"/>
      <c r="AD20" s="80"/>
      <c r="AE20" s="80"/>
      <c r="AF20" s="80"/>
      <c r="AG20" s="80" t="s">
        <v>728</v>
      </c>
      <c r="AH20" s="80"/>
      <c r="AI20" s="80"/>
      <c r="AJ20" s="80"/>
      <c r="AK20" s="80"/>
      <c r="AL20" s="80"/>
      <c r="AM20" s="80"/>
    </row>
    <row r="21" spans="1:39" ht="22.5">
      <c r="A21" s="75"/>
      <c r="B21" s="82" t="s">
        <v>1322</v>
      </c>
      <c r="C21" s="115"/>
      <c r="D21" s="83"/>
      <c r="E21" s="84"/>
      <c r="F21" s="85"/>
      <c r="G21" s="86"/>
      <c r="H21" s="86"/>
      <c r="I21" s="87"/>
      <c r="J21" s="87"/>
      <c r="K21" s="87"/>
      <c r="L21" s="87"/>
      <c r="M21" s="246"/>
      <c r="N21" s="246"/>
      <c r="O21" s="87"/>
      <c r="P21" s="87"/>
      <c r="Q21" s="87"/>
      <c r="R21" s="87"/>
      <c r="S21" s="87"/>
      <c r="T21" s="87"/>
      <c r="U21" s="87"/>
      <c r="V21" s="87"/>
      <c r="W21" s="87"/>
      <c r="X21" s="87"/>
      <c r="Y21" s="87"/>
      <c r="Z21" s="87"/>
      <c r="AA21" s="87"/>
      <c r="AB21" s="87"/>
      <c r="AC21" s="87"/>
      <c r="AD21" s="87"/>
      <c r="AE21" s="87"/>
      <c r="AF21" s="87"/>
      <c r="AG21" s="87" t="s">
        <v>728</v>
      </c>
      <c r="AH21" s="87"/>
      <c r="AI21" s="87"/>
      <c r="AJ21" s="87"/>
      <c r="AK21" s="87"/>
      <c r="AL21" s="87"/>
      <c r="AM21" s="87"/>
    </row>
    <row r="22" spans="1:39" ht="45">
      <c r="A22" s="75"/>
      <c r="B22" s="82"/>
      <c r="C22" s="71" t="s">
        <v>1323</v>
      </c>
      <c r="D22" s="90" t="s">
        <v>274</v>
      </c>
      <c r="E22" s="91" t="s">
        <v>1324</v>
      </c>
      <c r="F22" s="92" t="s">
        <v>254</v>
      </c>
      <c r="G22" s="181"/>
      <c r="H22" s="181"/>
      <c r="I22" s="94"/>
      <c r="J22" s="94"/>
      <c r="K22" s="94"/>
      <c r="L22" s="94"/>
      <c r="M22" s="247"/>
      <c r="N22" s="111" cm="1">
        <f t="array" ref="N22">IF(AG22=TRUE,_xlfn.IFS(L22=1,2,L22="",IF(M22="",1,2)),0)</f>
        <v>0</v>
      </c>
      <c r="O22" s="95" t="s">
        <v>255</v>
      </c>
      <c r="P22" s="95" t="s">
        <v>183</v>
      </c>
      <c r="Q22" s="95" t="s">
        <v>183</v>
      </c>
      <c r="R22" s="95" t="s">
        <v>183</v>
      </c>
      <c r="S22" s="96" t="s">
        <v>183</v>
      </c>
      <c r="T22" s="96" t="s">
        <v>448</v>
      </c>
      <c r="U22" s="96" t="s">
        <v>448</v>
      </c>
      <c r="V22" s="96" t="s">
        <v>448</v>
      </c>
      <c r="W22" s="96" t="s">
        <v>448</v>
      </c>
      <c r="X22" s="95"/>
      <c r="Y22" s="95"/>
      <c r="Z22" s="95"/>
      <c r="AA22" s="95" t="s">
        <v>448</v>
      </c>
      <c r="AB22" s="95" t="s">
        <v>448</v>
      </c>
      <c r="AC22" s="95" t="s">
        <v>183</v>
      </c>
      <c r="AD22" s="95" t="s">
        <v>183</v>
      </c>
      <c r="AE22" s="95"/>
      <c r="AF22" s="95"/>
      <c r="AG22" s="94" t="b">
        <f t="shared" ref="AG22:AG30" si="0">AND(OR(AND($O$5=TRUE,$O22&lt;&gt;""),AND($P$5=TRUE,$P22&lt;&gt;""),AND($Q$5=TRUE,$Q22&lt;&gt;"")),AND($R$5=TRUE,$R22&lt;&gt;""),OR(AND($S$5=TRUE,$S22&lt;&gt;""),AND($T$5=TRUE,$T22&lt;&gt;""),AND($U$5=TRUE,$U22&lt;&gt;""),AND($V$5=TRUE,$V22&lt;&gt;""),AND($W$5=TRUE,$W22&lt;&gt;""),AND($X$5=TRUE,$X22&lt;&gt;""),AND($Y$5=TRUE,$Y22&lt;&gt;""),AND($Z$5=TRUE,$Z22&lt;&gt;""),AND($AA$5=TRUE,$AA22&lt;&gt;""),AND($AB$5=TRUE,$AB22&lt;&gt;"")),OR(AND($AC$5=TRUE,$AC22&lt;&gt;""),AND($AD$5=TRUE,$AD22&lt;&gt;""),AND($AE$5=TRUE,$AE22&lt;&gt;""),AND($AF$5=TRUE,$AF22&lt;&gt;"")))</f>
        <v>0</v>
      </c>
      <c r="AH22" s="94"/>
      <c r="AI22" s="94"/>
      <c r="AJ22" s="94"/>
      <c r="AK22" s="94"/>
      <c r="AL22" s="170" t="str">
        <f t="shared" ref="AL22:AL30" si="1">IF(AH22&lt;&gt;"","セキュリティ管理/","")&amp;IF(AI22&lt;&gt;"","マルウェア/","")&amp;IF(AJ22&lt;&gt;"","クラウド/","")&amp;IF(AK22&lt;&gt;"","別表1,2,3","")</f>
        <v/>
      </c>
      <c r="AM22" s="94" t="s">
        <v>547</v>
      </c>
    </row>
    <row r="23" spans="1:39" ht="90">
      <c r="A23" s="75"/>
      <c r="B23" s="82"/>
      <c r="C23" s="71" t="s">
        <v>1325</v>
      </c>
      <c r="D23" s="90" t="s">
        <v>277</v>
      </c>
      <c r="E23" s="91" t="s">
        <v>1326</v>
      </c>
      <c r="F23" s="92" t="s">
        <v>254</v>
      </c>
      <c r="G23" s="181"/>
      <c r="H23" s="181"/>
      <c r="I23" s="94"/>
      <c r="J23" s="94"/>
      <c r="K23" s="94"/>
      <c r="L23" s="94"/>
      <c r="M23" s="247"/>
      <c r="N23" s="111" cm="1">
        <f t="array" ref="N23">IF(AG23=TRUE,_xlfn.IFS(L23=1,2,L23="",IF(M23="",1,2)),0)</f>
        <v>0</v>
      </c>
      <c r="O23" s="95" t="s">
        <v>255</v>
      </c>
      <c r="P23" s="95" t="s">
        <v>183</v>
      </c>
      <c r="Q23" s="95" t="s">
        <v>183</v>
      </c>
      <c r="R23" s="95" t="s">
        <v>183</v>
      </c>
      <c r="S23" s="96" t="s">
        <v>183</v>
      </c>
      <c r="T23" s="96" t="s">
        <v>448</v>
      </c>
      <c r="U23" s="96" t="s">
        <v>448</v>
      </c>
      <c r="V23" s="96" t="s">
        <v>448</v>
      </c>
      <c r="W23" s="96" t="s">
        <v>448</v>
      </c>
      <c r="X23" s="95"/>
      <c r="Y23" s="95"/>
      <c r="Z23" s="95"/>
      <c r="AA23" s="95" t="s">
        <v>448</v>
      </c>
      <c r="AB23" s="95" t="s">
        <v>448</v>
      </c>
      <c r="AC23" s="95" t="s">
        <v>183</v>
      </c>
      <c r="AD23" s="95" t="s">
        <v>183</v>
      </c>
      <c r="AE23" s="95"/>
      <c r="AF23" s="95"/>
      <c r="AG23" s="94" t="b">
        <f t="shared" si="0"/>
        <v>0</v>
      </c>
      <c r="AH23" s="94"/>
      <c r="AI23" s="94"/>
      <c r="AJ23" s="94"/>
      <c r="AK23" s="94"/>
      <c r="AL23" s="170" t="str">
        <f t="shared" si="1"/>
        <v/>
      </c>
      <c r="AM23" s="94" t="s">
        <v>563</v>
      </c>
    </row>
    <row r="24" spans="1:39" ht="112.5">
      <c r="A24" s="75"/>
      <c r="B24" s="82"/>
      <c r="C24" s="71" t="s">
        <v>1327</v>
      </c>
      <c r="D24" s="90" t="s">
        <v>573</v>
      </c>
      <c r="E24" s="91" t="s">
        <v>2268</v>
      </c>
      <c r="F24" s="92" t="s">
        <v>254</v>
      </c>
      <c r="G24" s="181"/>
      <c r="H24" s="181"/>
      <c r="I24" s="94"/>
      <c r="J24" s="94"/>
      <c r="K24" s="94"/>
      <c r="L24" s="94"/>
      <c r="M24" s="247"/>
      <c r="N24" s="111" cm="1">
        <f t="array" ref="N24">IF(AG24=TRUE,_xlfn.IFS(L24=1,2,L24="",IF(M24="",1,2)),0)</f>
        <v>0</v>
      </c>
      <c r="O24" s="95" t="s">
        <v>255</v>
      </c>
      <c r="P24" s="95" t="s">
        <v>183</v>
      </c>
      <c r="Q24" s="95" t="s">
        <v>183</v>
      </c>
      <c r="R24" s="95" t="s">
        <v>183</v>
      </c>
      <c r="S24" s="96" t="s">
        <v>183</v>
      </c>
      <c r="T24" s="96" t="s">
        <v>448</v>
      </c>
      <c r="U24" s="96" t="s">
        <v>448</v>
      </c>
      <c r="V24" s="96" t="s">
        <v>448</v>
      </c>
      <c r="W24" s="96" t="s">
        <v>448</v>
      </c>
      <c r="X24" s="95"/>
      <c r="Y24" s="95"/>
      <c r="Z24" s="95"/>
      <c r="AA24" s="95" t="s">
        <v>448</v>
      </c>
      <c r="AB24" s="95" t="s">
        <v>448</v>
      </c>
      <c r="AC24" s="95" t="s">
        <v>183</v>
      </c>
      <c r="AD24" s="95" t="s">
        <v>183</v>
      </c>
      <c r="AE24" s="95"/>
      <c r="AF24" s="95"/>
      <c r="AG24" s="94" t="b">
        <f t="shared" si="0"/>
        <v>0</v>
      </c>
      <c r="AH24" s="94"/>
      <c r="AI24" s="94"/>
      <c r="AJ24" s="94"/>
      <c r="AK24" s="94"/>
      <c r="AL24" s="170" t="str">
        <f>IF(AH24&lt;&gt;"","セキュリティ管理/","")&amp;IF(AI24&lt;&gt;"","マルウェア/","")&amp;IF(AJ24&lt;&gt;"","クラウド/","")&amp;IF(AK24&lt;&gt;"","別表1,2,3","")</f>
        <v/>
      </c>
      <c r="AM24" s="130" t="s">
        <v>1328</v>
      </c>
    </row>
    <row r="25" spans="1:39" ht="112.5">
      <c r="A25" s="75"/>
      <c r="B25" s="82"/>
      <c r="C25" s="71" t="s">
        <v>1329</v>
      </c>
      <c r="D25" s="90" t="s">
        <v>1330</v>
      </c>
      <c r="E25" s="91" t="s">
        <v>1331</v>
      </c>
      <c r="F25" s="92" t="s">
        <v>254</v>
      </c>
      <c r="G25" s="181"/>
      <c r="H25" s="181"/>
      <c r="I25" s="94"/>
      <c r="J25" s="94"/>
      <c r="K25" s="94"/>
      <c r="L25" s="94"/>
      <c r="M25" s="247"/>
      <c r="N25" s="111" cm="1">
        <f t="array" ref="N25">IF(AG25=TRUE,_xlfn.IFS(L25=1,2,L25="",IF(M25="",1,2)),0)</f>
        <v>0</v>
      </c>
      <c r="O25" s="95" t="s">
        <v>255</v>
      </c>
      <c r="P25" s="95" t="s">
        <v>183</v>
      </c>
      <c r="Q25" s="95" t="s">
        <v>183</v>
      </c>
      <c r="R25" s="95" t="s">
        <v>183</v>
      </c>
      <c r="S25" s="96" t="s">
        <v>183</v>
      </c>
      <c r="T25" s="96" t="s">
        <v>448</v>
      </c>
      <c r="U25" s="96" t="s">
        <v>448</v>
      </c>
      <c r="V25" s="96" t="s">
        <v>448</v>
      </c>
      <c r="W25" s="96" t="s">
        <v>448</v>
      </c>
      <c r="X25" s="95"/>
      <c r="Y25" s="95"/>
      <c r="Z25" s="95"/>
      <c r="AA25" s="95" t="s">
        <v>448</v>
      </c>
      <c r="AB25" s="95" t="s">
        <v>448</v>
      </c>
      <c r="AC25" s="95" t="s">
        <v>183</v>
      </c>
      <c r="AD25" s="95" t="s">
        <v>183</v>
      </c>
      <c r="AE25" s="95"/>
      <c r="AF25" s="95"/>
      <c r="AG25" s="94" t="b">
        <f t="shared" si="0"/>
        <v>0</v>
      </c>
      <c r="AH25" s="94"/>
      <c r="AI25" s="94"/>
      <c r="AJ25" s="94"/>
      <c r="AK25" s="94"/>
      <c r="AL25" s="170" t="str">
        <f t="shared" si="1"/>
        <v/>
      </c>
      <c r="AM25" s="94"/>
    </row>
    <row r="26" spans="1:39" ht="337.5">
      <c r="A26" s="75"/>
      <c r="B26" s="82"/>
      <c r="C26" s="71" t="s">
        <v>1332</v>
      </c>
      <c r="D26" s="90" t="s">
        <v>581</v>
      </c>
      <c r="E26" s="91" t="s">
        <v>1333</v>
      </c>
      <c r="F26" s="92" t="s">
        <v>254</v>
      </c>
      <c r="G26" s="181"/>
      <c r="H26" s="181"/>
      <c r="I26" s="94"/>
      <c r="J26" s="94"/>
      <c r="K26" s="94"/>
      <c r="L26" s="94"/>
      <c r="M26" s="247"/>
      <c r="N26" s="111" cm="1">
        <f t="array" ref="N26">IF(AG26=TRUE,_xlfn.IFS(L26=1,2,L26="",IF(M26="",1,2)),0)</f>
        <v>0</v>
      </c>
      <c r="O26" s="95" t="s">
        <v>255</v>
      </c>
      <c r="P26" s="95" t="s">
        <v>183</v>
      </c>
      <c r="Q26" s="95" t="s">
        <v>183</v>
      </c>
      <c r="R26" s="95" t="s">
        <v>183</v>
      </c>
      <c r="S26" s="96" t="s">
        <v>183</v>
      </c>
      <c r="T26" s="96" t="s">
        <v>448</v>
      </c>
      <c r="U26" s="96" t="s">
        <v>448</v>
      </c>
      <c r="V26" s="96" t="s">
        <v>448</v>
      </c>
      <c r="W26" s="96" t="s">
        <v>448</v>
      </c>
      <c r="X26" s="95"/>
      <c r="Y26" s="95"/>
      <c r="Z26" s="95"/>
      <c r="AA26" s="95"/>
      <c r="AB26" s="95"/>
      <c r="AC26" s="95" t="s">
        <v>183</v>
      </c>
      <c r="AD26" s="95" t="s">
        <v>183</v>
      </c>
      <c r="AE26" s="95" t="s">
        <v>255</v>
      </c>
      <c r="AF26" s="95"/>
      <c r="AG26" s="94" t="b">
        <f t="shared" si="0"/>
        <v>0</v>
      </c>
      <c r="AH26" s="94" t="s">
        <v>183</v>
      </c>
      <c r="AI26" s="94"/>
      <c r="AJ26" s="94"/>
      <c r="AK26" s="94"/>
      <c r="AL26" s="170" t="str">
        <f t="shared" si="1"/>
        <v>セキュリティ管理/</v>
      </c>
      <c r="AM26" s="94" t="s">
        <v>337</v>
      </c>
    </row>
    <row r="27" spans="1:39" ht="45">
      <c r="A27" s="75"/>
      <c r="B27" s="82"/>
      <c r="C27" s="71" t="s">
        <v>1334</v>
      </c>
      <c r="D27" s="90" t="s">
        <v>1335</v>
      </c>
      <c r="E27" s="91" t="s">
        <v>1336</v>
      </c>
      <c r="F27" s="92" t="s">
        <v>254</v>
      </c>
      <c r="G27" s="181"/>
      <c r="H27" s="181"/>
      <c r="I27" s="94"/>
      <c r="J27" s="94"/>
      <c r="K27" s="94"/>
      <c r="L27" s="94"/>
      <c r="M27" s="247"/>
      <c r="N27" s="111" cm="1">
        <f t="array" ref="N27">IF(AG27=TRUE,_xlfn.IFS(L27=1,2,L27="",IF(M27="",1,2)),0)</f>
        <v>0</v>
      </c>
      <c r="O27" s="95" t="s">
        <v>255</v>
      </c>
      <c r="P27" s="95" t="s">
        <v>183</v>
      </c>
      <c r="Q27" s="95" t="s">
        <v>183</v>
      </c>
      <c r="R27" s="95" t="s">
        <v>183</v>
      </c>
      <c r="S27" s="96" t="s">
        <v>183</v>
      </c>
      <c r="T27" s="96" t="s">
        <v>448</v>
      </c>
      <c r="U27" s="96" t="s">
        <v>448</v>
      </c>
      <c r="V27" s="96" t="s">
        <v>448</v>
      </c>
      <c r="W27" s="96" t="s">
        <v>448</v>
      </c>
      <c r="X27" s="95"/>
      <c r="Y27" s="95"/>
      <c r="Z27" s="95"/>
      <c r="AA27" s="95"/>
      <c r="AB27" s="95"/>
      <c r="AC27" s="95" t="s">
        <v>183</v>
      </c>
      <c r="AD27" s="95" t="s">
        <v>183</v>
      </c>
      <c r="AE27" s="95"/>
      <c r="AF27" s="95"/>
      <c r="AG27" s="94" t="b">
        <f t="shared" si="0"/>
        <v>0</v>
      </c>
      <c r="AH27" s="94"/>
      <c r="AI27" s="94"/>
      <c r="AJ27" s="94"/>
      <c r="AK27" s="94"/>
      <c r="AL27" s="170" t="str">
        <f t="shared" si="1"/>
        <v/>
      </c>
      <c r="AM27" s="94"/>
    </row>
    <row r="28" spans="1:39" ht="315">
      <c r="A28" s="75"/>
      <c r="B28" s="82"/>
      <c r="C28" s="71" t="s">
        <v>1337</v>
      </c>
      <c r="D28" s="90" t="s">
        <v>1338</v>
      </c>
      <c r="E28" s="91" t="s">
        <v>1339</v>
      </c>
      <c r="F28" s="92" t="s">
        <v>254</v>
      </c>
      <c r="G28" s="181"/>
      <c r="H28" s="181"/>
      <c r="I28" s="94"/>
      <c r="J28" s="94"/>
      <c r="K28" s="94"/>
      <c r="L28" s="94"/>
      <c r="M28" s="247"/>
      <c r="N28" s="111" cm="1">
        <f t="array" ref="N28">IF(AG28=TRUE,_xlfn.IFS(L28=1,2,L28="",IF(M28="",1,2)),0)</f>
        <v>0</v>
      </c>
      <c r="O28" s="95" t="s">
        <v>255</v>
      </c>
      <c r="P28" s="95" t="s">
        <v>183</v>
      </c>
      <c r="Q28" s="95" t="s">
        <v>183</v>
      </c>
      <c r="R28" s="95" t="s">
        <v>183</v>
      </c>
      <c r="S28" s="95" t="s">
        <v>183</v>
      </c>
      <c r="T28" s="96" t="s">
        <v>448</v>
      </c>
      <c r="U28" s="96" t="s">
        <v>448</v>
      </c>
      <c r="V28" s="96" t="s">
        <v>448</v>
      </c>
      <c r="W28" s="96" t="s">
        <v>448</v>
      </c>
      <c r="X28" s="95"/>
      <c r="Y28" s="95"/>
      <c r="Z28" s="95"/>
      <c r="AA28" s="95"/>
      <c r="AB28" s="95"/>
      <c r="AC28" s="95" t="s">
        <v>183</v>
      </c>
      <c r="AD28" s="95" t="s">
        <v>183</v>
      </c>
      <c r="AE28" s="95" t="s">
        <v>255</v>
      </c>
      <c r="AF28" s="95"/>
      <c r="AG28" s="94" t="b">
        <f t="shared" si="0"/>
        <v>0</v>
      </c>
      <c r="AH28" s="94" t="s">
        <v>183</v>
      </c>
      <c r="AI28" s="94"/>
      <c r="AJ28" s="94"/>
      <c r="AK28" s="94"/>
      <c r="AL28" s="170" t="str">
        <f t="shared" si="1"/>
        <v>セキュリティ管理/</v>
      </c>
      <c r="AM28" s="94" t="s">
        <v>359</v>
      </c>
    </row>
    <row r="29" spans="1:39" ht="157.5">
      <c r="A29" s="75"/>
      <c r="B29" s="101"/>
      <c r="C29" s="71" t="s">
        <v>1340</v>
      </c>
      <c r="D29" s="90" t="s">
        <v>1341</v>
      </c>
      <c r="E29" s="91" t="s">
        <v>1342</v>
      </c>
      <c r="F29" s="92" t="s">
        <v>254</v>
      </c>
      <c r="G29" s="181"/>
      <c r="H29" s="181"/>
      <c r="I29" s="94"/>
      <c r="J29" s="94"/>
      <c r="K29" s="94"/>
      <c r="L29" s="94"/>
      <c r="M29" s="247"/>
      <c r="N29" s="111" cm="1">
        <f t="array" ref="N29">IF(AG29=TRUE,_xlfn.IFS(L29=1,2,L29="",IF(M29="",1,2)),0)</f>
        <v>0</v>
      </c>
      <c r="O29" s="95" t="s">
        <v>255</v>
      </c>
      <c r="P29" s="95" t="s">
        <v>183</v>
      </c>
      <c r="Q29" s="95" t="s">
        <v>183</v>
      </c>
      <c r="R29" s="95" t="s">
        <v>183</v>
      </c>
      <c r="S29" s="95" t="s">
        <v>183</v>
      </c>
      <c r="T29" s="96" t="s">
        <v>448</v>
      </c>
      <c r="U29" s="96" t="s">
        <v>448</v>
      </c>
      <c r="V29" s="96" t="s">
        <v>448</v>
      </c>
      <c r="W29" s="96" t="s">
        <v>448</v>
      </c>
      <c r="X29" s="95"/>
      <c r="Y29" s="95"/>
      <c r="Z29" s="95"/>
      <c r="AA29" s="95"/>
      <c r="AB29" s="95"/>
      <c r="AC29" s="95" t="s">
        <v>183</v>
      </c>
      <c r="AD29" s="95" t="s">
        <v>183</v>
      </c>
      <c r="AE29" s="95"/>
      <c r="AF29" s="95"/>
      <c r="AG29" s="94" t="b">
        <f t="shared" si="0"/>
        <v>0</v>
      </c>
      <c r="AH29" s="94"/>
      <c r="AI29" s="94" t="s">
        <v>183</v>
      </c>
      <c r="AJ29" s="94"/>
      <c r="AK29" s="94"/>
      <c r="AL29" s="170" t="str">
        <f t="shared" si="1"/>
        <v>マルウェア/</v>
      </c>
      <c r="AM29" s="94"/>
    </row>
    <row r="30" spans="1:39" ht="135">
      <c r="A30" s="75"/>
      <c r="B30" s="101"/>
      <c r="C30" s="71" t="s">
        <v>1343</v>
      </c>
      <c r="D30" s="90" t="s">
        <v>1344</v>
      </c>
      <c r="E30" s="91" t="s">
        <v>1345</v>
      </c>
      <c r="F30" s="92" t="s">
        <v>254</v>
      </c>
      <c r="G30" s="181"/>
      <c r="H30" s="181"/>
      <c r="I30" s="94"/>
      <c r="J30" s="94"/>
      <c r="K30" s="94"/>
      <c r="L30" s="94"/>
      <c r="M30" s="247"/>
      <c r="N30" s="111" cm="1">
        <f t="array" ref="N30">IF(AG30=TRUE,_xlfn.IFS(L30=1,2,L30="",IF(M30="",1,2)),0)</f>
        <v>0</v>
      </c>
      <c r="O30" s="95" t="s">
        <v>255</v>
      </c>
      <c r="P30" s="95" t="s">
        <v>183</v>
      </c>
      <c r="Q30" s="95" t="s">
        <v>183</v>
      </c>
      <c r="R30" s="95" t="s">
        <v>183</v>
      </c>
      <c r="S30" s="197"/>
      <c r="T30" s="198" t="s">
        <v>183</v>
      </c>
      <c r="U30" s="195" t="s">
        <v>183</v>
      </c>
      <c r="V30" s="96" t="s">
        <v>448</v>
      </c>
      <c r="W30" s="96" t="s">
        <v>448</v>
      </c>
      <c r="X30" s="95"/>
      <c r="Y30" s="95"/>
      <c r="Z30" s="95"/>
      <c r="AA30" s="95"/>
      <c r="AB30" s="95"/>
      <c r="AC30" s="95" t="s">
        <v>183</v>
      </c>
      <c r="AD30" s="95" t="s">
        <v>183</v>
      </c>
      <c r="AE30" s="95"/>
      <c r="AF30" s="95"/>
      <c r="AG30" s="94" t="b">
        <f t="shared" si="0"/>
        <v>0</v>
      </c>
      <c r="AH30" s="94"/>
      <c r="AI30" s="94"/>
      <c r="AJ30" s="94"/>
      <c r="AK30" s="94"/>
      <c r="AL30" s="170" t="str">
        <f t="shared" si="1"/>
        <v/>
      </c>
      <c r="AM30" s="130" t="s">
        <v>1346</v>
      </c>
    </row>
    <row r="31" spans="1:39" ht="22.5">
      <c r="A31" s="75"/>
      <c r="B31" s="82" t="s">
        <v>1347</v>
      </c>
      <c r="C31" s="115"/>
      <c r="D31" s="83"/>
      <c r="E31" s="84"/>
      <c r="F31" s="85"/>
      <c r="G31" s="85"/>
      <c r="H31" s="85"/>
      <c r="I31" s="87"/>
      <c r="J31" s="87"/>
      <c r="K31" s="87"/>
      <c r="L31" s="87"/>
      <c r="M31" s="246"/>
      <c r="N31" s="246"/>
      <c r="O31" s="87"/>
      <c r="P31" s="87"/>
      <c r="Q31" s="87"/>
      <c r="R31" s="87"/>
      <c r="S31" s="87"/>
      <c r="T31" s="87"/>
      <c r="U31" s="87"/>
      <c r="V31" s="87"/>
      <c r="W31" s="87"/>
      <c r="X31" s="87"/>
      <c r="Y31" s="87"/>
      <c r="Z31" s="87"/>
      <c r="AA31" s="87" t="s">
        <v>448</v>
      </c>
      <c r="AB31" s="87" t="s">
        <v>448</v>
      </c>
      <c r="AC31" s="87"/>
      <c r="AD31" s="87"/>
      <c r="AE31" s="87"/>
      <c r="AF31" s="87"/>
      <c r="AG31" s="87" t="s">
        <v>728</v>
      </c>
      <c r="AH31" s="87"/>
      <c r="AI31" s="87"/>
      <c r="AJ31" s="87"/>
      <c r="AK31" s="87"/>
      <c r="AL31" s="87"/>
      <c r="AM31" s="87"/>
    </row>
    <row r="32" spans="1:39" ht="135">
      <c r="A32" s="75"/>
      <c r="B32" s="82"/>
      <c r="C32" s="71" t="s">
        <v>1353</v>
      </c>
      <c r="D32" s="90" t="s">
        <v>772</v>
      </c>
      <c r="E32" s="107" t="s">
        <v>1348</v>
      </c>
      <c r="F32" s="93" t="s">
        <v>254</v>
      </c>
      <c r="G32" s="181"/>
      <c r="H32" s="181"/>
      <c r="I32" s="94"/>
      <c r="J32" s="94"/>
      <c r="K32" s="94"/>
      <c r="L32" s="94"/>
      <c r="M32" s="247"/>
      <c r="N32" s="111" cm="1">
        <f t="array" ref="N32">IF(AG32=TRUE,_xlfn.IFS(L32=1,2,L32="",IF(M32="",1,2)),0)</f>
        <v>0</v>
      </c>
      <c r="O32" s="95" t="s">
        <v>255</v>
      </c>
      <c r="P32" s="95" t="s">
        <v>183</v>
      </c>
      <c r="Q32" s="95" t="s">
        <v>183</v>
      </c>
      <c r="R32" s="95" t="s">
        <v>183</v>
      </c>
      <c r="S32" s="95" t="s">
        <v>183</v>
      </c>
      <c r="T32" s="96" t="s">
        <v>448</v>
      </c>
      <c r="U32" s="96" t="s">
        <v>448</v>
      </c>
      <c r="V32" s="96" t="s">
        <v>448</v>
      </c>
      <c r="W32" s="96" t="s">
        <v>448</v>
      </c>
      <c r="X32" s="95"/>
      <c r="Y32" s="95"/>
      <c r="Z32" s="95"/>
      <c r="AA32" s="95"/>
      <c r="AB32" s="95"/>
      <c r="AC32" s="95"/>
      <c r="AD32" s="95" t="s">
        <v>183</v>
      </c>
      <c r="AE32" s="95"/>
      <c r="AF32" s="95"/>
      <c r="AG32" s="94" t="b">
        <f t="shared" ref="AG32:AG41" si="2">AND(OR(AND($O$5=TRUE,$O32&lt;&gt;""),AND($P$5=TRUE,$P32&lt;&gt;""),AND($Q$5=TRUE,$Q32&lt;&gt;"")),AND($R$5=TRUE,$R32&lt;&gt;""),OR(AND($S$5=TRUE,$S32&lt;&gt;""),AND($T$5=TRUE,$T32&lt;&gt;""),AND($U$5=TRUE,$U32&lt;&gt;""),AND($V$5=TRUE,$V32&lt;&gt;""),AND($W$5=TRUE,$W32&lt;&gt;""),AND($X$5=TRUE,$X32&lt;&gt;""),AND($Y$5=TRUE,$Y32&lt;&gt;""),AND($Z$5=TRUE,$Z32&lt;&gt;""),AND($AA$5=TRUE,$AA32&lt;&gt;""),AND($AB$5=TRUE,$AB32&lt;&gt;"")),OR(AND($AC$5=TRUE,$AC32&lt;&gt;""),AND($AD$5=TRUE,$AD32&lt;&gt;""),AND($AE$5=TRUE,$AE32&lt;&gt;""),AND($AF$5=TRUE,$AF32&lt;&gt;"")))</f>
        <v>0</v>
      </c>
      <c r="AH32" s="94"/>
      <c r="AI32" s="94"/>
      <c r="AJ32" s="94"/>
      <c r="AK32" s="94"/>
      <c r="AL32" s="170" t="str">
        <f t="shared" ref="AL32:AL41" si="3">IF(AH32&lt;&gt;"","セキュリティ管理/","")&amp;IF(AI32&lt;&gt;"","マルウェア/","")&amp;IF(AJ32&lt;&gt;"","クラウド/","")&amp;IF(AK32&lt;&gt;"","別表1,2,3","")</f>
        <v/>
      </c>
      <c r="AM32" s="94" t="s">
        <v>337</v>
      </c>
    </row>
    <row r="33" spans="1:39" ht="382.5">
      <c r="A33" s="75"/>
      <c r="B33" s="82"/>
      <c r="C33" s="71" t="s">
        <v>1356</v>
      </c>
      <c r="D33" s="90" t="s">
        <v>1349</v>
      </c>
      <c r="E33" s="107" t="s">
        <v>1350</v>
      </c>
      <c r="F33" s="93" t="s">
        <v>254</v>
      </c>
      <c r="G33" s="181"/>
      <c r="H33" s="181"/>
      <c r="I33" s="94"/>
      <c r="J33" s="94"/>
      <c r="K33" s="94"/>
      <c r="L33" s="94"/>
      <c r="M33" s="247"/>
      <c r="N33" s="111" cm="1">
        <f t="array" ref="N33">IF(AG33=TRUE,_xlfn.IFS(L33=1,2,L33="",IF(M33="",1,2)),0)</f>
        <v>0</v>
      </c>
      <c r="O33" s="95" t="s">
        <v>255</v>
      </c>
      <c r="P33" s="95" t="s">
        <v>183</v>
      </c>
      <c r="Q33" s="95" t="s">
        <v>183</v>
      </c>
      <c r="R33" s="95" t="s">
        <v>183</v>
      </c>
      <c r="S33" s="95" t="s">
        <v>183</v>
      </c>
      <c r="T33" s="96" t="s">
        <v>448</v>
      </c>
      <c r="U33" s="96" t="s">
        <v>448</v>
      </c>
      <c r="V33" s="96" t="s">
        <v>448</v>
      </c>
      <c r="W33" s="96" t="s">
        <v>448</v>
      </c>
      <c r="X33" s="95"/>
      <c r="Y33" s="95"/>
      <c r="Z33" s="95"/>
      <c r="AA33" s="95"/>
      <c r="AB33" s="95"/>
      <c r="AC33" s="95" t="s">
        <v>183</v>
      </c>
      <c r="AD33" s="95" t="s">
        <v>183</v>
      </c>
      <c r="AE33" s="95"/>
      <c r="AF33" s="95"/>
      <c r="AG33" s="94" t="b">
        <f t="shared" si="2"/>
        <v>0</v>
      </c>
      <c r="AH33" s="94"/>
      <c r="AI33" s="94"/>
      <c r="AJ33" s="94"/>
      <c r="AK33" s="94"/>
      <c r="AL33" s="170" t="str">
        <f t="shared" si="3"/>
        <v/>
      </c>
      <c r="AM33" s="94" t="s">
        <v>337</v>
      </c>
    </row>
    <row r="34" spans="1:39" ht="292.5">
      <c r="A34" s="75"/>
      <c r="B34" s="82"/>
      <c r="C34" s="71" t="s">
        <v>1360</v>
      </c>
      <c r="D34" s="90" t="s">
        <v>1351</v>
      </c>
      <c r="E34" s="107" t="s">
        <v>1352</v>
      </c>
      <c r="F34" s="93" t="s">
        <v>361</v>
      </c>
      <c r="G34" s="181"/>
      <c r="H34" s="181"/>
      <c r="I34" s="94"/>
      <c r="J34" s="94"/>
      <c r="K34" s="94"/>
      <c r="L34" s="94"/>
      <c r="M34" s="247"/>
      <c r="N34" s="111" cm="1">
        <f t="array" ref="N34">IF(AG34=TRUE,_xlfn.IFS(L34=1,2,L34="",IF(M34="",1,2)),0)</f>
        <v>0</v>
      </c>
      <c r="O34" s="95" t="s">
        <v>255</v>
      </c>
      <c r="P34" s="95" t="s">
        <v>183</v>
      </c>
      <c r="Q34" s="95" t="s">
        <v>183</v>
      </c>
      <c r="R34" s="95" t="s">
        <v>183</v>
      </c>
      <c r="S34"/>
      <c r="T34" s="96" t="s">
        <v>448</v>
      </c>
      <c r="U34" s="96" t="s">
        <v>448</v>
      </c>
      <c r="V34" s="96" t="s">
        <v>448</v>
      </c>
      <c r="W34" s="96" t="s">
        <v>448</v>
      </c>
      <c r="X34" s="95"/>
      <c r="Y34" s="95"/>
      <c r="Z34" s="95"/>
      <c r="AA34" s="95"/>
      <c r="AB34" s="95" t="s">
        <v>183</v>
      </c>
      <c r="AC34" s="95" t="s">
        <v>183</v>
      </c>
      <c r="AD34" s="95" t="s">
        <v>183</v>
      </c>
      <c r="AE34" s="95"/>
      <c r="AF34" s="95"/>
      <c r="AG34" s="94" t="b">
        <f t="shared" si="2"/>
        <v>0</v>
      </c>
      <c r="AH34" s="94"/>
      <c r="AI34" s="94"/>
      <c r="AJ34" s="94"/>
      <c r="AK34" s="94"/>
      <c r="AL34" s="170" t="str">
        <f>IF(AH34&lt;&gt;"","セキュリティ管理/","")&amp;IF(AI34&lt;&gt;"","マルウェア/","")&amp;IF(AJ34&lt;&gt;"","クラウド/","")&amp;IF(AK34&lt;&gt;"","別表1,2,3","")</f>
        <v/>
      </c>
      <c r="AM34" s="94" t="s">
        <v>768</v>
      </c>
    </row>
    <row r="35" spans="1:39" ht="157.5">
      <c r="A35" s="75"/>
      <c r="B35" s="82"/>
      <c r="C35" s="71" t="s">
        <v>1363</v>
      </c>
      <c r="D35" s="90" t="s">
        <v>1354</v>
      </c>
      <c r="E35" s="107" t="s">
        <v>1355</v>
      </c>
      <c r="F35" s="93" t="s">
        <v>361</v>
      </c>
      <c r="G35" s="181"/>
      <c r="H35" s="181"/>
      <c r="I35" s="94"/>
      <c r="J35" s="94"/>
      <c r="K35" s="94"/>
      <c r="L35" s="94"/>
      <c r="M35" s="247"/>
      <c r="N35" s="111" cm="1">
        <f t="array" ref="N35">IF(AG35=TRUE,_xlfn.IFS(L35=1,2,L35="",IF(M35="",1,2)),0)</f>
        <v>0</v>
      </c>
      <c r="O35" s="95" t="s">
        <v>255</v>
      </c>
      <c r="P35" s="95" t="s">
        <v>183</v>
      </c>
      <c r="Q35" s="95" t="s">
        <v>183</v>
      </c>
      <c r="R35" s="95" t="s">
        <v>183</v>
      </c>
      <c r="S35"/>
      <c r="T35" s="96" t="s">
        <v>448</v>
      </c>
      <c r="U35" s="96" t="s">
        <v>448</v>
      </c>
      <c r="V35" s="96" t="s">
        <v>448</v>
      </c>
      <c r="W35" s="96" t="s">
        <v>448</v>
      </c>
      <c r="X35" s="95"/>
      <c r="Y35" s="95"/>
      <c r="Z35" s="95"/>
      <c r="AA35" s="95"/>
      <c r="AB35" s="95" t="s">
        <v>183</v>
      </c>
      <c r="AC35" s="95" t="s">
        <v>183</v>
      </c>
      <c r="AD35" s="95" t="s">
        <v>183</v>
      </c>
      <c r="AE35" s="95"/>
      <c r="AF35" s="95"/>
      <c r="AG35" s="94" t="b">
        <f t="shared" si="2"/>
        <v>0</v>
      </c>
      <c r="AH35" s="94"/>
      <c r="AI35" s="94"/>
      <c r="AJ35" s="94"/>
      <c r="AK35" s="94"/>
      <c r="AL35" s="170" t="str">
        <f>IF(AH35&lt;&gt;"","セキュリティ管理/","")&amp;IF(AI35&lt;&gt;"","マルウェア/","")&amp;IF(AJ35&lt;&gt;"","クラウド/","")&amp;IF(AK35&lt;&gt;"","別表1,2,3","")</f>
        <v/>
      </c>
      <c r="AM35" s="94" t="s">
        <v>768</v>
      </c>
    </row>
    <row r="36" spans="1:39" ht="90">
      <c r="A36" s="75"/>
      <c r="B36" s="82"/>
      <c r="C36" s="71" t="s">
        <v>1366</v>
      </c>
      <c r="D36" s="90" t="s">
        <v>1357</v>
      </c>
      <c r="E36" s="107" t="s">
        <v>1358</v>
      </c>
      <c r="F36" s="93" t="s">
        <v>254</v>
      </c>
      <c r="G36" s="181"/>
      <c r="H36" s="181"/>
      <c r="I36" s="94" t="s">
        <v>730</v>
      </c>
      <c r="J36" s="94" t="s">
        <v>730</v>
      </c>
      <c r="K36" s="94"/>
      <c r="L36" s="94"/>
      <c r="M36" s="247"/>
      <c r="N36" s="111" cm="1">
        <f t="array" ref="N36">IF(AG36=TRUE,_xlfn.IFS(L36=1,2,L36="",IF(M36="",1,2)),0)</f>
        <v>0</v>
      </c>
      <c r="O36" s="95" t="s">
        <v>255</v>
      </c>
      <c r="P36" s="95" t="s">
        <v>183</v>
      </c>
      <c r="Q36" s="95" t="s">
        <v>183</v>
      </c>
      <c r="R36" s="95" t="s">
        <v>183</v>
      </c>
      <c r="S36" s="95" t="s">
        <v>183</v>
      </c>
      <c r="T36" s="96" t="s">
        <v>448</v>
      </c>
      <c r="U36" s="96" t="s">
        <v>448</v>
      </c>
      <c r="V36" s="96" t="s">
        <v>448</v>
      </c>
      <c r="W36" s="96" t="s">
        <v>448</v>
      </c>
      <c r="X36" s="95"/>
      <c r="Y36" s="95"/>
      <c r="Z36" s="95"/>
      <c r="AA36" s="95"/>
      <c r="AB36" s="95" t="s">
        <v>183</v>
      </c>
      <c r="AC36" s="95" t="s">
        <v>183</v>
      </c>
      <c r="AD36" s="95" t="s">
        <v>183</v>
      </c>
      <c r="AE36" s="95"/>
      <c r="AF36" s="95"/>
      <c r="AG36" s="94" t="b">
        <f t="shared" si="2"/>
        <v>0</v>
      </c>
      <c r="AH36" s="94"/>
      <c r="AI36" s="94"/>
      <c r="AJ36" s="94"/>
      <c r="AK36" s="94"/>
      <c r="AL36" s="170" t="str">
        <f t="shared" si="3"/>
        <v/>
      </c>
      <c r="AM36" s="130" t="s">
        <v>1359</v>
      </c>
    </row>
    <row r="37" spans="1:39" ht="22.5">
      <c r="A37" s="75"/>
      <c r="B37" s="82"/>
      <c r="C37" s="71" t="s">
        <v>1369</v>
      </c>
      <c r="D37" s="90" t="s">
        <v>1361</v>
      </c>
      <c r="E37" s="107" t="s">
        <v>1362</v>
      </c>
      <c r="F37" s="92" t="s">
        <v>254</v>
      </c>
      <c r="G37" s="181"/>
      <c r="H37" s="181"/>
      <c r="I37" s="94"/>
      <c r="J37" s="94"/>
      <c r="K37" s="94"/>
      <c r="L37" s="94"/>
      <c r="M37" s="247"/>
      <c r="N37" s="111" cm="1">
        <f t="array" ref="N37">IF(AG37=TRUE,_xlfn.IFS(L37=1,2,L37="",IF(M37="",1,2)),0)</f>
        <v>0</v>
      </c>
      <c r="O37" s="95" t="s">
        <v>255</v>
      </c>
      <c r="P37" s="95" t="s">
        <v>183</v>
      </c>
      <c r="Q37" s="95" t="s">
        <v>183</v>
      </c>
      <c r="R37" s="95" t="s">
        <v>183</v>
      </c>
      <c r="S37" s="95"/>
      <c r="T37" s="96" t="s">
        <v>448</v>
      </c>
      <c r="U37" s="96" t="s">
        <v>448</v>
      </c>
      <c r="V37" s="96" t="s">
        <v>448</v>
      </c>
      <c r="W37" s="96" t="s">
        <v>448</v>
      </c>
      <c r="X37" s="95"/>
      <c r="Y37" s="95"/>
      <c r="Z37" s="95" t="s">
        <v>183</v>
      </c>
      <c r="AA37" s="95"/>
      <c r="AB37" s="95"/>
      <c r="AC37" s="95" t="s">
        <v>183</v>
      </c>
      <c r="AD37" s="95" t="s">
        <v>183</v>
      </c>
      <c r="AE37" s="95"/>
      <c r="AF37" s="95"/>
      <c r="AG37" s="94" t="b">
        <f t="shared" si="2"/>
        <v>0</v>
      </c>
      <c r="AH37" s="94"/>
      <c r="AI37" s="94"/>
      <c r="AJ37" s="94"/>
      <c r="AK37" s="94"/>
      <c r="AL37" s="170" t="str">
        <f t="shared" si="3"/>
        <v/>
      </c>
      <c r="AM37" s="94"/>
    </row>
    <row r="38" spans="1:39" ht="45">
      <c r="A38" s="75"/>
      <c r="B38" s="82"/>
      <c r="C38" s="71" t="s">
        <v>1372</v>
      </c>
      <c r="D38" s="90" t="s">
        <v>1364</v>
      </c>
      <c r="E38" s="107" t="s">
        <v>1365</v>
      </c>
      <c r="F38" s="93" t="s">
        <v>254</v>
      </c>
      <c r="G38" s="181"/>
      <c r="H38" s="181"/>
      <c r="I38" s="94"/>
      <c r="J38" s="94"/>
      <c r="K38" s="94"/>
      <c r="L38" s="94"/>
      <c r="M38" s="247"/>
      <c r="N38" s="111" cm="1">
        <f t="array" ref="N38">IF(AG38=TRUE,_xlfn.IFS(L38=1,2,L38="",IF(M38="",1,2)),0)</f>
        <v>0</v>
      </c>
      <c r="O38" s="95" t="s">
        <v>255</v>
      </c>
      <c r="P38" s="95" t="s">
        <v>183</v>
      </c>
      <c r="Q38" s="95" t="s">
        <v>183</v>
      </c>
      <c r="R38" s="95" t="s">
        <v>183</v>
      </c>
      <c r="S38" s="95" t="s">
        <v>183</v>
      </c>
      <c r="T38" s="96" t="s">
        <v>448</v>
      </c>
      <c r="U38" s="96" t="s">
        <v>448</v>
      </c>
      <c r="V38" s="96" t="s">
        <v>448</v>
      </c>
      <c r="W38" s="96" t="s">
        <v>448</v>
      </c>
      <c r="X38" s="95"/>
      <c r="Y38" s="95"/>
      <c r="Z38" s="95"/>
      <c r="AA38" s="95"/>
      <c r="AB38" s="95"/>
      <c r="AC38" s="95" t="s">
        <v>183</v>
      </c>
      <c r="AD38" s="95" t="s">
        <v>183</v>
      </c>
      <c r="AE38" s="95"/>
      <c r="AF38" s="95"/>
      <c r="AG38" s="94" t="b">
        <f t="shared" si="2"/>
        <v>0</v>
      </c>
      <c r="AH38" s="94"/>
      <c r="AI38" s="94"/>
      <c r="AJ38" s="94"/>
      <c r="AK38" s="94"/>
      <c r="AL38" s="170" t="str">
        <f t="shared" si="3"/>
        <v/>
      </c>
      <c r="AM38" s="94"/>
    </row>
    <row r="39" spans="1:39" ht="90">
      <c r="A39" s="75"/>
      <c r="B39" s="82"/>
      <c r="C39" s="71" t="s">
        <v>2176</v>
      </c>
      <c r="D39" s="90" t="s">
        <v>1367</v>
      </c>
      <c r="E39" s="107" t="s">
        <v>1368</v>
      </c>
      <c r="F39" s="93" t="s">
        <v>254</v>
      </c>
      <c r="G39" s="181"/>
      <c r="H39" s="181"/>
      <c r="I39" s="94"/>
      <c r="J39" s="94"/>
      <c r="K39" s="94"/>
      <c r="L39" s="94"/>
      <c r="M39" s="247"/>
      <c r="N39" s="111" cm="1">
        <f t="array" ref="N39">IF(AG39=TRUE,_xlfn.IFS(L39=1,2,L39="",IF(M39="",1,2)),0)</f>
        <v>0</v>
      </c>
      <c r="O39" s="95" t="s">
        <v>255</v>
      </c>
      <c r="P39" s="95" t="s">
        <v>183</v>
      </c>
      <c r="Q39" s="95" t="s">
        <v>183</v>
      </c>
      <c r="R39" s="95" t="s">
        <v>183</v>
      </c>
      <c r="S39" s="95" t="s">
        <v>183</v>
      </c>
      <c r="T39" s="96" t="s">
        <v>448</v>
      </c>
      <c r="U39" s="96" t="s">
        <v>448</v>
      </c>
      <c r="V39" s="96" t="s">
        <v>448</v>
      </c>
      <c r="W39" s="96" t="s">
        <v>448</v>
      </c>
      <c r="X39" s="95"/>
      <c r="Y39" s="95"/>
      <c r="Z39" s="95"/>
      <c r="AA39" s="95"/>
      <c r="AB39" s="95"/>
      <c r="AC39" s="95" t="s">
        <v>183</v>
      </c>
      <c r="AD39" s="95" t="s">
        <v>183</v>
      </c>
      <c r="AE39" s="95"/>
      <c r="AF39" s="95"/>
      <c r="AG39" s="94" t="b">
        <f t="shared" si="2"/>
        <v>0</v>
      </c>
      <c r="AH39" s="94"/>
      <c r="AI39" s="94"/>
      <c r="AJ39" s="94"/>
      <c r="AK39" s="94"/>
      <c r="AL39" s="170" t="str">
        <f t="shared" si="3"/>
        <v/>
      </c>
      <c r="AM39" s="94"/>
    </row>
    <row r="40" spans="1:39" ht="45">
      <c r="A40" s="75"/>
      <c r="B40" s="82"/>
      <c r="C40" s="71" t="s">
        <v>1378</v>
      </c>
      <c r="D40" s="90" t="s">
        <v>1370</v>
      </c>
      <c r="E40" s="107" t="s">
        <v>1371</v>
      </c>
      <c r="F40" s="93" t="s">
        <v>254</v>
      </c>
      <c r="G40" s="181"/>
      <c r="H40" s="181"/>
      <c r="I40" s="94"/>
      <c r="J40" s="94"/>
      <c r="K40" s="94"/>
      <c r="L40" s="94"/>
      <c r="M40" s="247"/>
      <c r="N40" s="111" cm="1">
        <f t="array" ref="N40">IF(AG40=TRUE,_xlfn.IFS(L40=1,2,L40="",IF(M40="",1,2)),0)</f>
        <v>0</v>
      </c>
      <c r="O40" s="95" t="s">
        <v>255</v>
      </c>
      <c r="P40" s="95" t="s">
        <v>183</v>
      </c>
      <c r="Q40" s="95" t="s">
        <v>183</v>
      </c>
      <c r="R40" s="95" t="s">
        <v>183</v>
      </c>
      <c r="S40" s="95" t="s">
        <v>183</v>
      </c>
      <c r="T40" s="96" t="s">
        <v>448</v>
      </c>
      <c r="U40" s="96" t="s">
        <v>448</v>
      </c>
      <c r="V40" s="96" t="s">
        <v>448</v>
      </c>
      <c r="W40" s="96" t="s">
        <v>448</v>
      </c>
      <c r="X40" s="95"/>
      <c r="Y40" s="95"/>
      <c r="Z40" s="95"/>
      <c r="AA40" s="95"/>
      <c r="AB40" s="95"/>
      <c r="AC40" s="95" t="s">
        <v>183</v>
      </c>
      <c r="AD40" s="95" t="s">
        <v>183</v>
      </c>
      <c r="AE40" s="95"/>
      <c r="AF40" s="95"/>
      <c r="AG40" s="94" t="b">
        <f t="shared" si="2"/>
        <v>0</v>
      </c>
      <c r="AH40" s="94"/>
      <c r="AI40" s="94"/>
      <c r="AJ40" s="94"/>
      <c r="AK40" s="94"/>
      <c r="AL40" s="170" t="str">
        <f t="shared" si="3"/>
        <v/>
      </c>
      <c r="AM40" s="94"/>
    </row>
    <row r="41" spans="1:39" ht="67.5">
      <c r="A41" s="75"/>
      <c r="B41" s="82"/>
      <c r="C41" s="71" t="s">
        <v>1379</v>
      </c>
      <c r="D41" s="90" t="s">
        <v>1373</v>
      </c>
      <c r="E41" s="107" t="s">
        <v>1374</v>
      </c>
      <c r="F41" s="93" t="s">
        <v>254</v>
      </c>
      <c r="G41" s="181"/>
      <c r="H41" s="181"/>
      <c r="I41" s="94"/>
      <c r="J41" s="94"/>
      <c r="K41" s="94"/>
      <c r="L41" s="94"/>
      <c r="M41" s="247"/>
      <c r="N41" s="111" cm="1">
        <f t="array" ref="N41">IF(AG41=TRUE,_xlfn.IFS(L41=1,2,L41="",IF(M41="",1,2)),0)</f>
        <v>0</v>
      </c>
      <c r="O41" s="95" t="s">
        <v>255</v>
      </c>
      <c r="P41" s="95" t="s">
        <v>183</v>
      </c>
      <c r="Q41" s="95" t="s">
        <v>183</v>
      </c>
      <c r="R41" s="95" t="s">
        <v>183</v>
      </c>
      <c r="S41" s="95" t="s">
        <v>183</v>
      </c>
      <c r="T41" s="96"/>
      <c r="U41" s="96"/>
      <c r="V41" s="96"/>
      <c r="W41" s="96"/>
      <c r="X41" s="95"/>
      <c r="Y41" s="95"/>
      <c r="Z41" s="95"/>
      <c r="AA41" s="95"/>
      <c r="AB41" s="95"/>
      <c r="AC41" s="95" t="s">
        <v>183</v>
      </c>
      <c r="AD41" s="95" t="s">
        <v>183</v>
      </c>
      <c r="AE41" s="95"/>
      <c r="AF41" s="95"/>
      <c r="AG41" s="94" t="b">
        <f t="shared" si="2"/>
        <v>0</v>
      </c>
      <c r="AH41" s="94"/>
      <c r="AI41" s="94"/>
      <c r="AJ41" s="94"/>
      <c r="AK41" s="94"/>
      <c r="AL41" s="170" t="str">
        <f t="shared" si="3"/>
        <v/>
      </c>
      <c r="AM41" s="94"/>
    </row>
    <row r="42" spans="1:39" ht="22.5">
      <c r="A42" s="75" t="s">
        <v>1375</v>
      </c>
      <c r="B42" s="75"/>
      <c r="C42" s="113"/>
      <c r="D42" s="76"/>
      <c r="E42" s="77"/>
      <c r="F42" s="78"/>
      <c r="G42" s="79"/>
      <c r="H42" s="79"/>
      <c r="I42" s="80"/>
      <c r="J42" s="80"/>
      <c r="K42" s="80"/>
      <c r="L42" s="80"/>
      <c r="M42" s="245"/>
      <c r="N42" s="245"/>
      <c r="O42" s="80"/>
      <c r="P42" s="80"/>
      <c r="Q42" s="80"/>
      <c r="R42" s="80"/>
      <c r="S42" s="80"/>
      <c r="T42" s="80"/>
      <c r="U42" s="80"/>
      <c r="V42" s="80"/>
      <c r="W42" s="80"/>
      <c r="X42" s="80"/>
      <c r="Y42" s="80"/>
      <c r="Z42" s="80"/>
      <c r="AA42" s="80"/>
      <c r="AB42" s="80"/>
      <c r="AC42" s="80"/>
      <c r="AD42" s="80"/>
      <c r="AE42" s="80"/>
      <c r="AF42" s="80"/>
      <c r="AG42" s="80" t="s">
        <v>728</v>
      </c>
      <c r="AH42" s="80"/>
      <c r="AI42" s="80"/>
      <c r="AJ42" s="80"/>
      <c r="AK42" s="80"/>
      <c r="AL42" s="80"/>
      <c r="AM42" s="80"/>
    </row>
    <row r="43" spans="1:39" ht="22.5">
      <c r="A43" s="75"/>
      <c r="B43" s="82"/>
      <c r="C43" s="115"/>
      <c r="D43" s="83"/>
      <c r="E43" s="84"/>
      <c r="F43" s="85"/>
      <c r="G43" s="86"/>
      <c r="H43" s="86"/>
      <c r="I43" s="87"/>
      <c r="J43" s="87"/>
      <c r="K43" s="87"/>
      <c r="L43" s="87"/>
      <c r="M43" s="246"/>
      <c r="N43" s="246"/>
      <c r="O43" s="87"/>
      <c r="P43" s="87"/>
      <c r="Q43" s="87"/>
      <c r="R43" s="87"/>
      <c r="S43" s="87"/>
      <c r="T43" s="87"/>
      <c r="U43" s="87"/>
      <c r="V43" s="87"/>
      <c r="W43" s="87"/>
      <c r="X43" s="87"/>
      <c r="Y43" s="87"/>
      <c r="Z43" s="87"/>
      <c r="AA43" s="87"/>
      <c r="AB43" s="87"/>
      <c r="AC43" s="87"/>
      <c r="AD43" s="87"/>
      <c r="AE43" s="87"/>
      <c r="AF43" s="87"/>
      <c r="AG43" s="87" t="s">
        <v>728</v>
      </c>
      <c r="AH43" s="87"/>
      <c r="AI43" s="87"/>
      <c r="AJ43" s="87"/>
      <c r="AK43" s="87"/>
      <c r="AL43" s="87"/>
      <c r="AM43" s="87"/>
    </row>
    <row r="44" spans="1:39" ht="202.5">
      <c r="A44" s="75"/>
      <c r="B44" s="82"/>
      <c r="C44" s="71" t="s">
        <v>1381</v>
      </c>
      <c r="D44" s="90" t="s">
        <v>1376</v>
      </c>
      <c r="E44" s="91" t="s">
        <v>1377</v>
      </c>
      <c r="F44" s="92" t="s">
        <v>254</v>
      </c>
      <c r="G44" s="181"/>
      <c r="H44" s="181"/>
      <c r="I44" s="94"/>
      <c r="J44" s="94"/>
      <c r="K44" s="94"/>
      <c r="L44" s="94"/>
      <c r="M44" s="247"/>
      <c r="N44" s="111" cm="1">
        <f t="array" ref="N44">IF(AG44=TRUE,_xlfn.IFS(L44=1,2,L44="",IF(M44="",1,2)),0)</f>
        <v>0</v>
      </c>
      <c r="O44" s="95" t="s">
        <v>255</v>
      </c>
      <c r="P44" s="95" t="s">
        <v>183</v>
      </c>
      <c r="Q44" s="95" t="s">
        <v>183</v>
      </c>
      <c r="R44" s="95" t="s">
        <v>183</v>
      </c>
      <c r="S44" s="96"/>
      <c r="T44" s="96"/>
      <c r="U44" s="96"/>
      <c r="V44" s="96"/>
      <c r="W44" s="96"/>
      <c r="X44" s="96" t="s">
        <v>255</v>
      </c>
      <c r="Y44" s="95"/>
      <c r="Z44" s="95"/>
      <c r="AA44" s="95"/>
      <c r="AB44" s="95"/>
      <c r="AC44" s="95" t="s">
        <v>183</v>
      </c>
      <c r="AD44" s="95" t="s">
        <v>183</v>
      </c>
      <c r="AE44" s="95" t="s">
        <v>255</v>
      </c>
      <c r="AF44" s="95" t="s">
        <v>255</v>
      </c>
      <c r="AG44" s="94" t="b">
        <f t="shared" ref="AG44:AG53" si="4">AND(OR(AND($O$5=TRUE,$O44&lt;&gt;""),AND($P$5=TRUE,$P44&lt;&gt;""),AND($Q$5=TRUE,$Q44&lt;&gt;"")),AND($R$5=TRUE,$R44&lt;&gt;""),OR(AND($S$5=TRUE,$S44&lt;&gt;""),AND($T$5=TRUE,$T44&lt;&gt;""),AND($U$5=TRUE,$U44&lt;&gt;""),AND($V$5=TRUE,$V44&lt;&gt;""),AND($W$5=TRUE,$W44&lt;&gt;""),AND($X$5=TRUE,$X44&lt;&gt;""),AND($Y$5=TRUE,$Y44&lt;&gt;""),AND($Z$5=TRUE,$Z44&lt;&gt;""),AND($AA$5=TRUE,$AA44&lt;&gt;""),AND($AB$5=TRUE,$AB44&lt;&gt;"")),OR(AND($AC$5=TRUE,$AC44&lt;&gt;""),AND($AD$5=TRUE,$AD44&lt;&gt;""),AND($AE$5=TRUE,$AE44&lt;&gt;""),AND($AF$5=TRUE,$AF44&lt;&gt;"")))</f>
        <v>0</v>
      </c>
      <c r="AH44" s="94"/>
      <c r="AI44" s="94"/>
      <c r="AJ44" s="94"/>
      <c r="AK44" s="94" t="s">
        <v>183</v>
      </c>
      <c r="AL44" s="170" t="str">
        <f t="shared" ref="AL44:AL53" si="5">IF(AH44&lt;&gt;"","セキュリティ管理/","")&amp;IF(AI44&lt;&gt;"","マルウェア/","")&amp;IF(AJ44&lt;&gt;"","クラウド/","")&amp;IF(AK44&lt;&gt;"","別表1,2,3","")</f>
        <v>別表1,2,3</v>
      </c>
      <c r="AM44" s="94"/>
    </row>
    <row r="45" spans="1:39" ht="337.5">
      <c r="A45" s="75"/>
      <c r="B45" s="82"/>
      <c r="C45" s="71" t="s">
        <v>1383</v>
      </c>
      <c r="D45" s="90" t="s">
        <v>287</v>
      </c>
      <c r="E45" s="91" t="s">
        <v>2207</v>
      </c>
      <c r="F45" s="92" t="s">
        <v>254</v>
      </c>
      <c r="G45" s="181"/>
      <c r="H45" s="181"/>
      <c r="I45" s="108"/>
      <c r="J45" s="108"/>
      <c r="K45" s="108"/>
      <c r="L45" s="108"/>
      <c r="M45" s="200"/>
      <c r="N45" s="111" cm="1">
        <f t="array" ref="N45">IF(AG45=TRUE,_xlfn.IFS(L45=1,2,L45="",IF(M45="",1,2)),0)</f>
        <v>0</v>
      </c>
      <c r="O45" s="102" t="s">
        <v>255</v>
      </c>
      <c r="P45" s="102" t="s">
        <v>183</v>
      </c>
      <c r="Q45" s="95" t="s">
        <v>183</v>
      </c>
      <c r="R45" s="95" t="s">
        <v>183</v>
      </c>
      <c r="S45" s="95"/>
      <c r="T45" s="96"/>
      <c r="U45" s="96"/>
      <c r="V45" s="96"/>
      <c r="W45" s="96"/>
      <c r="X45" s="96" t="s">
        <v>255</v>
      </c>
      <c r="Y45" s="95"/>
      <c r="Z45" s="95"/>
      <c r="AA45" s="95"/>
      <c r="AB45" s="95"/>
      <c r="AC45" s="95" t="s">
        <v>183</v>
      </c>
      <c r="AD45" s="95" t="s">
        <v>183</v>
      </c>
      <c r="AE45" s="95" t="s">
        <v>255</v>
      </c>
      <c r="AF45" s="95" t="s">
        <v>255</v>
      </c>
      <c r="AG45" s="94" t="b">
        <f t="shared" si="4"/>
        <v>0</v>
      </c>
      <c r="AH45" s="94" t="s">
        <v>183</v>
      </c>
      <c r="AI45" s="94"/>
      <c r="AJ45" s="94"/>
      <c r="AK45" s="94" t="s">
        <v>183</v>
      </c>
      <c r="AL45" s="170" t="str">
        <f t="shared" si="5"/>
        <v>セキュリティ管理/別表1,2,3</v>
      </c>
      <c r="AM45" s="94" t="s">
        <v>2198</v>
      </c>
    </row>
    <row r="46" spans="1:39" ht="157.5">
      <c r="A46" s="75"/>
      <c r="B46" s="82"/>
      <c r="C46" s="71" t="s">
        <v>1385</v>
      </c>
      <c r="D46" s="90" t="s">
        <v>290</v>
      </c>
      <c r="E46" s="107" t="s">
        <v>1380</v>
      </c>
      <c r="F46" s="93" t="s">
        <v>254</v>
      </c>
      <c r="G46" s="181"/>
      <c r="H46" s="181"/>
      <c r="I46" s="94" t="s">
        <v>730</v>
      </c>
      <c r="J46" s="94" t="s">
        <v>730</v>
      </c>
      <c r="K46" s="94"/>
      <c r="L46" s="94"/>
      <c r="M46" s="247"/>
      <c r="N46" s="111" cm="1">
        <f t="array" ref="N46">IF(AG46=TRUE,_xlfn.IFS(L46=1,2,L46="",IF(M46="",1,2)),0)</f>
        <v>0</v>
      </c>
      <c r="O46" s="95" t="s">
        <v>255</v>
      </c>
      <c r="P46" s="95" t="s">
        <v>183</v>
      </c>
      <c r="Q46" s="95" t="s">
        <v>183</v>
      </c>
      <c r="R46" s="95" t="s">
        <v>183</v>
      </c>
      <c r="S46" s="95"/>
      <c r="T46" s="96"/>
      <c r="U46" s="96"/>
      <c r="V46" s="96"/>
      <c r="W46" s="96"/>
      <c r="X46" s="96" t="s">
        <v>255</v>
      </c>
      <c r="Y46" s="95"/>
      <c r="Z46" s="95"/>
      <c r="AA46" s="95"/>
      <c r="AB46" s="95"/>
      <c r="AC46" s="95" t="s">
        <v>183</v>
      </c>
      <c r="AD46" s="95" t="s">
        <v>183</v>
      </c>
      <c r="AE46" s="95" t="s">
        <v>255</v>
      </c>
      <c r="AF46" s="95" t="s">
        <v>255</v>
      </c>
      <c r="AG46" s="94" t="b">
        <f t="shared" si="4"/>
        <v>0</v>
      </c>
      <c r="AH46" s="94"/>
      <c r="AI46" s="94" t="s">
        <v>183</v>
      </c>
      <c r="AJ46" s="94"/>
      <c r="AK46" s="94"/>
      <c r="AL46" s="170" t="str">
        <f t="shared" si="5"/>
        <v>マルウェア/</v>
      </c>
      <c r="AM46" s="94"/>
    </row>
    <row r="47" spans="1:39" ht="67.5">
      <c r="A47" s="75"/>
      <c r="B47" s="82"/>
      <c r="C47" s="71" t="s">
        <v>1387</v>
      </c>
      <c r="D47" s="90" t="s">
        <v>293</v>
      </c>
      <c r="E47" s="91" t="s">
        <v>1382</v>
      </c>
      <c r="F47" s="92" t="s">
        <v>254</v>
      </c>
      <c r="G47" s="181"/>
      <c r="H47" s="181"/>
      <c r="I47" s="94"/>
      <c r="J47" s="94"/>
      <c r="K47" s="94"/>
      <c r="L47" s="94"/>
      <c r="M47" s="247"/>
      <c r="N47" s="111" cm="1">
        <f t="array" ref="N47">IF(AG47=TRUE,_xlfn.IFS(L47=1,2,L47="",IF(M47="",1,2)),0)</f>
        <v>0</v>
      </c>
      <c r="O47" s="95" t="s">
        <v>255</v>
      </c>
      <c r="P47" s="95" t="s">
        <v>183</v>
      </c>
      <c r="Q47" s="95" t="s">
        <v>183</v>
      </c>
      <c r="R47" s="95" t="s">
        <v>183</v>
      </c>
      <c r="S47" s="95"/>
      <c r="T47" s="96" t="s">
        <v>448</v>
      </c>
      <c r="U47" s="96" t="s">
        <v>448</v>
      </c>
      <c r="V47" s="96" t="s">
        <v>448</v>
      </c>
      <c r="W47" s="96" t="s">
        <v>448</v>
      </c>
      <c r="X47" s="96" t="s">
        <v>255</v>
      </c>
      <c r="Y47" s="95"/>
      <c r="Z47" s="95"/>
      <c r="AA47" s="95"/>
      <c r="AB47" s="95"/>
      <c r="AC47" s="95" t="s">
        <v>183</v>
      </c>
      <c r="AD47" s="95" t="s">
        <v>183</v>
      </c>
      <c r="AE47" s="95" t="s">
        <v>255</v>
      </c>
      <c r="AF47" s="95" t="s">
        <v>255</v>
      </c>
      <c r="AG47" s="94" t="b">
        <f t="shared" si="4"/>
        <v>0</v>
      </c>
      <c r="AH47" s="94"/>
      <c r="AI47" s="94"/>
      <c r="AJ47" s="94"/>
      <c r="AK47" s="94"/>
      <c r="AL47" s="170" t="str">
        <f t="shared" si="5"/>
        <v/>
      </c>
      <c r="AM47" s="94"/>
    </row>
    <row r="48" spans="1:39" ht="67.5">
      <c r="A48" s="109"/>
      <c r="B48" s="101"/>
      <c r="C48" s="71" t="s">
        <v>1389</v>
      </c>
      <c r="D48" s="90" t="s">
        <v>296</v>
      </c>
      <c r="E48" s="91" t="s">
        <v>1384</v>
      </c>
      <c r="F48" s="92" t="s">
        <v>254</v>
      </c>
      <c r="G48" s="181"/>
      <c r="H48" s="181"/>
      <c r="I48" s="94"/>
      <c r="J48" s="94"/>
      <c r="K48" s="94"/>
      <c r="L48" s="94"/>
      <c r="M48" s="247"/>
      <c r="N48" s="111" cm="1">
        <f t="array" ref="N48">IF(AG48=TRUE,_xlfn.IFS(L48=1,2,L48="",IF(M48="",1,2)),0)</f>
        <v>0</v>
      </c>
      <c r="O48" s="95" t="s">
        <v>255</v>
      </c>
      <c r="P48" s="95" t="s">
        <v>183</v>
      </c>
      <c r="Q48" s="95" t="s">
        <v>183</v>
      </c>
      <c r="R48" s="95" t="s">
        <v>183</v>
      </c>
      <c r="S48" s="95"/>
      <c r="T48" s="96" t="s">
        <v>448</v>
      </c>
      <c r="U48" s="96" t="s">
        <v>448</v>
      </c>
      <c r="V48" s="96" t="s">
        <v>448</v>
      </c>
      <c r="W48" s="96" t="s">
        <v>448</v>
      </c>
      <c r="X48" s="96" t="s">
        <v>255</v>
      </c>
      <c r="Y48" s="95"/>
      <c r="Z48" s="95"/>
      <c r="AA48" s="95"/>
      <c r="AB48" s="95"/>
      <c r="AC48" s="95" t="s">
        <v>183</v>
      </c>
      <c r="AD48" s="95" t="s">
        <v>183</v>
      </c>
      <c r="AE48" s="95" t="s">
        <v>255</v>
      </c>
      <c r="AF48" s="95" t="s">
        <v>255</v>
      </c>
      <c r="AG48" s="94" t="b">
        <f t="shared" si="4"/>
        <v>0</v>
      </c>
      <c r="AH48" s="94"/>
      <c r="AI48" s="94"/>
      <c r="AJ48" s="94"/>
      <c r="AK48" s="94"/>
      <c r="AL48" s="170" t="str">
        <f t="shared" si="5"/>
        <v/>
      </c>
      <c r="AM48" s="94"/>
    </row>
    <row r="49" spans="1:39" ht="67.5">
      <c r="A49" s="75"/>
      <c r="B49" s="82"/>
      <c r="C49" s="71" t="s">
        <v>1390</v>
      </c>
      <c r="D49" s="90" t="s">
        <v>299</v>
      </c>
      <c r="E49" s="107" t="s">
        <v>1386</v>
      </c>
      <c r="F49" s="93" t="s">
        <v>254</v>
      </c>
      <c r="G49" s="181"/>
      <c r="H49" s="181"/>
      <c r="I49" s="94"/>
      <c r="J49" s="94"/>
      <c r="K49" s="94"/>
      <c r="L49" s="94"/>
      <c r="M49" s="247"/>
      <c r="N49" s="111" cm="1">
        <f t="array" ref="N49">IF(AG49=TRUE,_xlfn.IFS(L49=1,2,L49="",IF(M49="",1,2)),0)</f>
        <v>0</v>
      </c>
      <c r="O49" s="95" t="s">
        <v>255</v>
      </c>
      <c r="P49" s="95" t="s">
        <v>183</v>
      </c>
      <c r="Q49" s="95" t="s">
        <v>183</v>
      </c>
      <c r="R49" s="95" t="s">
        <v>183</v>
      </c>
      <c r="S49" s="96"/>
      <c r="T49" s="96" t="s">
        <v>448</v>
      </c>
      <c r="U49" s="96" t="s">
        <v>448</v>
      </c>
      <c r="V49" s="96" t="s">
        <v>448</v>
      </c>
      <c r="W49" s="96" t="s">
        <v>448</v>
      </c>
      <c r="X49" s="96" t="s">
        <v>255</v>
      </c>
      <c r="Y49" s="95"/>
      <c r="Z49" s="95"/>
      <c r="AA49" s="95"/>
      <c r="AB49" s="95"/>
      <c r="AC49" s="95" t="s">
        <v>183</v>
      </c>
      <c r="AD49" s="95" t="s">
        <v>183</v>
      </c>
      <c r="AE49" s="95" t="s">
        <v>255</v>
      </c>
      <c r="AF49" s="95" t="s">
        <v>255</v>
      </c>
      <c r="AG49" s="94" t="b">
        <f t="shared" si="4"/>
        <v>0</v>
      </c>
      <c r="AH49" s="94"/>
      <c r="AI49" s="94"/>
      <c r="AJ49" s="94"/>
      <c r="AK49" s="94"/>
      <c r="AL49" s="170" t="str">
        <f t="shared" si="5"/>
        <v/>
      </c>
      <c r="AM49" s="94"/>
    </row>
    <row r="50" spans="1:39" ht="225">
      <c r="A50" s="75"/>
      <c r="B50" s="82"/>
      <c r="C50" s="71" t="s">
        <v>1392</v>
      </c>
      <c r="D50" s="90" t="s">
        <v>302</v>
      </c>
      <c r="E50" s="107" t="s">
        <v>1388</v>
      </c>
      <c r="F50" s="93" t="s">
        <v>254</v>
      </c>
      <c r="G50" s="181"/>
      <c r="H50" s="181"/>
      <c r="I50" s="94"/>
      <c r="J50" s="94"/>
      <c r="K50" s="94"/>
      <c r="L50" s="94"/>
      <c r="M50" s="247"/>
      <c r="N50" s="111" cm="1">
        <f t="array" ref="N50">IF(AG50=TRUE,_xlfn.IFS(L50=1,2,L50="",IF(M50="",1,2)),0)</f>
        <v>0</v>
      </c>
      <c r="O50" s="95" t="s">
        <v>255</v>
      </c>
      <c r="P50" s="95" t="s">
        <v>183</v>
      </c>
      <c r="Q50" s="95" t="s">
        <v>183</v>
      </c>
      <c r="R50" s="95" t="s">
        <v>183</v>
      </c>
      <c r="S50" s="96"/>
      <c r="T50" s="96"/>
      <c r="U50" s="96"/>
      <c r="V50" s="96"/>
      <c r="W50" s="96"/>
      <c r="X50" s="96" t="s">
        <v>255</v>
      </c>
      <c r="Y50" s="95"/>
      <c r="Z50" s="95"/>
      <c r="AA50" s="95"/>
      <c r="AB50" s="95"/>
      <c r="AC50" s="95" t="s">
        <v>183</v>
      </c>
      <c r="AD50" s="95" t="s">
        <v>183</v>
      </c>
      <c r="AE50" s="95" t="s">
        <v>255</v>
      </c>
      <c r="AF50" s="95" t="s">
        <v>255</v>
      </c>
      <c r="AG50" s="94" t="b">
        <f t="shared" si="4"/>
        <v>0</v>
      </c>
      <c r="AH50" s="94"/>
      <c r="AI50" s="94"/>
      <c r="AJ50" s="94"/>
      <c r="AK50" s="94" t="s">
        <v>183</v>
      </c>
      <c r="AL50" s="170" t="str">
        <f t="shared" si="5"/>
        <v>別表1,2,3</v>
      </c>
      <c r="AM50" s="94"/>
    </row>
    <row r="51" spans="1:39" ht="202.5">
      <c r="A51" s="75"/>
      <c r="B51" s="82"/>
      <c r="C51" s="71" t="s">
        <v>2177</v>
      </c>
      <c r="D51" s="90" t="s">
        <v>305</v>
      </c>
      <c r="E51" s="91" t="s">
        <v>2066</v>
      </c>
      <c r="F51" s="110" t="s">
        <v>254</v>
      </c>
      <c r="G51" s="181"/>
      <c r="H51" s="181"/>
      <c r="I51" s="111"/>
      <c r="J51" s="111"/>
      <c r="K51" s="111"/>
      <c r="L51" s="111"/>
      <c r="M51" s="248"/>
      <c r="N51" s="111" cm="1">
        <f t="array" ref="N51">IF(AG51=TRUE,_xlfn.IFS(L51=1,2,L51="",IF(M51="",1,2)),0)</f>
        <v>0</v>
      </c>
      <c r="O51" s="95" t="s">
        <v>255</v>
      </c>
      <c r="P51" s="102" t="s">
        <v>183</v>
      </c>
      <c r="Q51" s="95" t="s">
        <v>183</v>
      </c>
      <c r="R51" s="95" t="s">
        <v>183</v>
      </c>
      <c r="S51" s="95"/>
      <c r="T51" s="96"/>
      <c r="U51" s="96"/>
      <c r="V51" s="96"/>
      <c r="W51" s="96"/>
      <c r="X51" s="96" t="s">
        <v>255</v>
      </c>
      <c r="Y51" s="95"/>
      <c r="Z51" s="95"/>
      <c r="AA51" s="95"/>
      <c r="AB51" s="95"/>
      <c r="AC51" s="95" t="s">
        <v>183</v>
      </c>
      <c r="AD51" s="95" t="s">
        <v>183</v>
      </c>
      <c r="AE51" s="95" t="s">
        <v>255</v>
      </c>
      <c r="AF51" s="95" t="s">
        <v>255</v>
      </c>
      <c r="AG51" s="94" t="b">
        <f t="shared" si="4"/>
        <v>0</v>
      </c>
      <c r="AH51" s="94"/>
      <c r="AI51" s="94"/>
      <c r="AJ51" s="94"/>
      <c r="AK51" s="94" t="s">
        <v>183</v>
      </c>
      <c r="AL51" s="170" t="str">
        <f t="shared" si="5"/>
        <v>別表1,2,3</v>
      </c>
      <c r="AM51" s="130" t="s">
        <v>2208</v>
      </c>
    </row>
    <row r="52" spans="1:39" ht="45">
      <c r="A52" s="109"/>
      <c r="B52" s="101"/>
      <c r="C52" s="71" t="s">
        <v>2178</v>
      </c>
      <c r="D52" s="90" t="s">
        <v>308</v>
      </c>
      <c r="E52" s="91" t="s">
        <v>1391</v>
      </c>
      <c r="F52" s="92" t="s">
        <v>254</v>
      </c>
      <c r="G52" s="181"/>
      <c r="H52" s="181"/>
      <c r="I52" s="94"/>
      <c r="J52" s="94"/>
      <c r="K52" s="94"/>
      <c r="L52" s="94"/>
      <c r="M52" s="247"/>
      <c r="N52" s="111" cm="1">
        <f t="array" ref="N52">IF(AG52=TRUE,_xlfn.IFS(L52=1,2,L52="",IF(M52="",1,2)),0)</f>
        <v>0</v>
      </c>
      <c r="O52" s="95" t="s">
        <v>255</v>
      </c>
      <c r="P52" s="95" t="s">
        <v>183</v>
      </c>
      <c r="Q52" s="95" t="s">
        <v>183</v>
      </c>
      <c r="R52" s="95" t="s">
        <v>183</v>
      </c>
      <c r="S52" s="95"/>
      <c r="T52" s="96" t="s">
        <v>448</v>
      </c>
      <c r="U52" s="96" t="s">
        <v>448</v>
      </c>
      <c r="V52" s="96" t="s">
        <v>448</v>
      </c>
      <c r="W52" s="96" t="s">
        <v>448</v>
      </c>
      <c r="X52" s="95"/>
      <c r="Y52" s="95"/>
      <c r="Z52" s="96" t="s">
        <v>255</v>
      </c>
      <c r="AA52" s="95"/>
      <c r="AB52" s="95"/>
      <c r="AC52" s="95" t="s">
        <v>183</v>
      </c>
      <c r="AD52" s="95" t="s">
        <v>183</v>
      </c>
      <c r="AE52" s="95"/>
      <c r="AF52" s="95" t="s">
        <v>255</v>
      </c>
      <c r="AG52" s="94" t="b">
        <f t="shared" si="4"/>
        <v>0</v>
      </c>
      <c r="AH52" s="94"/>
      <c r="AI52" s="94"/>
      <c r="AJ52" s="94"/>
      <c r="AK52" s="94"/>
      <c r="AL52" s="170" t="str">
        <f t="shared" si="5"/>
        <v/>
      </c>
      <c r="AM52" s="94"/>
    </row>
    <row r="53" spans="1:39" ht="409.5">
      <c r="A53" s="75"/>
      <c r="B53" s="82"/>
      <c r="C53" s="71" t="s">
        <v>2179</v>
      </c>
      <c r="D53" s="90" t="s">
        <v>311</v>
      </c>
      <c r="E53" s="107" t="s">
        <v>1393</v>
      </c>
      <c r="F53" s="93" t="s">
        <v>254</v>
      </c>
      <c r="G53" s="181"/>
      <c r="H53" s="181"/>
      <c r="I53" s="94"/>
      <c r="J53" s="94"/>
      <c r="K53" s="94"/>
      <c r="L53" s="94"/>
      <c r="M53" s="247"/>
      <c r="N53" s="111" cm="1">
        <f t="array" ref="N53">IF(AG53=TRUE,_xlfn.IFS(L53=1,2,L53="",IF(M53="",1,2)),0)</f>
        <v>0</v>
      </c>
      <c r="O53" s="95" t="s">
        <v>255</v>
      </c>
      <c r="P53" s="95" t="s">
        <v>183</v>
      </c>
      <c r="Q53" s="95" t="s">
        <v>183</v>
      </c>
      <c r="R53" s="95" t="s">
        <v>183</v>
      </c>
      <c r="S53" s="96"/>
      <c r="T53" s="96"/>
      <c r="U53" s="96"/>
      <c r="V53" s="96"/>
      <c r="W53" s="96"/>
      <c r="X53" s="95"/>
      <c r="Y53" s="96" t="s">
        <v>255</v>
      </c>
      <c r="Z53" s="95"/>
      <c r="AA53" s="95"/>
      <c r="AB53" s="95"/>
      <c r="AC53" s="95" t="s">
        <v>183</v>
      </c>
      <c r="AD53" s="95" t="s">
        <v>183</v>
      </c>
      <c r="AE53" s="95"/>
      <c r="AF53" s="95" t="s">
        <v>255</v>
      </c>
      <c r="AG53" s="94" t="b">
        <f t="shared" si="4"/>
        <v>0</v>
      </c>
      <c r="AH53" s="94"/>
      <c r="AI53" s="94" t="s">
        <v>183</v>
      </c>
      <c r="AJ53" s="94"/>
      <c r="AK53" s="94"/>
      <c r="AL53" s="170" t="str">
        <f t="shared" si="5"/>
        <v>マルウェア/</v>
      </c>
      <c r="AM53" s="94"/>
    </row>
    <row r="54" spans="1:39">
      <c r="G54" s="24">
        <f>COUNTA(G9:G53)</f>
        <v>0</v>
      </c>
      <c r="N54" s="24">
        <f>COUNTIF(N9:N53,2)</f>
        <v>0</v>
      </c>
      <c r="AG54" s="24">
        <f>COUNTIF(AG9:AG53,TRUE)</f>
        <v>0</v>
      </c>
      <c r="AH54" s="24"/>
      <c r="AI54" s="24"/>
      <c r="AJ54" s="24"/>
      <c r="AK54" s="24"/>
      <c r="AL54" s="24"/>
    </row>
    <row r="55" spans="1:39">
      <c r="G55" s="24">
        <f>COUNTIF(G9:G53,インデックス!CJ185)</f>
        <v>0</v>
      </c>
      <c r="N55" s="24" cm="1">
        <f t="array" ref="N55">SUMPRODUCT((N9:N53=2)*($AL9:$AL53&lt;&gt;""))</f>
        <v>0</v>
      </c>
      <c r="AG55" s="24" cm="1">
        <f t="array" ref="AG55">SUMPRODUCT((AG9:AG53=TRUE)*($AL9:$AL53&lt;&gt;""))</f>
        <v>0</v>
      </c>
    </row>
    <row r="56" spans="1:39">
      <c r="E56" s="3"/>
      <c r="G56" s="24" cm="1">
        <f t="array" ref="G56">SUMPRODUCT((G9:G53&lt;&gt;"")*(AL9:AL53&lt;&gt;""))</f>
        <v>0</v>
      </c>
    </row>
    <row r="57" spans="1:39">
      <c r="G57" s="24" cm="1">
        <f t="array" ref="G57">SUMPRODUCT((G9:G53=インデックス!$CJ$185)*(AL9:AL53&lt;&gt;""))</f>
        <v>0</v>
      </c>
    </row>
  </sheetData>
  <autoFilter ref="A6:AM53" xr:uid="{00000000-0009-0000-0000-00000B000000}"/>
  <mergeCells count="1">
    <mergeCell ref="L1:M2"/>
  </mergeCells>
  <phoneticPr fontId="7"/>
  <conditionalFormatting sqref="E9:H53">
    <cfRule type="expression" dxfId="73" priority="384">
      <formula>$AG9=FALSE</formula>
    </cfRule>
  </conditionalFormatting>
  <dataValidations count="1">
    <dataValidation type="list" allowBlank="1" showInputMessage="1" showErrorMessage="1" sqref="L7:L53" xr:uid="{00000000-0002-0000-0B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F9B0DFDA-E852-434C-BFBA-26D3B4C0BA4E}">
            <xm:f>L$1=インデックス!$CJ$189</xm:f>
            <x14:dxf>
              <fill>
                <patternFill>
                  <bgColor theme="5"/>
                </patternFill>
              </fill>
            </x14:dxf>
          </x14:cfRule>
          <x14:cfRule type="expression" priority="2" id="{4DB07DA7-8290-4273-928D-4F2073699E04}">
            <xm:f>L$1=インデックス!$CJ$188</xm:f>
            <x14:dxf>
              <fill>
                <patternFill>
                  <bgColor theme="9"/>
                </patternFill>
              </fill>
            </x14:dxf>
          </x14:cfRule>
          <x14:cfRule type="expression" priority="3" id="{177C6BC9-DD16-4782-883D-6CB34C9D8E5E}">
            <xm:f>L$1=インデックス!$CJ$187</xm:f>
            <x14:dxf>
              <fill>
                <patternFill>
                  <bgColor theme="4"/>
                </patternFill>
              </fill>
            </x14:dxf>
          </x14:cfRule>
          <xm:sqref>L1:M2</xm:sqref>
        </x14:conditionalFormatting>
        <x14:conditionalFormatting xmlns:xm="http://schemas.microsoft.com/office/excel/2006/main">
          <x14:cfRule type="expression" priority="1222" id="{CF9D98A3-F00D-4727-BD08-799AA31146D6}">
            <xm:f>AND($AG9=TRUE,COUNTIF($G9,インデックス!$CJ$186),ISBLANK($H9))</xm:f>
            <x14:dxf>
              <fill>
                <patternFill>
                  <bgColor theme="5"/>
                </patternFill>
              </fill>
            </x14:dxf>
          </x14:cfRule>
          <x14:cfRule type="expression" priority="1223" id="{E9F34F9D-13D7-4BAB-8F73-E9965D3598ED}">
            <xm:f>AND($AG9=TRUE,$G9=インデックス!$CJ$184,ISBLANK($H9))</xm:f>
            <x14:dxf>
              <fill>
                <patternFill>
                  <bgColor theme="5"/>
                </patternFill>
              </fill>
            </x14:dxf>
          </x14:cfRule>
          <xm:sqref>H9:H53</xm:sqref>
        </x14:conditionalFormatting>
        <x14:conditionalFormatting xmlns:xm="http://schemas.microsoft.com/office/excel/2006/main">
          <x14:cfRule type="expression" priority="1232" id="{E6CD7262-7A93-466E-A1E0-6D18D89BFC7E}">
            <xm:f>AND($AG9=TRUE,OR($G9=インデックス!$CJ$184,$G9=インデックス!$CJ$185,$G9=インデックス!$CJ$186),ISBLANK($M9))</xm:f>
            <x14:dxf>
              <fill>
                <patternFill>
                  <bgColor theme="5"/>
                </patternFill>
              </fill>
            </x14:dxf>
          </x14:cfRule>
          <xm:sqref>M9:M53</xm:sqref>
        </x14:conditionalFormatting>
        <x14:conditionalFormatting xmlns:xm="http://schemas.microsoft.com/office/excel/2006/main">
          <x14:cfRule type="expression" priority="1244" id="{99D9219A-AF44-42BB-8203-EABA3F5D1B69}">
            <xm:f>AND($AG28=TRUE,インデックス!$AL$63=TRUE,$G28=インデックス!$CJ$183,ISBLANK($H28))</xm:f>
            <x14:dxf>
              <fill>
                <patternFill>
                  <bgColor theme="5"/>
                </patternFill>
              </fill>
            </x14:dxf>
          </x14:cfRule>
          <xm:sqref>H28 H44:H45 H50 H53</xm:sqref>
        </x14:conditionalFormatting>
        <x14:conditionalFormatting xmlns:xm="http://schemas.microsoft.com/office/excel/2006/main">
          <x14:cfRule type="expression" priority="1842" id="{AFFD4354-838F-4B66-8E6A-7727CA573258}">
            <xm:f>AND($AG9=TRUE,$G9=インデックス!$CJ$184,ISBLANK($L9),インデックス!$AL$40=TRUE)</xm:f>
            <x14:dxf>
              <fill>
                <patternFill>
                  <bgColor theme="5"/>
                </patternFill>
              </fill>
            </x14:dxf>
          </x14:cfRule>
          <x14:cfRule type="expression" priority="1843" id="{4174D74F-1182-46AB-BBFF-DC3231B4D50F}">
            <xm:f>AND($AG9=TRUE,OR($G9=インデックス!$CJ$183,$G9=インデックス!$CJ$184,$G9=インデックス!$CJ$185,$G9=インデックス!$CJ$186),ISBLANK($L9))</xm:f>
            <x14:dxf>
              <fill>
                <patternFill>
                  <bgColor theme="5"/>
                </patternFill>
              </fill>
            </x14:dxf>
          </x14:cfRule>
          <xm:sqref>L9:L53</xm:sqref>
        </x14:conditionalFormatting>
        <x14:conditionalFormatting xmlns:xm="http://schemas.microsoft.com/office/excel/2006/main">
          <x14:cfRule type="expression" priority="1844" id="{0486229E-F99D-4B6D-B7B6-3AB905F3F372}">
            <xm:f>AND($AG9=TRUE,$G9=インデックス!$CJ$184,ISBLANK($M9),インデックス!$AL$40=TRUE)</xm:f>
            <x14:dxf>
              <fill>
                <patternFill>
                  <bgColor theme="5"/>
                </patternFill>
              </fill>
            </x14:dxf>
          </x14:cfRule>
          <xm:sqref>M13:N14 M20:N21 M15:M19 M31:N31 M22:M30 M42:N43 M32:M41 M44:M53 M9:M12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インデックス!$CJ$183:$CJ$186</xm:f>
          </x14:formula1>
          <xm:sqref>G32:G41 G15:G19 G44:G53 G22:G30 G9:G12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W56"/>
  <sheetViews>
    <sheetView showGridLines="0" zoomScale="70" zoomScaleNormal="70" workbookViewId="0">
      <pane ySplit="7" topLeftCell="A12" activePane="bottomLeft" state="frozen"/>
      <selection activeCell="B5" sqref="B5"/>
      <selection pane="bottomLeft"/>
    </sheetView>
  </sheetViews>
  <sheetFormatPr defaultColWidth="9" defaultRowHeight="18" outlineLevelCol="1"/>
  <cols>
    <col min="1" max="2" width="5.58203125" customWidth="1"/>
    <col min="3" max="3" width="9.08203125" bestFit="1" customWidth="1"/>
    <col min="4" max="4" width="8.58203125" customWidth="1"/>
    <col min="5" max="6" width="100.58203125" style="2" customWidth="1"/>
    <col min="7" max="7" width="16.58203125" customWidth="1"/>
    <col min="8" max="8" width="20.58203125" customWidth="1"/>
    <col min="9" max="9" width="55.58203125" customWidth="1"/>
    <col min="10" max="12" width="15.58203125" style="24" hidden="1" customWidth="1" outlineLevel="1"/>
    <col min="13" max="13" width="18.58203125" style="24" customWidth="1" collapsed="1"/>
    <col min="14" max="14" width="50.58203125" style="49" customWidth="1"/>
    <col min="15" max="15" width="17.58203125" style="49" hidden="1" customWidth="1" outlineLevel="1"/>
    <col min="16" max="43" width="15.58203125" style="24" hidden="1" customWidth="1" outlineLevel="1"/>
    <col min="44" max="47" width="15.58203125" hidden="1" customWidth="1" outlineLevel="1"/>
    <col min="48" max="48" width="40.75" customWidth="1" collapsed="1"/>
    <col min="49" max="49" width="18.75" customWidth="1"/>
  </cols>
  <sheetData>
    <row r="1" spans="1:49" ht="32.5">
      <c r="A1" s="43" t="s">
        <v>1394</v>
      </c>
      <c r="E1" s="50"/>
      <c r="H1" s="24"/>
      <c r="I1" s="24"/>
      <c r="M1" s="387" t="str" cm="1">
        <f t="array" ref="M1">IF(COUNTIF(O10:O52,1)=0,インデックス!$CJ$187,IF(AND(インデックス!$AL$63,SUMPRODUCT((O10:O52=1)*($AV10:$AV52&lt;&gt;""))=0),インデックス!$CJ$188,インデックス!$CJ$189))</f>
        <v>全件評価完了</v>
      </c>
      <c r="N1" s="387"/>
      <c r="X1"/>
      <c r="Y1"/>
      <c r="Z1"/>
      <c r="AA1"/>
      <c r="AB1"/>
      <c r="AC1"/>
      <c r="AD1"/>
      <c r="AE1"/>
      <c r="AF1"/>
      <c r="AG1"/>
      <c r="AH1"/>
      <c r="AI1"/>
      <c r="AJ1"/>
      <c r="AK1"/>
      <c r="AL1"/>
      <c r="AM1"/>
      <c r="AN1"/>
      <c r="AO1"/>
      <c r="AP1"/>
      <c r="AQ1"/>
    </row>
    <row r="2" spans="1:49" ht="26.5">
      <c r="B2" s="42" t="s">
        <v>1302</v>
      </c>
      <c r="E2" s="50"/>
      <c r="H2" s="24"/>
      <c r="I2" s="24"/>
      <c r="M2" s="387"/>
      <c r="N2" s="387"/>
      <c r="X2"/>
      <c r="Y2"/>
      <c r="Z2"/>
      <c r="AA2"/>
      <c r="AB2"/>
      <c r="AC2"/>
      <c r="AD2"/>
      <c r="AE2"/>
      <c r="AF2"/>
      <c r="AG2"/>
      <c r="AH2"/>
      <c r="AI2"/>
      <c r="AJ2"/>
      <c r="AK2"/>
      <c r="AL2"/>
      <c r="AM2"/>
      <c r="AN2"/>
      <c r="AO2"/>
      <c r="AP2"/>
      <c r="AQ2"/>
    </row>
    <row r="3" spans="1:49" ht="26.5">
      <c r="B3" s="42" t="s">
        <v>927</v>
      </c>
      <c r="E3" s="50"/>
      <c r="H3" s="24"/>
      <c r="I3" s="24"/>
      <c r="X3"/>
      <c r="Y3"/>
      <c r="Z3"/>
      <c r="AA3"/>
      <c r="AB3"/>
      <c r="AC3"/>
      <c r="AD3"/>
      <c r="AE3"/>
      <c r="AF3"/>
      <c r="AG3"/>
      <c r="AH3"/>
      <c r="AI3"/>
      <c r="AJ3"/>
      <c r="AK3"/>
      <c r="AL3"/>
      <c r="AM3"/>
      <c r="AN3"/>
      <c r="AO3"/>
      <c r="AP3"/>
      <c r="AQ3"/>
    </row>
    <row r="4" spans="1:49" ht="26.5">
      <c r="B4" s="42" t="s">
        <v>1111</v>
      </c>
      <c r="E4" s="50"/>
      <c r="H4" s="24"/>
      <c r="I4" s="24"/>
      <c r="X4"/>
      <c r="Y4"/>
      <c r="Z4"/>
      <c r="AA4"/>
      <c r="AB4"/>
      <c r="AC4"/>
      <c r="AD4"/>
      <c r="AE4"/>
      <c r="AF4"/>
      <c r="AG4"/>
      <c r="AH4"/>
      <c r="AI4"/>
      <c r="AJ4"/>
      <c r="AK4"/>
      <c r="AL4"/>
      <c r="AM4"/>
      <c r="AN4"/>
      <c r="AO4"/>
      <c r="AP4"/>
      <c r="AQ4"/>
    </row>
    <row r="5" spans="1:49" ht="26.5">
      <c r="B5" s="42" t="s">
        <v>929</v>
      </c>
      <c r="E5" s="50"/>
      <c r="H5" s="24"/>
      <c r="I5" s="24"/>
      <c r="X5"/>
      <c r="Y5"/>
      <c r="Z5"/>
      <c r="AA5"/>
      <c r="AB5"/>
      <c r="AC5"/>
      <c r="AD5"/>
      <c r="AE5"/>
      <c r="AF5"/>
      <c r="AG5"/>
      <c r="AH5"/>
      <c r="AI5"/>
      <c r="AJ5"/>
      <c r="AK5"/>
      <c r="AL5"/>
      <c r="AM5"/>
      <c r="AN5"/>
      <c r="AO5"/>
      <c r="AP5"/>
      <c r="AQ5"/>
    </row>
    <row r="6" spans="1:49">
      <c r="J6" s="160"/>
      <c r="K6" s="160"/>
      <c r="L6" s="160"/>
      <c r="M6" s="163" t="s">
        <v>229</v>
      </c>
      <c r="N6" s="161"/>
      <c r="O6" s="161"/>
      <c r="P6" s="25" t="b">
        <f>AND(インデックス!$AL$38,インデックス!$AL$63)</f>
        <v>0</v>
      </c>
      <c r="Q6" s="25" t="b">
        <f>インデックス!$AL$39</f>
        <v>0</v>
      </c>
      <c r="R6" s="25" t="b">
        <f>OR(インデックス!$AL$37,インデックス!$AL$40)</f>
        <v>0</v>
      </c>
      <c r="S6" s="32" t="b">
        <f>OR(インデックス!AL112,インデックス!AL113,インデックス!AL114,インデックス!AL110)</f>
        <v>0</v>
      </c>
      <c r="T6" s="26" t="b">
        <f>AND(TRUE,NOT(OR(インデックス!$AL$51,インデックス!$AL$69)))</f>
        <v>1</v>
      </c>
      <c r="U6" s="26" t="b">
        <f>AND(インデックス!$AL$56,NOT(OR(インデックス!$AL$51,インデックス!$AL$69)))</f>
        <v>0</v>
      </c>
      <c r="V6" s="26" t="b">
        <f>AND(インデックス!$AL$57,NOT(OR(インデックス!$AL$51,インデックス!$AL$69)))</f>
        <v>0</v>
      </c>
      <c r="W6" s="26" t="b">
        <f>AND(インデックス!$AL$58,NOT(OR(インデックス!$AL$51,インデックス!$AL$69)))</f>
        <v>0</v>
      </c>
      <c r="X6" s="30" t="b">
        <f>AND(インデックス!$AL$63,NOT(OR(インデックス!$AL$51,インデックス!$AL$69)))</f>
        <v>0</v>
      </c>
      <c r="Y6" s="26" t="b">
        <f>インデックス!$AL$86</f>
        <v>0</v>
      </c>
      <c r="Z6" s="26" t="b">
        <f>インデックス!$AL$88</f>
        <v>0</v>
      </c>
      <c r="AA6" s="26" t="b">
        <f>インデックス!$AL$87</f>
        <v>0</v>
      </c>
      <c r="AB6" s="26" t="b">
        <f>AND(インデックス!$AL$93,NOT(OR(インデックス!$AL$51,インデックス!$AL$69)))</f>
        <v>0</v>
      </c>
      <c r="AC6" s="26" t="b">
        <f>AND(インデックス!$AL$94,NOT(OR(インデックス!$AL$51,インデックス!$AL$69)))</f>
        <v>0</v>
      </c>
      <c r="AD6" s="31" t="b">
        <f>インデックス!$AL$43</f>
        <v>0</v>
      </c>
      <c r="AE6" s="31" t="b">
        <f>OR(インデックス!$AL$48,インデックス!$AL$49)</f>
        <v>0</v>
      </c>
      <c r="AF6" s="31" t="b">
        <f>AND(インデックス!AL50,インデックス!AL43)</f>
        <v>0</v>
      </c>
      <c r="AG6" s="31" t="b">
        <f>インデックス!$AL$63</f>
        <v>0</v>
      </c>
      <c r="AH6" s="31" t="b">
        <f>インデックス!$AL$44</f>
        <v>0</v>
      </c>
      <c r="AI6" s="51" t="b">
        <f>インデックス!AL112</f>
        <v>0</v>
      </c>
      <c r="AJ6" s="51" t="b">
        <f>インデックス!AL112</f>
        <v>0</v>
      </c>
      <c r="AK6" s="51" t="b">
        <f>インデックス!AL113</f>
        <v>0</v>
      </c>
      <c r="AL6" s="51" t="b">
        <f>インデックス!AL113</f>
        <v>0</v>
      </c>
      <c r="AM6" s="51" t="b">
        <f>インデックス!$AL$114</f>
        <v>0</v>
      </c>
      <c r="AN6" s="51" t="b">
        <f>インデックス!$AL$114</f>
        <v>0</v>
      </c>
      <c r="AO6" s="51" t="b">
        <f>インデックス!$AL$115</f>
        <v>0</v>
      </c>
      <c r="AP6" s="51" t="b">
        <f>インデックス!$AL$115</f>
        <v>0</v>
      </c>
      <c r="AQ6" s="160"/>
      <c r="AR6" s="162"/>
      <c r="AS6" s="162"/>
      <c r="AT6" s="162"/>
      <c r="AU6" s="162"/>
      <c r="AV6" s="162"/>
      <c r="AW6" s="162"/>
    </row>
    <row r="7" spans="1:49" ht="67.5">
      <c r="A7" s="293"/>
      <c r="B7" s="293"/>
      <c r="C7" s="293" t="s">
        <v>230</v>
      </c>
      <c r="D7" s="293" t="s">
        <v>155</v>
      </c>
      <c r="E7" s="292" t="s">
        <v>1983</v>
      </c>
      <c r="F7" s="292" t="s">
        <v>930</v>
      </c>
      <c r="G7" s="294" t="s">
        <v>232</v>
      </c>
      <c r="H7" s="64" t="s">
        <v>233</v>
      </c>
      <c r="I7" s="291" t="s">
        <v>1985</v>
      </c>
      <c r="J7" s="64" t="s">
        <v>234</v>
      </c>
      <c r="K7" s="64" t="s">
        <v>235</v>
      </c>
      <c r="L7" s="64" t="s">
        <v>236</v>
      </c>
      <c r="M7" s="159" t="s">
        <v>2000</v>
      </c>
      <c r="N7" s="73" t="s">
        <v>237</v>
      </c>
      <c r="O7" s="290" t="s">
        <v>1989</v>
      </c>
      <c r="P7" s="64" t="s">
        <v>238</v>
      </c>
      <c r="Q7" s="64" t="s">
        <v>239</v>
      </c>
      <c r="R7" s="159" t="s">
        <v>240</v>
      </c>
      <c r="S7" s="64" t="s">
        <v>931</v>
      </c>
      <c r="T7" s="74" t="s">
        <v>241</v>
      </c>
      <c r="U7" s="74" t="s">
        <v>716</v>
      </c>
      <c r="V7" s="112" t="s">
        <v>717</v>
      </c>
      <c r="W7" s="112" t="s">
        <v>718</v>
      </c>
      <c r="X7" s="74" t="s">
        <v>195</v>
      </c>
      <c r="Y7" s="74" t="s">
        <v>82</v>
      </c>
      <c r="Z7" s="74" t="s">
        <v>84</v>
      </c>
      <c r="AA7" s="74" t="s">
        <v>469</v>
      </c>
      <c r="AB7" s="74" t="s">
        <v>242</v>
      </c>
      <c r="AC7" s="74" t="s">
        <v>466</v>
      </c>
      <c r="AD7" s="74" t="s">
        <v>470</v>
      </c>
      <c r="AE7" s="112" t="s">
        <v>467</v>
      </c>
      <c r="AF7" s="312" t="s">
        <v>2076</v>
      </c>
      <c r="AG7" s="112" t="s">
        <v>195</v>
      </c>
      <c r="AH7" s="74" t="s">
        <v>719</v>
      </c>
      <c r="AI7" s="74" t="s">
        <v>932</v>
      </c>
      <c r="AJ7" s="74" t="s">
        <v>933</v>
      </c>
      <c r="AK7" s="74" t="s">
        <v>934</v>
      </c>
      <c r="AL7" s="74" t="s">
        <v>935</v>
      </c>
      <c r="AM7" s="201" t="s">
        <v>936</v>
      </c>
      <c r="AN7" s="201" t="s">
        <v>937</v>
      </c>
      <c r="AO7" s="201" t="s">
        <v>938</v>
      </c>
      <c r="AP7" s="201" t="s">
        <v>939</v>
      </c>
      <c r="AQ7" s="74" t="s">
        <v>243</v>
      </c>
      <c r="AR7" s="74" t="s">
        <v>244</v>
      </c>
      <c r="AS7" s="74" t="s">
        <v>245</v>
      </c>
      <c r="AT7" s="74" t="s">
        <v>246</v>
      </c>
      <c r="AU7" s="74" t="s">
        <v>247</v>
      </c>
      <c r="AV7" s="74" t="s">
        <v>248</v>
      </c>
      <c r="AW7" s="74" t="s">
        <v>249</v>
      </c>
    </row>
    <row r="8" spans="1:49" ht="18.75" customHeight="1">
      <c r="A8" s="75" t="s">
        <v>1303</v>
      </c>
      <c r="B8" s="75"/>
      <c r="C8" s="76"/>
      <c r="D8" s="76"/>
      <c r="E8" s="77"/>
      <c r="F8" s="77"/>
      <c r="G8" s="78"/>
      <c r="H8" s="79"/>
      <c r="I8" s="79"/>
      <c r="J8" s="80"/>
      <c r="K8" s="80"/>
      <c r="L8" s="80"/>
      <c r="M8" s="80"/>
      <c r="N8" s="81"/>
      <c r="O8" s="81"/>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row>
    <row r="9" spans="1:49" ht="22.5">
      <c r="A9" s="75"/>
      <c r="B9" s="82"/>
      <c r="C9" s="83"/>
      <c r="D9" s="83"/>
      <c r="E9" s="84"/>
      <c r="F9" s="84"/>
      <c r="G9" s="85"/>
      <c r="H9" s="86"/>
      <c r="I9" s="86"/>
      <c r="J9" s="87"/>
      <c r="K9" s="87"/>
      <c r="L9" s="87"/>
      <c r="M9" s="87"/>
      <c r="N9" s="88"/>
      <c r="O9" s="88"/>
      <c r="P9" s="87"/>
      <c r="Q9" s="87"/>
      <c r="R9" s="87"/>
      <c r="S9" s="87"/>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row>
    <row r="10" spans="1:49" ht="67.5">
      <c r="A10" s="75"/>
      <c r="B10" s="82"/>
      <c r="C10" s="71" t="s">
        <v>1395</v>
      </c>
      <c r="D10" s="90" t="s">
        <v>252</v>
      </c>
      <c r="E10" s="91" t="str">
        <f>'運用プロセス(自社DC)'!E9</f>
        <v>保管期限を超過したデータを削除する設計としているか。</v>
      </c>
      <c r="F10" s="91" t="s">
        <v>1396</v>
      </c>
      <c r="G10" s="92" t="s">
        <v>254</v>
      </c>
      <c r="H10" s="91"/>
      <c r="I10" s="181"/>
      <c r="J10" s="94"/>
      <c r="K10" s="94"/>
      <c r="L10" s="94"/>
      <c r="M10" s="94"/>
      <c r="N10" s="247"/>
      <c r="O10" s="111" cm="1">
        <f t="array" ref="O10">IF(AQ10=TRUE,_xlfn.IFS(M10=1,2,M10="",IF(N10="",1,2)),0)</f>
        <v>0</v>
      </c>
      <c r="P10" s="95" t="s">
        <v>255</v>
      </c>
      <c r="Q10" s="95" t="s">
        <v>183</v>
      </c>
      <c r="R10" s="95" t="s">
        <v>183</v>
      </c>
      <c r="S10" s="95" t="s">
        <v>183</v>
      </c>
      <c r="T10" s="96" t="s">
        <v>183</v>
      </c>
      <c r="U10" s="96"/>
      <c r="V10" s="96"/>
      <c r="W10" s="96"/>
      <c r="X10" s="96" t="s">
        <v>448</v>
      </c>
      <c r="Y10" s="95"/>
      <c r="Z10" s="95"/>
      <c r="AA10" s="95"/>
      <c r="AB10" s="95"/>
      <c r="AC10" s="95"/>
      <c r="AD10" s="95" t="s">
        <v>183</v>
      </c>
      <c r="AE10" s="95" t="s">
        <v>183</v>
      </c>
      <c r="AF10" s="95"/>
      <c r="AG10" s="95"/>
      <c r="AH10" s="95"/>
      <c r="AI10" s="106" t="s">
        <v>448</v>
      </c>
      <c r="AJ10" s="106" t="s">
        <v>448</v>
      </c>
      <c r="AK10" s="106" t="s">
        <v>448</v>
      </c>
      <c r="AL10" s="106" t="s">
        <v>448</v>
      </c>
      <c r="AM10" s="106"/>
      <c r="AN10" s="106"/>
      <c r="AO10" s="106"/>
      <c r="AP10" s="106"/>
      <c r="AQ10" s="91" t="b">
        <f>AND(OR(AND($P$6=TRUE,$P10&lt;&gt;""),AND($Q$6=TRUE,$Q10&lt;&gt;""),AND($R$6=TRUE,$R10&lt;&gt;"")),AND($S$6=TRUE,$S10&lt;&gt;""),OR(AND($T$6=TRUE,$T10&lt;&gt;""),AND($U$6=TRUE,$U10&lt;&gt;""),AND($V$6=TRUE,$V10&lt;&gt;""),AND($W$6=TRUE,$W10&lt;&gt;""),AND($X$6=TRUE,$X10&lt;&gt;""),AND($Y$6=TRUE,$Y10&lt;&gt;""),AND($Z$6=TRUE,$Z10&lt;&gt;""),AND($AA$6=TRUE,$AA10&lt;&gt;""),AND($AB$6=TRUE,$AB10&lt;&gt;""),AND($AC$6=TRUE,$AC10&lt;&gt;"")),OR(AND($AD$6=TRUE,$AD10&lt;&gt;""),AND($AE$6=TRUE,$AE10&lt;&gt;""),AND($AF$6=TRUE,$AF10&lt;&gt;""),AND($AG$6=TRUE,$AG10&lt;&gt;""),AND($AH$6=TRUE,$AH10&lt;&gt;"")),NOT(AND(NOT(AND($AI$6=FALSE,$AK$6=FALSE,$AM$6=FALSE,$AO$6=FALSE)),OR($AI$6=FALSE,AND($AI$6=TRUE,$AI10&lt;&gt;"",$AJ10&lt;&gt;"")),OR($AK$6=FALSE,AND($AK$6=TRUE,$AK10&lt;&gt;"",$AL10&lt;&gt;"")),OR($AM$6=FALSE,AND($AM$6=TRUE,$AM10&lt;&gt;"",$AN10&lt;&gt;"")),OR($AO$6=FALSE,AND($AO$6=TRUE,$AO10&lt;&gt;"",$AP10&lt;&gt;"")))))</f>
        <v>0</v>
      </c>
      <c r="AR10" s="108"/>
      <c r="AS10" s="108"/>
      <c r="AT10" s="108"/>
      <c r="AU10" s="108"/>
      <c r="AV10" s="170" t="str">
        <f>IF(AR10&lt;&gt;"","セキュリティ管理/","")&amp;IF(AS10&lt;&gt;"","マルウェア/","")&amp;IF(AT10&lt;&gt;"","クラウド/","")&amp;IF(AU10&lt;&gt;"","別表1,2,3","")</f>
        <v/>
      </c>
      <c r="AW10" s="108"/>
    </row>
    <row r="11" spans="1:49" ht="202.5">
      <c r="A11" s="75"/>
      <c r="B11" s="82"/>
      <c r="C11" s="71" t="s">
        <v>1397</v>
      </c>
      <c r="D11" s="90" t="s">
        <v>478</v>
      </c>
      <c r="E11" s="91" t="str">
        <f>'運用プロセス(自社DC)'!E10</f>
        <v>システムで利用するハードウェアや記憶媒体を廃棄、または、リース会社へ機器を返却する場合のデータ消去※の確実な実施、記録、記録の保管についての運用が設計されているか。
※データ消去は第三者に廃棄を委託する場合も含め、以下のような復元不可能な方法で実施すること
　・消磁等の物理的消去　
　・データの上書き等の論理的消去　
　なお、消去にあたっては記憶媒体の特性を踏まえて選択する必要がある。
　例えばSSDは消磁が出来ないので注意すること。</v>
      </c>
      <c r="F11" s="91" t="s">
        <v>1398</v>
      </c>
      <c r="G11" s="92" t="s">
        <v>254</v>
      </c>
      <c r="H11" s="181"/>
      <c r="I11" s="181"/>
      <c r="J11" s="94"/>
      <c r="K11" s="94"/>
      <c r="L11" s="94"/>
      <c r="M11" s="94"/>
      <c r="N11" s="247"/>
      <c r="O11" s="111" cm="1">
        <f t="array" ref="O11">IF(AQ11=TRUE,_xlfn.IFS(M11=1,2,M11="",IF(N11="",1,2)),0)</f>
        <v>0</v>
      </c>
      <c r="P11" s="95" t="s">
        <v>255</v>
      </c>
      <c r="Q11" s="95" t="s">
        <v>183</v>
      </c>
      <c r="R11" s="95" t="s">
        <v>183</v>
      </c>
      <c r="S11" s="95" t="s">
        <v>183</v>
      </c>
      <c r="T11" s="96" t="s">
        <v>183</v>
      </c>
      <c r="U11" s="96"/>
      <c r="V11" s="96"/>
      <c r="W11" s="96"/>
      <c r="X11" s="96" t="s">
        <v>448</v>
      </c>
      <c r="Y11" s="95"/>
      <c r="Z11" s="95"/>
      <c r="AA11" s="95"/>
      <c r="AB11" s="95"/>
      <c r="AC11" s="95"/>
      <c r="AD11" s="95" t="s">
        <v>183</v>
      </c>
      <c r="AE11" s="95" t="s">
        <v>183</v>
      </c>
      <c r="AF11" s="95"/>
      <c r="AG11" s="95"/>
      <c r="AH11" s="95"/>
      <c r="AI11" s="106" t="s">
        <v>448</v>
      </c>
      <c r="AJ11" s="106" t="s">
        <v>448</v>
      </c>
      <c r="AK11" s="106" t="s">
        <v>448</v>
      </c>
      <c r="AL11" s="106" t="s">
        <v>448</v>
      </c>
      <c r="AM11" s="106" t="s">
        <v>255</v>
      </c>
      <c r="AN11" s="106" t="s">
        <v>255</v>
      </c>
      <c r="AO11" s="106" t="s">
        <v>183</v>
      </c>
      <c r="AP11" s="106" t="s">
        <v>255</v>
      </c>
      <c r="AQ11" s="91" t="b">
        <f>AND(OR(AND($P$6=TRUE,$P11&lt;&gt;""),AND($Q$6=TRUE,$Q11&lt;&gt;""),AND($R$6=TRUE,$R11&lt;&gt;"")),AND($S$6=TRUE,$S11&lt;&gt;""),OR(AND($T$6=TRUE,$T11&lt;&gt;""),AND($U$6=TRUE,$U11&lt;&gt;""),AND($V$6=TRUE,$V11&lt;&gt;""),AND($W$6=TRUE,$W11&lt;&gt;""),AND($X$6=TRUE,$X11&lt;&gt;""),AND($Y$6=TRUE,$Y11&lt;&gt;""),AND($Z$6=TRUE,$Z11&lt;&gt;""),AND($AA$6=TRUE,$AA11&lt;&gt;""),AND($AB$6=TRUE,$AB11&lt;&gt;""),AND($AC$6=TRUE,$AC11&lt;&gt;"")),OR(AND($AD$6=TRUE,$AD11&lt;&gt;""),AND($AE$6=TRUE,$AE11&lt;&gt;""),AND($AF$6=TRUE,$AF11&lt;&gt;""),AND($AG$6=TRUE,$AG11&lt;&gt;""),AND($AH$6=TRUE,$AH11&lt;&gt;"")),NOT(AND(NOT(AND($AI$6=FALSE,$AK$6=FALSE,$AM$6=FALSE,$AO$6=FALSE)),OR($AI$6=FALSE,AND($AI$6=TRUE,$AI11&lt;&gt;"",$AJ11&lt;&gt;"")),OR($AK$6=FALSE,AND($AK$6=TRUE,$AK11&lt;&gt;"",$AL11&lt;&gt;"")),OR($AM$6=FALSE,AND($AM$6=TRUE,$AM11&lt;&gt;"",$AN11&lt;&gt;"")),OR($AO$6=FALSE,AND($AO$6=TRUE,$AO11&lt;&gt;"",$AP11&lt;&gt;"")))))</f>
        <v>0</v>
      </c>
      <c r="AR11" s="108"/>
      <c r="AS11" s="108"/>
      <c r="AT11" s="108"/>
      <c r="AU11" s="108"/>
      <c r="AV11" s="170" t="str">
        <f>IF(AR11&lt;&gt;"","セキュリティ管理/","")&amp;IF(AS11&lt;&gt;"","マルウェア/","")&amp;IF(AT11&lt;&gt;"","クラウド/","")&amp;IF(AU11&lt;&gt;"","別表1,2,3","")</f>
        <v/>
      </c>
      <c r="AW11" s="108"/>
    </row>
    <row r="12" spans="1:49" ht="67.5">
      <c r="A12" s="75"/>
      <c r="B12" s="82"/>
      <c r="C12" s="71" t="s">
        <v>2262</v>
      </c>
      <c r="D12" s="90" t="s">
        <v>259</v>
      </c>
      <c r="E12" s="91" t="str">
        <f>'運用プロセス(自社DC)'!E11</f>
        <v>システムで利用するハードウェアや記憶媒体を廃棄、または、リース会社へ機器を返却する場合のデータ消去を他社に委託する場合、委託先との間での秘密保持契約を締結する運用としているか。</v>
      </c>
      <c r="F12" s="91" t="s">
        <v>1399</v>
      </c>
      <c r="G12" s="92" t="s">
        <v>254</v>
      </c>
      <c r="H12" s="181"/>
      <c r="I12" s="181"/>
      <c r="J12" s="94"/>
      <c r="K12" s="94"/>
      <c r="L12" s="94"/>
      <c r="M12" s="94"/>
      <c r="N12" s="247"/>
      <c r="O12" s="111" cm="1">
        <f t="array" ref="O12">IF(AQ12=TRUE,_xlfn.IFS(M12=1,2,M12="",IF(N12="",1,2)),0)</f>
        <v>0</v>
      </c>
      <c r="P12" s="95" t="s">
        <v>255</v>
      </c>
      <c r="Q12" s="95" t="s">
        <v>183</v>
      </c>
      <c r="R12" s="95" t="s">
        <v>183</v>
      </c>
      <c r="S12" s="95" t="s">
        <v>183</v>
      </c>
      <c r="T12" s="96" t="s">
        <v>183</v>
      </c>
      <c r="U12" s="96"/>
      <c r="V12" s="96"/>
      <c r="W12" s="96"/>
      <c r="X12" s="96" t="s">
        <v>448</v>
      </c>
      <c r="Y12" s="95"/>
      <c r="Z12" s="95"/>
      <c r="AA12" s="95"/>
      <c r="AB12" s="95"/>
      <c r="AC12" s="95"/>
      <c r="AD12" s="95" t="s">
        <v>183</v>
      </c>
      <c r="AE12" s="95" t="s">
        <v>183</v>
      </c>
      <c r="AF12" s="95"/>
      <c r="AG12" s="95"/>
      <c r="AH12" s="95"/>
      <c r="AI12" s="106" t="s">
        <v>448</v>
      </c>
      <c r="AJ12" s="106" t="s">
        <v>448</v>
      </c>
      <c r="AK12" s="106" t="s">
        <v>448</v>
      </c>
      <c r="AL12" s="106" t="s">
        <v>448</v>
      </c>
      <c r="AM12" s="106" t="s">
        <v>255</v>
      </c>
      <c r="AN12" s="106" t="s">
        <v>255</v>
      </c>
      <c r="AO12" s="106" t="s">
        <v>255</v>
      </c>
      <c r="AP12" s="106" t="s">
        <v>255</v>
      </c>
      <c r="AQ12" s="91" t="b">
        <f>AND(OR(AND($P$6=TRUE,$P12&lt;&gt;""),AND($Q$6=TRUE,$Q12&lt;&gt;""),AND($R$6=TRUE,$R12&lt;&gt;"")),AND($S$6=TRUE,$S12&lt;&gt;""),OR(AND($T$6=TRUE,$T12&lt;&gt;""),AND($U$6=TRUE,$U12&lt;&gt;""),AND($V$6=TRUE,$V12&lt;&gt;""),AND($W$6=TRUE,$W12&lt;&gt;""),AND($X$6=TRUE,$X12&lt;&gt;""),AND($Y$6=TRUE,$Y12&lt;&gt;""),AND($Z$6=TRUE,$Z12&lt;&gt;""),AND($AA$6=TRUE,$AA12&lt;&gt;""),AND($AB$6=TRUE,$AB12&lt;&gt;""),AND($AC$6=TRUE,$AC12&lt;&gt;"")),OR(AND($AD$6=TRUE,$AD12&lt;&gt;""),AND($AE$6=TRUE,$AE12&lt;&gt;""),AND($AF$6=TRUE,$AF12&lt;&gt;""),AND($AG$6=TRUE,$AG12&lt;&gt;""),AND($AH$6=TRUE,$AH12&lt;&gt;"")),NOT(AND(NOT(AND($AI$6=FALSE,$AK$6=FALSE,$AM$6=FALSE,$AO$6=FALSE)),OR($AI$6=FALSE,AND($AI$6=TRUE,$AI12&lt;&gt;"",$AJ12&lt;&gt;"")),OR($AK$6=FALSE,AND($AK$6=TRUE,$AK12&lt;&gt;"",$AL12&lt;&gt;"")),OR($AM$6=FALSE,AND($AM$6=TRUE,$AM12&lt;&gt;"",$AN12&lt;&gt;"")),OR($AO$6=FALSE,AND($AO$6=TRUE,$AO12&lt;&gt;"",$AP12&lt;&gt;"")))))</f>
        <v>0</v>
      </c>
      <c r="AR12" s="108"/>
      <c r="AS12" s="108"/>
      <c r="AT12" s="108"/>
      <c r="AU12" s="108"/>
      <c r="AV12" s="170" t="str">
        <f>IF(AR12&lt;&gt;"","セキュリティ管理/","")&amp;IF(AS12&lt;&gt;"","マルウェア/","")&amp;IF(AT12&lt;&gt;"","クラウド/","")&amp;IF(AU12&lt;&gt;"","別表1,2,3","")</f>
        <v/>
      </c>
      <c r="AW12" s="108"/>
    </row>
    <row r="13" spans="1:49" ht="67.5">
      <c r="A13" s="75"/>
      <c r="B13" s="82"/>
      <c r="C13" s="196" t="s">
        <v>2263</v>
      </c>
      <c r="D13" s="196" t="s">
        <v>2258</v>
      </c>
      <c r="E13" s="91" t="str">
        <f>'運用プロセス(自社DC)'!E12</f>
        <v>ドメインを新規に取得する場合、あるいは既に利用しているドメインについては、そのドメインが将来的に不要になった場合でも悪意ある第三者による再利用（ドロップキャッチ）を防ぐ観点から解放せず保持し続ける前提で計画しているか。</v>
      </c>
      <c r="F13" s="91" t="s">
        <v>1089</v>
      </c>
      <c r="G13" s="92" t="s">
        <v>254</v>
      </c>
      <c r="H13" s="181"/>
      <c r="I13" s="181"/>
      <c r="J13" s="94"/>
      <c r="K13" s="94"/>
      <c r="L13" s="94"/>
      <c r="M13" s="94"/>
      <c r="N13" s="247"/>
      <c r="O13" s="111" cm="1">
        <f t="array" ref="O13">IF(AQ13=TRUE,_xlfn.IFS(M13=1,2,M13="",IF(N13="",1,2)),0)</f>
        <v>0</v>
      </c>
      <c r="P13" s="95" t="s">
        <v>255</v>
      </c>
      <c r="Q13" s="95" t="s">
        <v>183</v>
      </c>
      <c r="R13" s="95" t="s">
        <v>183</v>
      </c>
      <c r="S13" s="95" t="s">
        <v>183</v>
      </c>
      <c r="T13" s="96" t="s">
        <v>183</v>
      </c>
      <c r="U13" s="96"/>
      <c r="V13" s="96"/>
      <c r="W13" s="96"/>
      <c r="X13" s="96" t="s">
        <v>448</v>
      </c>
      <c r="Y13" s="95"/>
      <c r="Z13" s="95"/>
      <c r="AA13" s="95"/>
      <c r="AB13" s="95"/>
      <c r="AC13" s="95"/>
      <c r="AD13" s="95" t="s">
        <v>183</v>
      </c>
      <c r="AE13" s="95" t="s">
        <v>183</v>
      </c>
      <c r="AF13" s="95"/>
      <c r="AG13" s="95"/>
      <c r="AH13" s="95"/>
      <c r="AI13" s="106" t="s">
        <v>448</v>
      </c>
      <c r="AJ13" s="106" t="s">
        <v>448</v>
      </c>
      <c r="AK13" s="106" t="s">
        <v>448</v>
      </c>
      <c r="AL13" s="106" t="s">
        <v>448</v>
      </c>
      <c r="AM13" s="106"/>
      <c r="AN13" s="106"/>
      <c r="AO13" s="106"/>
      <c r="AP13" s="106"/>
      <c r="AQ13" s="91" t="b">
        <f>AND(OR(AND($P$6=TRUE,$P13&lt;&gt;""),AND($Q$6=TRUE,$Q13&lt;&gt;""),AND($R$6=TRUE,$R13&lt;&gt;"")),AND($S$6=TRUE,$S13&lt;&gt;""),OR(AND($T$6=TRUE,$T13&lt;&gt;""),AND($U$6=TRUE,$U13&lt;&gt;""),AND($V$6=TRUE,$V13&lt;&gt;""),AND($W$6=TRUE,$W13&lt;&gt;""),AND($X$6=TRUE,$X13&lt;&gt;""),AND($Y$6=TRUE,$Y13&lt;&gt;""),AND($Z$6=TRUE,$Z13&lt;&gt;""),AND($AA$6=TRUE,$AA13&lt;&gt;""),AND($AB$6=TRUE,$AB13&lt;&gt;""),AND($AC$6=TRUE,$AC13&lt;&gt;"")),OR(AND($AD$6=TRUE,$AD13&lt;&gt;""),AND($AE$6=TRUE,$AE13&lt;&gt;""),AND($AF$6=TRUE,$AF13&lt;&gt;""),AND($AG$6=TRUE,$AG13&lt;&gt;""),AND($AH$6=TRUE,$AH13&lt;&gt;"")),NOT(AND(NOT(AND($AI$6=FALSE,$AK$6=FALSE,$AM$6=FALSE,$AO$6=FALSE)),OR($AI$6=FALSE,AND($AI$6=TRUE,$AI13&lt;&gt;"",$AJ13&lt;&gt;"")),OR($AK$6=FALSE,AND($AK$6=TRUE,$AK13&lt;&gt;"",$AL13&lt;&gt;"")),OR($AM$6=FALSE,AND($AM$6=TRUE,$AM13&lt;&gt;"",$AN13&lt;&gt;"")),OR($AO$6=FALSE,AND($AO$6=TRUE,$AO13&lt;&gt;"",$AP13&lt;&gt;"")))))</f>
        <v>0</v>
      </c>
      <c r="AR13" s="108"/>
      <c r="AS13" s="108"/>
      <c r="AT13" s="108"/>
      <c r="AU13" s="108"/>
      <c r="AV13" s="170" t="str">
        <f>IF(AR13&lt;&gt;"","セキュリティ管理/","")&amp;IF(AS13&lt;&gt;"","マルウェア/","")&amp;IF(AT13&lt;&gt;"","クラウド/","")&amp;IF(AU13&lt;&gt;"","別表1,2,3","")</f>
        <v/>
      </c>
      <c r="AW13" s="108" t="s">
        <v>2261</v>
      </c>
    </row>
    <row r="14" spans="1:49" ht="22.5">
      <c r="A14" s="75" t="s">
        <v>1309</v>
      </c>
      <c r="B14" s="75"/>
      <c r="C14" s="113"/>
      <c r="D14" s="76"/>
      <c r="E14" s="77"/>
      <c r="F14" s="77"/>
      <c r="G14" s="78"/>
      <c r="H14" s="79"/>
      <c r="I14" s="79"/>
      <c r="J14" s="80"/>
      <c r="K14" s="80"/>
      <c r="L14" s="80"/>
      <c r="M14" s="80"/>
      <c r="N14" s="245"/>
      <c r="O14" s="245"/>
      <c r="P14" s="80"/>
      <c r="Q14" s="80"/>
      <c r="R14" s="80"/>
      <c r="S14" s="80"/>
      <c r="T14" s="80"/>
      <c r="U14" s="80"/>
      <c r="V14" s="80"/>
      <c r="W14" s="80"/>
      <c r="X14" s="80"/>
      <c r="Y14" s="80"/>
      <c r="Z14" s="80"/>
      <c r="AA14" s="80"/>
      <c r="AB14" s="80"/>
      <c r="AC14" s="80"/>
      <c r="AD14" s="80"/>
      <c r="AE14" s="80"/>
      <c r="AF14" s="80"/>
      <c r="AG14" s="80"/>
      <c r="AH14" s="80"/>
      <c r="AI14" s="80"/>
      <c r="AJ14" s="80"/>
      <c r="AK14" s="80"/>
      <c r="AL14" s="80"/>
      <c r="AM14" s="80"/>
      <c r="AN14" s="80"/>
      <c r="AO14" s="80"/>
      <c r="AP14" s="80"/>
      <c r="AQ14" s="80" t="s">
        <v>728</v>
      </c>
      <c r="AR14" s="80"/>
      <c r="AS14" s="80"/>
      <c r="AT14" s="80"/>
      <c r="AU14" s="80"/>
      <c r="AV14" s="80"/>
      <c r="AW14" s="80"/>
    </row>
    <row r="15" spans="1:49" ht="22.5">
      <c r="A15" s="75"/>
      <c r="B15" s="82"/>
      <c r="C15" s="115"/>
      <c r="D15" s="83"/>
      <c r="E15" s="84"/>
      <c r="F15" s="84"/>
      <c r="G15" s="85"/>
      <c r="H15" s="86"/>
      <c r="I15" s="86"/>
      <c r="J15" s="87"/>
      <c r="K15" s="87"/>
      <c r="L15" s="87"/>
      <c r="M15" s="87"/>
      <c r="N15" s="246"/>
      <c r="O15" s="246"/>
      <c r="P15" s="87"/>
      <c r="Q15" s="87"/>
      <c r="R15" s="87"/>
      <c r="S15" s="87"/>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t="s">
        <v>728</v>
      </c>
      <c r="AR15" s="89"/>
      <c r="AS15" s="89"/>
      <c r="AT15" s="89"/>
      <c r="AU15" s="89"/>
      <c r="AV15" s="89"/>
      <c r="AW15" s="89"/>
    </row>
    <row r="16" spans="1:49" ht="202.5">
      <c r="A16" s="75"/>
      <c r="B16" s="82"/>
      <c r="C16" s="71" t="s">
        <v>1400</v>
      </c>
      <c r="D16" s="90" t="s">
        <v>270</v>
      </c>
      <c r="E16" s="91" t="str">
        <f>'運用プロセス(自社DC)'!E15</f>
        <v>システムのユーザ、運用担当者のIDの発行管理（ID申請・登録・変更・削除など）に係わるルール・手順が文書で定められているか
また、以下のことがルール・手順として定められているか。
・運用担当者のIDの発行、変更、削除は管理者の承認がなければ実施できない
・本番データにアクセス可能なＩＤをシステム運用者に付与する場合の基準・対象者を明確にしている
・ユーザおよび運用担当者のIDの発行履歴（ID申請・登録・変更・削除など）を３年間保存する</v>
      </c>
      <c r="F16" s="91" t="s">
        <v>1401</v>
      </c>
      <c r="G16" s="92" t="s">
        <v>254</v>
      </c>
      <c r="H16" s="181"/>
      <c r="I16" s="181"/>
      <c r="J16" s="94"/>
      <c r="K16" s="94"/>
      <c r="L16" s="94"/>
      <c r="M16" s="94"/>
      <c r="N16" s="247"/>
      <c r="O16" s="111" cm="1">
        <f t="array" ref="O16">IF(AQ16=TRUE,_xlfn.IFS(M16=1,2,M16="",IF(N16="",1,2)),0)</f>
        <v>0</v>
      </c>
      <c r="P16" s="95" t="s">
        <v>255</v>
      </c>
      <c r="Q16" s="95" t="s">
        <v>183</v>
      </c>
      <c r="R16" s="95" t="s">
        <v>183</v>
      </c>
      <c r="S16" s="95" t="s">
        <v>183</v>
      </c>
      <c r="T16" s="96" t="s">
        <v>183</v>
      </c>
      <c r="U16" s="96"/>
      <c r="V16" s="96"/>
      <c r="W16" s="96"/>
      <c r="X16" s="96" t="s">
        <v>448</v>
      </c>
      <c r="Y16" s="95"/>
      <c r="Z16" s="95"/>
      <c r="AA16" s="95"/>
      <c r="AB16" s="95"/>
      <c r="AC16" s="95"/>
      <c r="AD16" s="95" t="s">
        <v>183</v>
      </c>
      <c r="AE16" s="95" t="s">
        <v>183</v>
      </c>
      <c r="AF16" s="95"/>
      <c r="AG16" s="95" t="s">
        <v>255</v>
      </c>
      <c r="AH16" s="95"/>
      <c r="AI16" s="106" t="s">
        <v>448</v>
      </c>
      <c r="AJ16" s="106" t="s">
        <v>255</v>
      </c>
      <c r="AK16" s="106" t="s">
        <v>448</v>
      </c>
      <c r="AL16" s="106" t="s">
        <v>255</v>
      </c>
      <c r="AM16" s="106"/>
      <c r="AN16" s="106" t="s">
        <v>255</v>
      </c>
      <c r="AO16" s="106"/>
      <c r="AP16" s="106" t="s">
        <v>255</v>
      </c>
      <c r="AQ16" s="91" t="b">
        <f>AND(OR(AND($P$6=TRUE,$P16&lt;&gt;""),AND($Q$6=TRUE,$Q16&lt;&gt;""),AND($R$6=TRUE,$R16&lt;&gt;"")),AND($S$6=TRUE,$S16&lt;&gt;""),OR(AND($T$6=TRUE,$T16&lt;&gt;""),AND($U$6=TRUE,$U16&lt;&gt;""),AND($V$6=TRUE,$V16&lt;&gt;""),AND($W$6=TRUE,$W16&lt;&gt;""),AND($X$6=TRUE,$X16&lt;&gt;""),AND($Y$6=TRUE,$Y16&lt;&gt;""),AND($Z$6=TRUE,$Z16&lt;&gt;""),AND($AA$6=TRUE,$AA16&lt;&gt;""),AND($AB$6=TRUE,$AB16&lt;&gt;""),AND($AC$6=TRUE,$AC16&lt;&gt;"")),OR(AND($AD$6=TRUE,$AD16&lt;&gt;""),AND($AE$6=TRUE,$AE16&lt;&gt;""),AND($AF$6=TRUE,$AF16&lt;&gt;""),AND($AG$6=TRUE,$AG16&lt;&gt;""),AND($AH$6=TRUE,$AH16&lt;&gt;"")),NOT(AND(NOT(AND($AI$6=FALSE,$AK$6=FALSE,$AM$6=FALSE,$AO$6=FALSE)),OR($AI$6=FALSE,AND($AI$6=TRUE,$AI16&lt;&gt;"",$AJ16&lt;&gt;"")),OR($AK$6=FALSE,AND($AK$6=TRUE,$AK16&lt;&gt;"",$AL16&lt;&gt;"")),OR($AM$6=FALSE,AND($AM$6=TRUE,$AM16&lt;&gt;"",$AN16&lt;&gt;"")),OR($AO$6=FALSE,AND($AO$6=TRUE,$AO16&lt;&gt;"",$AP16&lt;&gt;"")))))</f>
        <v>0</v>
      </c>
      <c r="AR16" s="108" t="s">
        <v>183</v>
      </c>
      <c r="AS16" s="108"/>
      <c r="AT16" s="108"/>
      <c r="AU16" s="108" t="s">
        <v>183</v>
      </c>
      <c r="AV16" s="170" t="str">
        <f>IF(AR16&lt;&gt;"","セキュリティ管理/","")&amp;IF(AS16&lt;&gt;"","マルウェア/","")&amp;IF(AT16&lt;&gt;"","クラウド/","")&amp;IF(AU16&lt;&gt;"","別表1,2,3","")</f>
        <v>セキュリティ管理/別表1,2,3</v>
      </c>
      <c r="AW16" s="108"/>
    </row>
    <row r="17" spans="1:49" ht="135">
      <c r="A17" s="75"/>
      <c r="B17" s="82"/>
      <c r="C17" s="71" t="s">
        <v>1402</v>
      </c>
      <c r="D17" s="90" t="s">
        <v>562</v>
      </c>
      <c r="E17" s="91" t="str">
        <f>'運用プロセス(自社DC)'!E16</f>
        <v xml:space="preserve">不要もしくは一定期間利用されていない運用担当者アカウントの棚卸を定期的に実施する運用を設計しているか。
また、IDの有効期間を経過した場合は、期間終了時に利用不可とし、
人事異動に伴う事象では人事システムと連動することで不要な権限の剥奪を自動化しているか
</v>
      </c>
      <c r="F17" s="91" t="s">
        <v>1403</v>
      </c>
      <c r="G17" s="92" t="s">
        <v>254</v>
      </c>
      <c r="H17" s="181"/>
      <c r="I17" s="181"/>
      <c r="J17" s="97" t="s">
        <v>1314</v>
      </c>
      <c r="K17" s="94"/>
      <c r="L17" s="94"/>
      <c r="M17" s="94"/>
      <c r="N17" s="247"/>
      <c r="O17" s="111" cm="1">
        <f t="array" ref="O17">IF(AQ17=TRUE,_xlfn.IFS(M17=1,2,M17="",IF(N17="",1,2)),0)</f>
        <v>0</v>
      </c>
      <c r="P17" s="95" t="s">
        <v>255</v>
      </c>
      <c r="Q17" s="95" t="s">
        <v>183</v>
      </c>
      <c r="R17" s="95" t="s">
        <v>183</v>
      </c>
      <c r="S17" s="95" t="s">
        <v>183</v>
      </c>
      <c r="T17" s="96" t="s">
        <v>183</v>
      </c>
      <c r="U17" s="96"/>
      <c r="V17" s="96"/>
      <c r="W17" s="96"/>
      <c r="X17" s="96" t="s">
        <v>448</v>
      </c>
      <c r="Y17" s="95"/>
      <c r="Z17" s="95"/>
      <c r="AA17" s="95"/>
      <c r="AB17" s="95"/>
      <c r="AC17" s="95"/>
      <c r="AD17" s="95" t="s">
        <v>183</v>
      </c>
      <c r="AE17" s="95" t="s">
        <v>183</v>
      </c>
      <c r="AF17" s="95"/>
      <c r="AG17" s="95" t="s">
        <v>255</v>
      </c>
      <c r="AH17" s="95"/>
      <c r="AI17" s="106" t="s">
        <v>448</v>
      </c>
      <c r="AJ17" s="106" t="s">
        <v>255</v>
      </c>
      <c r="AK17" s="106"/>
      <c r="AL17" s="106" t="s">
        <v>255</v>
      </c>
      <c r="AM17" s="106" t="s">
        <v>255</v>
      </c>
      <c r="AN17" s="106" t="s">
        <v>255</v>
      </c>
      <c r="AO17" s="106" t="s">
        <v>255</v>
      </c>
      <c r="AP17" s="106" t="s">
        <v>255</v>
      </c>
      <c r="AQ17" s="91" t="b">
        <f>AND(OR(AND($P$6=TRUE,$P17&lt;&gt;""),AND($Q$6=TRUE,$Q17&lt;&gt;""),AND($R$6=TRUE,$R17&lt;&gt;"")),AND($S$6=TRUE,$S17&lt;&gt;""),OR(AND($T$6=TRUE,$T17&lt;&gt;""),AND($U$6=TRUE,$U17&lt;&gt;""),AND($V$6=TRUE,$V17&lt;&gt;""),AND($W$6=TRUE,$W17&lt;&gt;""),AND($X$6=TRUE,$X17&lt;&gt;""),AND($Y$6=TRUE,$Y17&lt;&gt;""),AND($Z$6=TRUE,$Z17&lt;&gt;""),AND($AA$6=TRUE,$AA17&lt;&gt;""),AND($AB$6=TRUE,$AB17&lt;&gt;""),AND($AC$6=TRUE,$AC17&lt;&gt;"")),OR(AND($AD$6=TRUE,$AD17&lt;&gt;""),AND($AE$6=TRUE,$AE17&lt;&gt;""),AND($AF$6=TRUE,$AF17&lt;&gt;""),AND($AG$6=TRUE,$AG17&lt;&gt;""),AND($AH$6=TRUE,$AH17&lt;&gt;"")),NOT(AND(NOT(AND($AI$6=FALSE,$AK$6=FALSE,$AM$6=FALSE,$AO$6=FALSE)),OR($AI$6=FALSE,AND($AI$6=TRUE,$AI17&lt;&gt;"",$AJ17&lt;&gt;"")),OR($AK$6=FALSE,AND($AK$6=TRUE,$AK17&lt;&gt;"",$AL17&lt;&gt;"")),OR($AM$6=FALSE,AND($AM$6=TRUE,$AM17&lt;&gt;"",$AN17&lt;&gt;"")),OR($AO$6=FALSE,AND($AO$6=TRUE,$AO17&lt;&gt;"",$AP17&lt;&gt;"")))))</f>
        <v>0</v>
      </c>
      <c r="AR17" s="108" t="s">
        <v>183</v>
      </c>
      <c r="AS17" s="108"/>
      <c r="AT17" s="108"/>
      <c r="AU17" s="108" t="s">
        <v>183</v>
      </c>
      <c r="AV17" s="170" t="str">
        <f>IF(AR17&lt;&gt;"","セキュリティ管理/","")&amp;IF(AS17&lt;&gt;"","マルウェア/","")&amp;IF(AT17&lt;&gt;"","クラウド/","")&amp;IF(AU17&lt;&gt;"","別表1,2,3","")</f>
        <v>セキュリティ管理/別表1,2,3</v>
      </c>
      <c r="AW17" s="108"/>
    </row>
    <row r="18" spans="1:49" ht="45">
      <c r="A18" s="75"/>
      <c r="B18" s="82"/>
      <c r="C18" s="71" t="s">
        <v>1404</v>
      </c>
      <c r="D18" s="90" t="s">
        <v>565</v>
      </c>
      <c r="E18" s="91" t="str">
        <f>'運用プロセス(自社DC)'!E17</f>
        <v>オーナ部門用ＩＤを発行するシステムの場合は、ＩＤの使用要否をＩＤ所有者へ定期的に確認する運用を設計しているか。</v>
      </c>
      <c r="F18" s="91" t="s">
        <v>1405</v>
      </c>
      <c r="G18" s="92" t="s">
        <v>254</v>
      </c>
      <c r="H18" s="181"/>
      <c r="I18" s="181"/>
      <c r="J18" s="94"/>
      <c r="K18" s="94"/>
      <c r="L18" s="94"/>
      <c r="M18" s="94"/>
      <c r="N18" s="247"/>
      <c r="O18" s="111" cm="1">
        <f t="array" ref="O18">IF(AQ18=TRUE,_xlfn.IFS(M18=1,2,M18="",IF(N18="",1,2)),0)</f>
        <v>0</v>
      </c>
      <c r="P18" s="95" t="s">
        <v>255</v>
      </c>
      <c r="Q18" s="95" t="s">
        <v>183</v>
      </c>
      <c r="R18" s="95" t="s">
        <v>183</v>
      </c>
      <c r="S18" s="95" t="s">
        <v>183</v>
      </c>
      <c r="T18" s="95" t="s">
        <v>183</v>
      </c>
      <c r="U18" s="95"/>
      <c r="V18" s="95"/>
      <c r="W18" s="95"/>
      <c r="X18" s="96" t="s">
        <v>448</v>
      </c>
      <c r="Y18" s="95"/>
      <c r="Z18" s="95"/>
      <c r="AA18" s="95"/>
      <c r="AB18" s="95"/>
      <c r="AC18" s="95"/>
      <c r="AD18" s="95" t="s">
        <v>183</v>
      </c>
      <c r="AE18" s="95" t="s">
        <v>183</v>
      </c>
      <c r="AF18" s="95"/>
      <c r="AG18" s="95"/>
      <c r="AH18" s="95"/>
      <c r="AI18" s="106" t="s">
        <v>448</v>
      </c>
      <c r="AJ18" s="106" t="s">
        <v>255</v>
      </c>
      <c r="AK18" s="106" t="s">
        <v>448</v>
      </c>
      <c r="AL18" s="106" t="s">
        <v>255</v>
      </c>
      <c r="AM18" s="106" t="s">
        <v>255</v>
      </c>
      <c r="AN18" s="106" t="s">
        <v>255</v>
      </c>
      <c r="AO18" s="106" t="s">
        <v>255</v>
      </c>
      <c r="AP18" s="106" t="s">
        <v>255</v>
      </c>
      <c r="AQ18" s="91" t="b">
        <f>AND(OR(AND($P$6=TRUE,$P18&lt;&gt;""),AND($Q$6=TRUE,$Q18&lt;&gt;""),AND($R$6=TRUE,$R18&lt;&gt;"")),AND($S$6=TRUE,$S18&lt;&gt;""),OR(AND($T$6=TRUE,$T18&lt;&gt;""),AND($U$6=TRUE,$U18&lt;&gt;""),AND($V$6=TRUE,$V18&lt;&gt;""),AND($W$6=TRUE,$W18&lt;&gt;""),AND($X$6=TRUE,$X18&lt;&gt;""),AND($Y$6=TRUE,$Y18&lt;&gt;""),AND($Z$6=TRUE,$Z18&lt;&gt;""),AND($AA$6=TRUE,$AA18&lt;&gt;""),AND($AB$6=TRUE,$AB18&lt;&gt;""),AND($AC$6=TRUE,$AC18&lt;&gt;"")),OR(AND($AD$6=TRUE,$AD18&lt;&gt;""),AND($AE$6=TRUE,$AE18&lt;&gt;""),AND($AF$6=TRUE,$AF18&lt;&gt;""),AND($AG$6=TRUE,$AG18&lt;&gt;""),AND($AH$6=TRUE,$AH18&lt;&gt;"")),NOT(AND(NOT(AND($AI$6=FALSE,$AK$6=FALSE,$AM$6=FALSE,$AO$6=FALSE)),OR($AI$6=FALSE,AND($AI$6=TRUE,$AI18&lt;&gt;"",$AJ18&lt;&gt;"")),OR($AK$6=FALSE,AND($AK$6=TRUE,$AK18&lt;&gt;"",$AL18&lt;&gt;"")),OR($AM$6=FALSE,AND($AM$6=TRUE,$AM18&lt;&gt;"",$AN18&lt;&gt;"")),OR($AO$6=FALSE,AND($AO$6=TRUE,$AO18&lt;&gt;"",$AP18&lt;&gt;"")))))</f>
        <v>0</v>
      </c>
      <c r="AR18" s="108"/>
      <c r="AS18" s="108"/>
      <c r="AT18" s="108"/>
      <c r="AU18" s="108"/>
      <c r="AV18" s="170" t="str">
        <f>IF(AR18&lt;&gt;"","セキュリティ管理/","")&amp;IF(AS18&lt;&gt;"","マルウェア/","")&amp;IF(AT18&lt;&gt;"","クラウド/","")&amp;IF(AU18&lt;&gt;"","別表1,2,3","")</f>
        <v/>
      </c>
      <c r="AW18" s="108"/>
    </row>
    <row r="19" spans="1:49" ht="112.5">
      <c r="A19" s="75"/>
      <c r="B19" s="82"/>
      <c r="C19" s="71" t="s">
        <v>1406</v>
      </c>
      <c r="D19" s="90" t="s">
        <v>756</v>
      </c>
      <c r="E19" s="91" t="str">
        <f>'運用プロセス(自社DC)'!E18</f>
        <v>特権IDの作成権限をもつIDや、マイナンバー(法人番号は含まない)・クレカ情報へのアクセス権をもつIDの管理業務(※)は、ID管理部門(当社においてはITサ支援部)が行う運用としているか。
※管理業務とは、IDの新規作成、貸出、廃止、PW変更、PWロック解除、棚卸を指す。</v>
      </c>
      <c r="F19" s="98" t="s">
        <v>1407</v>
      </c>
      <c r="G19" s="92" t="s">
        <v>254</v>
      </c>
      <c r="H19" s="181"/>
      <c r="I19" s="181"/>
      <c r="J19" s="94"/>
      <c r="K19" s="94"/>
      <c r="L19" s="94"/>
      <c r="M19" s="94"/>
      <c r="N19" s="247"/>
      <c r="O19" s="111" cm="1">
        <f t="array" ref="O19">IF(AQ19=TRUE,_xlfn.IFS(M19=1,2,M19="",IF(N19="",1,2)),0)</f>
        <v>0</v>
      </c>
      <c r="P19" s="95" t="s">
        <v>255</v>
      </c>
      <c r="Q19" s="95" t="s">
        <v>183</v>
      </c>
      <c r="R19" s="95" t="s">
        <v>183</v>
      </c>
      <c r="S19" s="95" t="s">
        <v>183</v>
      </c>
      <c r="T19" s="96" t="s">
        <v>183</v>
      </c>
      <c r="U19" s="96"/>
      <c r="V19" s="96"/>
      <c r="W19" s="96"/>
      <c r="X19" s="96" t="s">
        <v>448</v>
      </c>
      <c r="Y19" s="95"/>
      <c r="Z19" s="95"/>
      <c r="AA19" s="95"/>
      <c r="AB19" s="95"/>
      <c r="AC19" s="95" t="s">
        <v>183</v>
      </c>
      <c r="AD19" s="95" t="s">
        <v>183</v>
      </c>
      <c r="AE19" s="95" t="s">
        <v>183</v>
      </c>
      <c r="AF19" s="95"/>
      <c r="AG19" s="95" t="s">
        <v>255</v>
      </c>
      <c r="AH19" s="95"/>
      <c r="AI19" s="106" t="s">
        <v>448</v>
      </c>
      <c r="AJ19" s="106" t="s">
        <v>255</v>
      </c>
      <c r="AK19" s="106" t="s">
        <v>448</v>
      </c>
      <c r="AL19" s="106" t="s">
        <v>255</v>
      </c>
      <c r="AM19" s="106" t="s">
        <v>255</v>
      </c>
      <c r="AN19" s="106" t="s">
        <v>255</v>
      </c>
      <c r="AO19" s="106" t="s">
        <v>255</v>
      </c>
      <c r="AP19" s="106" t="s">
        <v>255</v>
      </c>
      <c r="AQ19" s="91" t="b">
        <f>AND(OR(AND($P$6=TRUE,$P19&lt;&gt;""),AND($Q$6=TRUE,$Q19&lt;&gt;""),AND($R$6=TRUE,$R19&lt;&gt;"")),AND($S$6=TRUE,$S19&lt;&gt;""),OR(AND($T$6=TRUE,$T19&lt;&gt;""),AND($U$6=TRUE,$U19&lt;&gt;""),AND($V$6=TRUE,$V19&lt;&gt;""),AND($W$6=TRUE,$W19&lt;&gt;""),AND($X$6=TRUE,$X19&lt;&gt;""),AND($Y$6=TRUE,$Y19&lt;&gt;""),AND($Z$6=TRUE,$Z19&lt;&gt;""),AND($AA$6=TRUE,$AA19&lt;&gt;""),AND($AB$6=TRUE,$AB19&lt;&gt;""),AND($AC$6=TRUE,$AC19&lt;&gt;"")),OR(AND($AD$6=TRUE,$AD19&lt;&gt;""),AND($AE$6=TRUE,$AE19&lt;&gt;""),AND($AF$6=TRUE,$AF19&lt;&gt;""),AND($AG$6=TRUE,$AG19&lt;&gt;""),AND($AH$6=TRUE,$AH19&lt;&gt;"")),NOT(AND(NOT(AND($AI$6=FALSE,$AK$6=FALSE,$AM$6=FALSE,$AO$6=FALSE)),OR($AI$6=FALSE,AND($AI$6=TRUE,$AI19&lt;&gt;"",$AJ19&lt;&gt;"")),OR($AK$6=FALSE,AND($AK$6=TRUE,$AK19&lt;&gt;"",$AL19&lt;&gt;"")),OR($AM$6=FALSE,AND($AM$6=TRUE,$AM19&lt;&gt;"",$AN19&lt;&gt;"")),OR($AO$6=FALSE,AND($AO$6=TRUE,$AO19&lt;&gt;"",$AP19&lt;&gt;"")))))</f>
        <v>0</v>
      </c>
      <c r="AR19" s="108" t="s">
        <v>183</v>
      </c>
      <c r="AS19" s="108"/>
      <c r="AT19" s="108"/>
      <c r="AU19" s="108"/>
      <c r="AV19" s="170" t="str">
        <f>IF(AR19&lt;&gt;"","セキュリティ管理/","")&amp;IF(AS19&lt;&gt;"","マルウェア/","")&amp;IF(AT19&lt;&gt;"","クラウド/","")&amp;IF(AU19&lt;&gt;"","別表1,2,3","")</f>
        <v>セキュリティ管理/</v>
      </c>
      <c r="AW19" s="108"/>
    </row>
    <row r="20" spans="1:49" ht="135">
      <c r="A20" s="75"/>
      <c r="B20" s="82"/>
      <c r="C20" s="71" t="s">
        <v>1408</v>
      </c>
      <c r="D20" s="90" t="s">
        <v>758</v>
      </c>
      <c r="E20" s="91" t="str">
        <f>'運用プロセス(自社DC)'!E19</f>
        <v xml:space="preserve">特権IDを保有しない要員へ障害対応などにより一時的に特権IDを払い出す時は、その申請ルール（運用部門への申請を必要とする）を定めているか。
また、上記の目的で貸し出された特権IＤや強い権限のパーミッション等は使用期間を経過したら使用できない仕組み(実装や運用)になっているか。
</v>
      </c>
      <c r="F20" s="99" t="s">
        <v>995</v>
      </c>
      <c r="G20" s="92" t="s">
        <v>254</v>
      </c>
      <c r="H20" s="181"/>
      <c r="I20" s="181"/>
      <c r="J20" s="94"/>
      <c r="K20" s="94"/>
      <c r="L20" s="94"/>
      <c r="M20" s="94"/>
      <c r="N20" s="247"/>
      <c r="O20" s="111" cm="1">
        <f t="array" ref="O20">IF(AQ20=TRUE,_xlfn.IFS(M20=1,2,M20="",IF(N20="",1,2)),0)</f>
        <v>0</v>
      </c>
      <c r="P20" s="95" t="s">
        <v>255</v>
      </c>
      <c r="Q20" s="95" t="s">
        <v>183</v>
      </c>
      <c r="R20" s="95" t="s">
        <v>183</v>
      </c>
      <c r="S20" s="95" t="s">
        <v>183</v>
      </c>
      <c r="T20" s="96" t="s">
        <v>183</v>
      </c>
      <c r="U20" s="96"/>
      <c r="V20" s="96"/>
      <c r="W20" s="96"/>
      <c r="X20" s="96" t="s">
        <v>448</v>
      </c>
      <c r="Y20" s="95"/>
      <c r="Z20" s="95"/>
      <c r="AA20" s="95"/>
      <c r="AB20" s="95"/>
      <c r="AC20" s="95"/>
      <c r="AD20" s="95" t="s">
        <v>183</v>
      </c>
      <c r="AE20" s="95" t="s">
        <v>183</v>
      </c>
      <c r="AF20" s="95"/>
      <c r="AG20" s="95" t="s">
        <v>255</v>
      </c>
      <c r="AH20" s="95"/>
      <c r="AI20" s="106" t="s">
        <v>448</v>
      </c>
      <c r="AJ20" s="106" t="s">
        <v>255</v>
      </c>
      <c r="AK20" s="106" t="s">
        <v>448</v>
      </c>
      <c r="AL20" s="106" t="s">
        <v>255</v>
      </c>
      <c r="AM20" s="106" t="s">
        <v>255</v>
      </c>
      <c r="AN20" s="106" t="s">
        <v>255</v>
      </c>
      <c r="AO20" s="106" t="s">
        <v>255</v>
      </c>
      <c r="AP20" s="106" t="s">
        <v>255</v>
      </c>
      <c r="AQ20" s="91" t="b">
        <f>AND(OR(AND($P$6=TRUE,$P20&lt;&gt;""),AND($Q$6=TRUE,$Q20&lt;&gt;""),AND($R$6=TRUE,$R20&lt;&gt;"")),AND($S$6=TRUE,$S20&lt;&gt;""),OR(AND($T$6=TRUE,$T20&lt;&gt;""),AND($U$6=TRUE,$U20&lt;&gt;""),AND($V$6=TRUE,$V20&lt;&gt;""),AND($W$6=TRUE,$W20&lt;&gt;""),AND($X$6=TRUE,$X20&lt;&gt;""),AND($Y$6=TRUE,$Y20&lt;&gt;""),AND($Z$6=TRUE,$Z20&lt;&gt;""),AND($AA$6=TRUE,$AA20&lt;&gt;""),AND($AB$6=TRUE,$AB20&lt;&gt;""),AND($AC$6=TRUE,$AC20&lt;&gt;"")),OR(AND($AD$6=TRUE,$AD20&lt;&gt;""),AND($AE$6=TRUE,$AE20&lt;&gt;""),AND($AF$6=TRUE,$AF20&lt;&gt;""),AND($AG$6=TRUE,$AG20&lt;&gt;""),AND($AH$6=TRUE,$AH20&lt;&gt;"")),NOT(AND(NOT(AND($AI$6=FALSE,$AK$6=FALSE,$AM$6=FALSE,$AO$6=FALSE)),OR($AI$6=FALSE,AND($AI$6=TRUE,$AI20&lt;&gt;"",$AJ20&lt;&gt;"")),OR($AK$6=FALSE,AND($AK$6=TRUE,$AK20&lt;&gt;"",$AL20&lt;&gt;"")),OR($AM$6=FALSE,AND($AM$6=TRUE,$AM20&lt;&gt;"",$AN20&lt;&gt;"")),OR($AO$6=FALSE,AND($AO$6=TRUE,$AO20&lt;&gt;"",$AP20&lt;&gt;"")))))</f>
        <v>0</v>
      </c>
      <c r="AR20" s="108" t="s">
        <v>183</v>
      </c>
      <c r="AS20" s="108"/>
      <c r="AT20" s="108"/>
      <c r="AU20" s="108" t="s">
        <v>183</v>
      </c>
      <c r="AV20" s="170" t="str">
        <f>IF(AR20&lt;&gt;"","セキュリティ管理/","")&amp;IF(AS20&lt;&gt;"","マルウェア/","")&amp;IF(AT20&lt;&gt;"","クラウド/","")&amp;IF(AU20&lt;&gt;"","別表1,2,3","")</f>
        <v>セキュリティ管理/別表1,2,3</v>
      </c>
      <c r="AW20" s="108"/>
    </row>
    <row r="21" spans="1:49" ht="22.5">
      <c r="A21" s="75" t="s">
        <v>1321</v>
      </c>
      <c r="B21" s="75"/>
      <c r="C21" s="113"/>
      <c r="D21" s="76"/>
      <c r="E21" s="77"/>
      <c r="F21" s="77"/>
      <c r="G21" s="78"/>
      <c r="H21" s="79"/>
      <c r="I21" s="79"/>
      <c r="J21" s="80"/>
      <c r="K21" s="80"/>
      <c r="L21" s="80"/>
      <c r="M21" s="80"/>
      <c r="N21" s="245"/>
      <c r="O21" s="245"/>
      <c r="P21" s="80"/>
      <c r="Q21" s="80"/>
      <c r="R21" s="80"/>
      <c r="S21" s="80"/>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t="s">
        <v>728</v>
      </c>
      <c r="AR21" s="80"/>
      <c r="AS21" s="80"/>
      <c r="AT21" s="80"/>
      <c r="AU21" s="80"/>
      <c r="AV21" s="80"/>
      <c r="AW21" s="80"/>
    </row>
    <row r="22" spans="1:49" ht="22.5">
      <c r="A22" s="75"/>
      <c r="B22" s="82" t="s">
        <v>1322</v>
      </c>
      <c r="C22" s="115"/>
      <c r="D22" s="83"/>
      <c r="E22" s="84"/>
      <c r="F22" s="84"/>
      <c r="G22" s="85"/>
      <c r="H22" s="86"/>
      <c r="I22" s="86"/>
      <c r="J22" s="87"/>
      <c r="K22" s="87"/>
      <c r="L22" s="87"/>
      <c r="M22" s="87"/>
      <c r="N22" s="246"/>
      <c r="O22" s="246"/>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t="s">
        <v>728</v>
      </c>
      <c r="AR22" s="87"/>
      <c r="AS22" s="87"/>
      <c r="AT22" s="87"/>
      <c r="AU22" s="87"/>
      <c r="AV22" s="87"/>
      <c r="AW22" s="87"/>
    </row>
    <row r="23" spans="1:49" ht="67.5">
      <c r="A23" s="75"/>
      <c r="B23" s="82"/>
      <c r="C23" s="71" t="s">
        <v>1409</v>
      </c>
      <c r="D23" s="90" t="s">
        <v>274</v>
      </c>
      <c r="E23" s="91" t="str">
        <f>'運用プロセス(自社DC)'!E22</f>
        <v>開発担当者による定例的な作業や、特権IDの使用を前提とした定例運用を行わないよう設計しているか。</v>
      </c>
      <c r="F23" s="91" t="s">
        <v>1410</v>
      </c>
      <c r="G23" s="92" t="s">
        <v>254</v>
      </c>
      <c r="H23" s="181"/>
      <c r="I23" s="181"/>
      <c r="J23" s="94"/>
      <c r="K23" s="94"/>
      <c r="L23" s="94"/>
      <c r="M23" s="94"/>
      <c r="N23" s="247"/>
      <c r="O23" s="111" cm="1">
        <f t="array" ref="O23">IF(AQ23=TRUE,_xlfn.IFS(M23=1,2,M23="",IF(N23="",1,2)),0)</f>
        <v>0</v>
      </c>
      <c r="P23" s="95" t="s">
        <v>255</v>
      </c>
      <c r="Q23" s="95" t="s">
        <v>183</v>
      </c>
      <c r="R23" s="95" t="s">
        <v>183</v>
      </c>
      <c r="S23" s="95" t="s">
        <v>183</v>
      </c>
      <c r="T23" s="96" t="s">
        <v>183</v>
      </c>
      <c r="U23" s="96"/>
      <c r="V23" s="96"/>
      <c r="W23" s="96"/>
      <c r="X23" s="96" t="s">
        <v>448</v>
      </c>
      <c r="Y23" s="95"/>
      <c r="Z23" s="95"/>
      <c r="AA23" s="95"/>
      <c r="AB23" s="95" t="s">
        <v>448</v>
      </c>
      <c r="AC23" s="95" t="s">
        <v>448</v>
      </c>
      <c r="AD23" s="95" t="s">
        <v>183</v>
      </c>
      <c r="AE23" s="95" t="s">
        <v>183</v>
      </c>
      <c r="AF23" s="95"/>
      <c r="AG23" s="95"/>
      <c r="AH23" s="95"/>
      <c r="AI23" s="106" t="s">
        <v>448</v>
      </c>
      <c r="AJ23" s="106" t="s">
        <v>255</v>
      </c>
      <c r="AK23" s="106" t="s">
        <v>255</v>
      </c>
      <c r="AL23" s="106" t="s">
        <v>255</v>
      </c>
      <c r="AM23" s="106"/>
      <c r="AN23" s="106" t="s">
        <v>255</v>
      </c>
      <c r="AO23" s="106"/>
      <c r="AP23" s="106" t="s">
        <v>255</v>
      </c>
      <c r="AQ23" s="91" t="b">
        <f t="shared" ref="AQ23:AQ32" si="0">AND(OR(AND($P$6=TRUE,$P23&lt;&gt;""),AND($Q$6=TRUE,$Q23&lt;&gt;""),AND($R$6=TRUE,$R23&lt;&gt;"")),AND($S$6=TRUE,$S23&lt;&gt;""),OR(AND($T$6=TRUE,$T23&lt;&gt;""),AND($U$6=TRUE,$U23&lt;&gt;""),AND($V$6=TRUE,$V23&lt;&gt;""),AND($W$6=TRUE,$W23&lt;&gt;""),AND($X$6=TRUE,$X23&lt;&gt;""),AND($Y$6=TRUE,$Y23&lt;&gt;""),AND($Z$6=TRUE,$Z23&lt;&gt;""),AND($AA$6=TRUE,$AA23&lt;&gt;""),AND($AB$6=TRUE,$AB23&lt;&gt;""),AND($AC$6=TRUE,$AC23&lt;&gt;"")),OR(AND($AD$6=TRUE,$AD23&lt;&gt;""),AND($AE$6=TRUE,$AE23&lt;&gt;""),AND($AF$6=TRUE,$AF23&lt;&gt;""),AND($AG$6=TRUE,$AG23&lt;&gt;""),AND($AH$6=TRUE,$AH23&lt;&gt;"")),NOT(AND(NOT(AND($AI$6=FALSE,$AK$6=FALSE,$AM$6=FALSE,$AO$6=FALSE)),OR($AI$6=FALSE,AND($AI$6=TRUE,$AI23&lt;&gt;"",$AJ23&lt;&gt;"")),OR($AK$6=FALSE,AND($AK$6=TRUE,$AK23&lt;&gt;"",$AL23&lt;&gt;"")),OR($AM$6=FALSE,AND($AM$6=TRUE,$AM23&lt;&gt;"",$AN23&lt;&gt;"")),OR($AO$6=FALSE,AND($AO$6=TRUE,$AO23&lt;&gt;"",$AP23&lt;&gt;"")))))</f>
        <v>0</v>
      </c>
      <c r="AR23" s="108"/>
      <c r="AS23" s="108"/>
      <c r="AT23" s="108"/>
      <c r="AU23" s="108"/>
      <c r="AV23" s="170" t="str">
        <f t="shared" ref="AV23:AV31" si="1">IF(AR23&lt;&gt;"","セキュリティ管理/","")&amp;IF(AS23&lt;&gt;"","マルウェア/","")&amp;IF(AT23&lt;&gt;"","クラウド/","")&amp;IF(AU23&lt;&gt;"","別表1,2,3","")</f>
        <v/>
      </c>
      <c r="AW23" s="108"/>
    </row>
    <row r="24" spans="1:49" ht="135">
      <c r="A24" s="75"/>
      <c r="B24" s="82"/>
      <c r="C24" s="71" t="s">
        <v>1411</v>
      </c>
      <c r="D24" s="90" t="s">
        <v>277</v>
      </c>
      <c r="E24" s="91" t="str">
        <f>'運用プロセス(自社DC)'!E23</f>
        <v>システムで利用しているコンポーネントのVerなどの構成情報を取得し、常に最新の情報となるよう管理すること。また、収集した構成情報はITサービス管理部と共有できる体制を整備すること。
なお、当社内環境に構築したシステムにおいては、SAM基盤による構成管理が標準である。</v>
      </c>
      <c r="F24" s="91" t="s">
        <v>1412</v>
      </c>
      <c r="G24" s="92" t="s">
        <v>254</v>
      </c>
      <c r="H24" s="181"/>
      <c r="I24" s="181"/>
      <c r="J24" s="94"/>
      <c r="K24" s="94"/>
      <c r="L24" s="94"/>
      <c r="M24" s="94"/>
      <c r="N24" s="247"/>
      <c r="O24" s="111" cm="1">
        <f t="array" ref="O24">IF(AQ24=TRUE,_xlfn.IFS(M24=1,2,M24="",IF(N24="",1,2)),0)</f>
        <v>0</v>
      </c>
      <c r="P24" s="95" t="s">
        <v>255</v>
      </c>
      <c r="Q24" s="95" t="s">
        <v>183</v>
      </c>
      <c r="R24" s="95" t="s">
        <v>183</v>
      </c>
      <c r="S24" s="95" t="s">
        <v>183</v>
      </c>
      <c r="T24" s="96" t="s">
        <v>183</v>
      </c>
      <c r="U24" s="96"/>
      <c r="V24" s="96"/>
      <c r="W24" s="96"/>
      <c r="X24" s="96" t="s">
        <v>448</v>
      </c>
      <c r="Y24" s="95"/>
      <c r="Z24" s="95"/>
      <c r="AA24" s="95"/>
      <c r="AB24" s="95" t="s">
        <v>448</v>
      </c>
      <c r="AC24" s="95" t="s">
        <v>448</v>
      </c>
      <c r="AD24" s="95" t="s">
        <v>183</v>
      </c>
      <c r="AE24" s="95" t="s">
        <v>183</v>
      </c>
      <c r="AF24" s="95"/>
      <c r="AG24" s="95"/>
      <c r="AH24" s="95"/>
      <c r="AI24" s="106" t="s">
        <v>448</v>
      </c>
      <c r="AJ24" s="106" t="s">
        <v>255</v>
      </c>
      <c r="AK24" s="106" t="s">
        <v>448</v>
      </c>
      <c r="AL24" s="106" t="s">
        <v>448</v>
      </c>
      <c r="AM24" s="106" t="s">
        <v>255</v>
      </c>
      <c r="AN24" s="106" t="s">
        <v>255</v>
      </c>
      <c r="AO24" s="106" t="s">
        <v>255</v>
      </c>
      <c r="AP24" s="106" t="s">
        <v>255</v>
      </c>
      <c r="AQ24" s="91" t="b">
        <f t="shared" si="0"/>
        <v>0</v>
      </c>
      <c r="AR24" s="108"/>
      <c r="AS24" s="108"/>
      <c r="AT24" s="108"/>
      <c r="AU24" s="108"/>
      <c r="AV24" s="170" t="str">
        <f t="shared" si="1"/>
        <v/>
      </c>
      <c r="AW24" s="108" t="s">
        <v>563</v>
      </c>
    </row>
    <row r="25" spans="1:49" ht="135">
      <c r="A25" s="75"/>
      <c r="B25" s="82"/>
      <c r="C25" s="71" t="s">
        <v>1413</v>
      </c>
      <c r="D25" s="90" t="s">
        <v>573</v>
      </c>
      <c r="E25" s="91" t="str">
        <f>'運用プロセス(自社DC)'!E24</f>
        <v>利用しているコンポーネントで脆弱性が公表された場合は影響を受けるかどうか確認し、影響がある場合はITサービス管理部へ共有する運用を設計しているか。
なお、当社内環境に構築したセキュリティ対応ランクA、セキュリティ対応ランクＢ－１、ひとり一台端末からの直接通信要件のあるシステムについては、Rapid7による脆弱性管理が標準である。</v>
      </c>
      <c r="F25" s="91" t="s">
        <v>1414</v>
      </c>
      <c r="G25" s="92" t="s">
        <v>254</v>
      </c>
      <c r="H25" s="181"/>
      <c r="I25" s="181"/>
      <c r="J25" s="94"/>
      <c r="K25" s="94"/>
      <c r="L25" s="94"/>
      <c r="M25" s="94"/>
      <c r="N25" s="247"/>
      <c r="O25" s="111" cm="1">
        <f t="array" ref="O25">IF(AQ25=TRUE,_xlfn.IFS(M25=1,2,M25="",IF(N25="",1,2)),0)</f>
        <v>0</v>
      </c>
      <c r="P25" s="95" t="s">
        <v>255</v>
      </c>
      <c r="Q25" s="95" t="s">
        <v>183</v>
      </c>
      <c r="R25" s="95" t="s">
        <v>183</v>
      </c>
      <c r="S25" s="95" t="s">
        <v>183</v>
      </c>
      <c r="T25" s="96" t="s">
        <v>183</v>
      </c>
      <c r="U25" s="96"/>
      <c r="V25" s="96"/>
      <c r="W25" s="96"/>
      <c r="X25" s="96" t="s">
        <v>448</v>
      </c>
      <c r="Y25" s="95"/>
      <c r="Z25" s="95"/>
      <c r="AA25" s="95"/>
      <c r="AB25" s="95" t="s">
        <v>448</v>
      </c>
      <c r="AC25" s="95" t="s">
        <v>448</v>
      </c>
      <c r="AD25" s="95" t="s">
        <v>183</v>
      </c>
      <c r="AE25" s="95" t="s">
        <v>183</v>
      </c>
      <c r="AF25" s="95"/>
      <c r="AG25" s="95"/>
      <c r="AH25" s="95"/>
      <c r="AI25" s="106" t="s">
        <v>448</v>
      </c>
      <c r="AJ25" s="106" t="s">
        <v>255</v>
      </c>
      <c r="AK25" s="106" t="s">
        <v>448</v>
      </c>
      <c r="AL25" s="106" t="s">
        <v>448</v>
      </c>
      <c r="AM25" s="106" t="s">
        <v>255</v>
      </c>
      <c r="AN25" s="106" t="s">
        <v>255</v>
      </c>
      <c r="AO25" s="106" t="s">
        <v>255</v>
      </c>
      <c r="AP25" s="106" t="s">
        <v>255</v>
      </c>
      <c r="AQ25" s="91" t="b">
        <f t="shared" si="0"/>
        <v>0</v>
      </c>
      <c r="AR25" s="108"/>
      <c r="AS25" s="108"/>
      <c r="AT25" s="108"/>
      <c r="AU25" s="108"/>
      <c r="AV25" s="170" t="str">
        <f>IF(AR25&lt;&gt;"","セキュリティ管理/","")&amp;IF(AS25&lt;&gt;"","マルウェア/","")&amp;IF(AT25&lt;&gt;"","クラウド/","")&amp;IF(AU25&lt;&gt;"","別表1,2,3","")</f>
        <v/>
      </c>
      <c r="AW25" s="108" t="s">
        <v>1328</v>
      </c>
    </row>
    <row r="26" spans="1:49" ht="112.5">
      <c r="A26" s="75"/>
      <c r="B26" s="82"/>
      <c r="C26" s="71" t="s">
        <v>1415</v>
      </c>
      <c r="D26" s="90" t="s">
        <v>577</v>
      </c>
      <c r="E26" s="91" t="str">
        <f>'運用プロセス(自社DC)'!E25</f>
        <v xml:space="preserve">システムの開発、運用、管理に用いる端末にソフトウェアを導入する場合、管理部門に申請が必要となるルールとしているか。
また、許可なく導入したソフトウェア（不正ソフトウェア）を検知する機能を実装し、検知・報告を行っているか
</v>
      </c>
      <c r="F26" s="104" t="s">
        <v>995</v>
      </c>
      <c r="G26" s="92" t="s">
        <v>254</v>
      </c>
      <c r="H26" s="181"/>
      <c r="I26" s="181"/>
      <c r="J26" s="94"/>
      <c r="K26" s="94"/>
      <c r="L26" s="94"/>
      <c r="M26" s="94"/>
      <c r="N26" s="247"/>
      <c r="O26" s="111" cm="1">
        <f t="array" ref="O26">IF(AQ26=TRUE,_xlfn.IFS(M26=1,2,M26="",IF(N26="",1,2)),0)</f>
        <v>0</v>
      </c>
      <c r="P26" s="95" t="s">
        <v>255</v>
      </c>
      <c r="Q26" s="95" t="s">
        <v>183</v>
      </c>
      <c r="R26" s="95" t="s">
        <v>183</v>
      </c>
      <c r="S26" s="95" t="s">
        <v>183</v>
      </c>
      <c r="T26" s="96" t="s">
        <v>183</v>
      </c>
      <c r="U26" s="96"/>
      <c r="V26" s="96"/>
      <c r="W26" s="96"/>
      <c r="X26" s="96" t="s">
        <v>448</v>
      </c>
      <c r="Y26" s="95"/>
      <c r="Z26" s="95"/>
      <c r="AA26" s="95"/>
      <c r="AB26" s="95" t="s">
        <v>448</v>
      </c>
      <c r="AC26" s="95" t="s">
        <v>448</v>
      </c>
      <c r="AD26" s="95" t="s">
        <v>183</v>
      </c>
      <c r="AE26" s="95" t="s">
        <v>183</v>
      </c>
      <c r="AF26" s="95"/>
      <c r="AG26" s="95"/>
      <c r="AH26" s="95"/>
      <c r="AI26" s="106" t="s">
        <v>448</v>
      </c>
      <c r="AJ26" s="106" t="s">
        <v>255</v>
      </c>
      <c r="AK26" s="106" t="s">
        <v>448</v>
      </c>
      <c r="AL26" s="106" t="s">
        <v>255</v>
      </c>
      <c r="AM26" s="106"/>
      <c r="AN26" s="106" t="s">
        <v>255</v>
      </c>
      <c r="AO26" s="106"/>
      <c r="AP26" s="106" t="s">
        <v>255</v>
      </c>
      <c r="AQ26" s="91" t="b">
        <f t="shared" si="0"/>
        <v>0</v>
      </c>
      <c r="AR26" s="108"/>
      <c r="AS26" s="108"/>
      <c r="AT26" s="108"/>
      <c r="AU26" s="108"/>
      <c r="AV26" s="170" t="str">
        <f t="shared" si="1"/>
        <v/>
      </c>
      <c r="AW26" s="108"/>
    </row>
    <row r="27" spans="1:49" ht="337.5">
      <c r="A27" s="75"/>
      <c r="B27" s="82"/>
      <c r="C27" s="71" t="s">
        <v>1416</v>
      </c>
      <c r="D27" s="90" t="s">
        <v>581</v>
      </c>
      <c r="E27" s="91" t="str">
        <f>'運用プロセス(自社DC)'!E26</f>
        <v xml:space="preserve">システムで稼動するOSやソフトウエアにおいて、脆弱性が判明した場合は、速やかにパッチ適用することとしているか
・ベンダー(加えてシステムズITサ管理およびTMNFリスク管理G)にて「緊急」と判定された場合、速やかにセキュリティパッチを適用すること。直ちにセキュリティパ ッチを適用することが難しい場合は、設定変更等による緩和策の実施や、WAF/IPS の仮想パッチによる攻撃の防御を検討する。 
・緊急性が高いとは判断されなかった脆弱性についても、定期的なパッチ適用プロセスに従い適用する。 （以下の場合は要件を満たすように設計すること。）
　・対応ランクAのWindowsサーバ、もしくは不特定からのメール受信や任意のサイトアクセスができる端末：毎月
　・対応ランクB1以下のWindowsサーバ、もしくは対応ランクAのRHELサーバ、もしくは上記以外の端末：年2回以上
</v>
      </c>
      <c r="F27" s="91" t="s">
        <v>1417</v>
      </c>
      <c r="G27" s="92" t="s">
        <v>254</v>
      </c>
      <c r="H27" s="181"/>
      <c r="I27" s="181"/>
      <c r="J27" s="94"/>
      <c r="K27" s="94"/>
      <c r="L27" s="94"/>
      <c r="M27" s="94"/>
      <c r="N27" s="247"/>
      <c r="O27" s="111" cm="1">
        <f t="array" ref="O27">IF(AQ27=TRUE,_xlfn.IFS(M27=1,2,M27="",IF(N27="",1,2)),0)</f>
        <v>0</v>
      </c>
      <c r="P27" s="95" t="s">
        <v>255</v>
      </c>
      <c r="Q27" s="95" t="s">
        <v>183</v>
      </c>
      <c r="R27" s="95" t="s">
        <v>183</v>
      </c>
      <c r="S27" s="95" t="s">
        <v>183</v>
      </c>
      <c r="T27" s="96" t="s">
        <v>183</v>
      </c>
      <c r="U27" s="96"/>
      <c r="V27" s="96"/>
      <c r="W27" s="96"/>
      <c r="X27" s="96" t="s">
        <v>448</v>
      </c>
      <c r="Y27" s="95"/>
      <c r="Z27" s="95"/>
      <c r="AA27" s="95"/>
      <c r="AB27" s="95"/>
      <c r="AC27" s="95"/>
      <c r="AD27" s="95" t="s">
        <v>183</v>
      </c>
      <c r="AE27" s="95" t="s">
        <v>183</v>
      </c>
      <c r="AF27" s="95"/>
      <c r="AG27" s="95" t="s">
        <v>255</v>
      </c>
      <c r="AH27" s="95"/>
      <c r="AI27" s="106" t="s">
        <v>448</v>
      </c>
      <c r="AJ27" s="106" t="s">
        <v>448</v>
      </c>
      <c r="AK27" s="106" t="s">
        <v>448</v>
      </c>
      <c r="AL27" s="106" t="s">
        <v>448</v>
      </c>
      <c r="AM27" s="106" t="s">
        <v>255</v>
      </c>
      <c r="AN27" s="106" t="s">
        <v>255</v>
      </c>
      <c r="AO27" s="106" t="s">
        <v>255</v>
      </c>
      <c r="AP27" s="106" t="s">
        <v>255</v>
      </c>
      <c r="AQ27" s="91" t="b">
        <f t="shared" si="0"/>
        <v>0</v>
      </c>
      <c r="AR27" s="108" t="s">
        <v>183</v>
      </c>
      <c r="AS27" s="108"/>
      <c r="AT27" s="108"/>
      <c r="AU27" s="108"/>
      <c r="AV27" s="170" t="str">
        <f t="shared" si="1"/>
        <v>セキュリティ管理/</v>
      </c>
      <c r="AW27" s="108" t="s">
        <v>337</v>
      </c>
    </row>
    <row r="28" spans="1:49" ht="67.5">
      <c r="A28" s="75"/>
      <c r="B28" s="82"/>
      <c r="C28" s="71" t="s">
        <v>1418</v>
      </c>
      <c r="D28" s="90" t="s">
        <v>1335</v>
      </c>
      <c r="E28" s="91" t="str">
        <f>'運用プロセス(自社DC)'!E27</f>
        <v>Windowsサーバ、端末については、OS、ブラウザ（IEやEdge)、Officeのセキュリティパッチを定期的に適用する運用となっているか</v>
      </c>
      <c r="F28" s="91" t="s">
        <v>1419</v>
      </c>
      <c r="G28" s="92" t="s">
        <v>254</v>
      </c>
      <c r="H28" s="181"/>
      <c r="I28" s="181"/>
      <c r="J28" s="94"/>
      <c r="K28" s="94"/>
      <c r="L28" s="94"/>
      <c r="M28" s="94"/>
      <c r="N28" s="247"/>
      <c r="O28" s="111" cm="1">
        <f t="array" ref="O28">IF(AQ28=TRUE,_xlfn.IFS(M28=1,2,M28="",IF(N28="",1,2)),0)</f>
        <v>0</v>
      </c>
      <c r="P28" s="95" t="s">
        <v>255</v>
      </c>
      <c r="Q28" s="95" t="s">
        <v>183</v>
      </c>
      <c r="R28" s="95" t="s">
        <v>183</v>
      </c>
      <c r="S28" s="95" t="s">
        <v>183</v>
      </c>
      <c r="T28" s="96" t="s">
        <v>183</v>
      </c>
      <c r="U28" s="96"/>
      <c r="V28" s="96"/>
      <c r="W28" s="96"/>
      <c r="X28" s="96" t="s">
        <v>448</v>
      </c>
      <c r="Y28" s="95"/>
      <c r="Z28" s="95"/>
      <c r="AA28" s="95"/>
      <c r="AB28" s="95"/>
      <c r="AC28" s="95"/>
      <c r="AD28" s="95" t="s">
        <v>183</v>
      </c>
      <c r="AE28" s="95" t="s">
        <v>183</v>
      </c>
      <c r="AF28" s="95"/>
      <c r="AG28" s="95"/>
      <c r="AH28" s="95"/>
      <c r="AI28" s="106" t="s">
        <v>448</v>
      </c>
      <c r="AJ28" s="106" t="s">
        <v>255</v>
      </c>
      <c r="AK28" s="106" t="s">
        <v>448</v>
      </c>
      <c r="AL28" s="106" t="s">
        <v>255</v>
      </c>
      <c r="AM28" s="106" t="s">
        <v>255</v>
      </c>
      <c r="AN28" s="106" t="s">
        <v>255</v>
      </c>
      <c r="AO28" s="106" t="s">
        <v>255</v>
      </c>
      <c r="AP28" s="106" t="s">
        <v>255</v>
      </c>
      <c r="AQ28" s="91" t="b">
        <f t="shared" si="0"/>
        <v>0</v>
      </c>
      <c r="AR28" s="108"/>
      <c r="AS28" s="108"/>
      <c r="AT28" s="108"/>
      <c r="AU28" s="108"/>
      <c r="AV28" s="170" t="str">
        <f t="shared" si="1"/>
        <v/>
      </c>
      <c r="AW28" s="108"/>
    </row>
    <row r="29" spans="1:49" ht="315">
      <c r="A29" s="75"/>
      <c r="B29" s="82"/>
      <c r="C29" s="71" t="s">
        <v>1420</v>
      </c>
      <c r="D29" s="90" t="s">
        <v>1338</v>
      </c>
      <c r="E29" s="107" t="str">
        <f>'運用プロセス(自社DC)'!E28</f>
        <v>リリース前に脆弱性診断を実施する計画とし、リリース後は以下脆弱性診断を行う運用としているか。
・プラットフォーム診断：月1回（※）
・Webアプリ診断：対応ランクAシステムは年1回
加えて、アウトソースシステムは定期的にペネトレーションテスト（侵入テスト）を行う運用としているか。
（※）月1回のプラットフォーム診断が難しい場合は、緊急性の高い脆弱性が公表された際に実施するITサービス管理部からの確認依頼の際に、脆弱性の影響調査が行える態勢を設備し、脆弱性の影響を受ける場合には迅速に対応できる運用としているか。
（アウトソースシステムは、回答で「YES」を選択した場合でも、診断・評価の頻度を備考欄に記入する。）</v>
      </c>
      <c r="F29" s="91" t="s">
        <v>1421</v>
      </c>
      <c r="G29" s="92" t="s">
        <v>254</v>
      </c>
      <c r="H29" s="181"/>
      <c r="I29" s="181"/>
      <c r="J29" s="94"/>
      <c r="K29" s="94"/>
      <c r="L29" s="94"/>
      <c r="M29" s="94"/>
      <c r="N29" s="247"/>
      <c r="O29" s="111" cm="1">
        <f t="array" ref="O29">IF(AQ29=TRUE,_xlfn.IFS(M29=1,2,M29="",IF(N29="",1,2)),0)</f>
        <v>0</v>
      </c>
      <c r="P29" s="95" t="s">
        <v>255</v>
      </c>
      <c r="Q29" s="95" t="s">
        <v>183</v>
      </c>
      <c r="R29" s="95" t="s">
        <v>183</v>
      </c>
      <c r="S29" s="95" t="s">
        <v>183</v>
      </c>
      <c r="T29" s="95" t="s">
        <v>183</v>
      </c>
      <c r="U29" s="95"/>
      <c r="V29" s="95"/>
      <c r="W29" s="95"/>
      <c r="X29" s="96" t="s">
        <v>448</v>
      </c>
      <c r="Y29" s="95"/>
      <c r="Z29" s="95"/>
      <c r="AA29" s="95"/>
      <c r="AB29" s="95"/>
      <c r="AC29" s="95"/>
      <c r="AD29" s="95" t="s">
        <v>183</v>
      </c>
      <c r="AE29" s="95" t="s">
        <v>183</v>
      </c>
      <c r="AF29" s="95"/>
      <c r="AG29" s="95" t="s">
        <v>255</v>
      </c>
      <c r="AH29" s="95"/>
      <c r="AI29" s="106" t="s">
        <v>448</v>
      </c>
      <c r="AJ29" s="106" t="s">
        <v>448</v>
      </c>
      <c r="AK29" s="106" t="s">
        <v>448</v>
      </c>
      <c r="AL29" s="106" t="s">
        <v>448</v>
      </c>
      <c r="AM29" s="106"/>
      <c r="AN29" s="106"/>
      <c r="AO29" s="106"/>
      <c r="AP29" s="106"/>
      <c r="AQ29" s="91" t="b">
        <f t="shared" si="0"/>
        <v>0</v>
      </c>
      <c r="AR29" s="108" t="s">
        <v>183</v>
      </c>
      <c r="AS29" s="108"/>
      <c r="AT29" s="108"/>
      <c r="AU29" s="108"/>
      <c r="AV29" s="170" t="str">
        <f t="shared" si="1"/>
        <v>セキュリティ管理/</v>
      </c>
      <c r="AW29" s="108" t="s">
        <v>359</v>
      </c>
    </row>
    <row r="30" spans="1:49" ht="157.5">
      <c r="A30" s="75"/>
      <c r="B30" s="101"/>
      <c r="C30" s="71" t="s">
        <v>1422</v>
      </c>
      <c r="D30" s="90" t="s">
        <v>1341</v>
      </c>
      <c r="E30" s="91" t="str">
        <f>'運用プロセス(自社DC)'!E29</f>
        <v>構築対象の各種通信機器や要件において、以下の棚卸しを定期的に実施する運用としているか。
・不要なファイアウォールのフィルタリングルールがないか確認
・不要なプロキシサーバの通信設定がないか確認（ログを定期的に確認）
・業務仕様の変更やシステムの改廃に合わせて、各セグメント間のアクセス制御設計およびネットワーク機器のACLの見直し</v>
      </c>
      <c r="F30" s="91" t="s">
        <v>1423</v>
      </c>
      <c r="G30" s="92" t="s">
        <v>254</v>
      </c>
      <c r="H30" s="181"/>
      <c r="I30" s="181"/>
      <c r="J30" s="94"/>
      <c r="K30" s="94"/>
      <c r="L30" s="94"/>
      <c r="M30" s="94"/>
      <c r="N30" s="247"/>
      <c r="O30" s="111" cm="1">
        <f t="array" ref="O30">IF(AQ30=TRUE,_xlfn.IFS(M30=1,2,M30="",IF(N30="",1,2)),0)</f>
        <v>0</v>
      </c>
      <c r="P30" s="95" t="s">
        <v>255</v>
      </c>
      <c r="Q30" s="95" t="s">
        <v>183</v>
      </c>
      <c r="R30" s="95" t="s">
        <v>183</v>
      </c>
      <c r="S30" s="95" t="s">
        <v>183</v>
      </c>
      <c r="T30" s="95" t="s">
        <v>183</v>
      </c>
      <c r="U30" s="95"/>
      <c r="V30" s="95"/>
      <c r="W30" s="95"/>
      <c r="X30" s="96" t="s">
        <v>448</v>
      </c>
      <c r="Y30" s="95"/>
      <c r="Z30" s="95"/>
      <c r="AA30" s="95"/>
      <c r="AB30" s="95"/>
      <c r="AC30" s="95"/>
      <c r="AD30" s="95" t="s">
        <v>183</v>
      </c>
      <c r="AE30" s="95" t="s">
        <v>183</v>
      </c>
      <c r="AF30" s="95"/>
      <c r="AG30" s="95"/>
      <c r="AH30" s="95"/>
      <c r="AI30" s="106" t="s">
        <v>448</v>
      </c>
      <c r="AJ30" s="106" t="s">
        <v>255</v>
      </c>
      <c r="AK30" s="106" t="s">
        <v>448</v>
      </c>
      <c r="AL30" s="106" t="s">
        <v>448</v>
      </c>
      <c r="AM30" s="106" t="s">
        <v>255</v>
      </c>
      <c r="AN30" s="106" t="s">
        <v>255</v>
      </c>
      <c r="AO30" s="106" t="s">
        <v>255</v>
      </c>
      <c r="AP30" s="106" t="s">
        <v>255</v>
      </c>
      <c r="AQ30" s="91" t="b">
        <f t="shared" si="0"/>
        <v>0</v>
      </c>
      <c r="AR30" s="108"/>
      <c r="AS30" s="108" t="s">
        <v>183</v>
      </c>
      <c r="AT30" s="108"/>
      <c r="AU30" s="108"/>
      <c r="AV30" s="170" t="str">
        <f t="shared" si="1"/>
        <v>マルウェア/</v>
      </c>
      <c r="AW30" s="108"/>
    </row>
    <row r="31" spans="1:49" ht="135">
      <c r="A31" s="75"/>
      <c r="B31" s="101"/>
      <c r="C31" s="71" t="s">
        <v>1424</v>
      </c>
      <c r="D31" s="90" t="s">
        <v>1344</v>
      </c>
      <c r="E31" s="91" t="str">
        <f>'運用プロセス(自社DC)'!E30</f>
        <v>ランサムウェア感染時の対策として、ランサムウェア対応分類A,Bのシステムについては、システム構築時にバックアップデータからのリストア手順を整備するとともに、システム構築時および改定時にリストアテストを実施する計画としているか。
また、ランサムウェア対応分類Aのシステムについては、リストアの成否やRTO,RPOに大きな影響が出るレベルのシステム改定が発生した場合にもリストアテストを実施する計画としているか。</v>
      </c>
      <c r="F31" s="91" t="s">
        <v>995</v>
      </c>
      <c r="G31" s="92" t="s">
        <v>254</v>
      </c>
      <c r="H31" s="181"/>
      <c r="I31" s="181"/>
      <c r="J31" s="94"/>
      <c r="K31" s="94"/>
      <c r="L31" s="94"/>
      <c r="M31" s="94"/>
      <c r="N31" s="247"/>
      <c r="O31" s="111" cm="1">
        <f t="array" ref="O31">IF(AQ31=TRUE,_xlfn.IFS(M31=1,2,M31="",IF(N31="",1,2)),0)</f>
        <v>0</v>
      </c>
      <c r="P31" s="95" t="s">
        <v>255</v>
      </c>
      <c r="Q31" s="95" t="s">
        <v>183</v>
      </c>
      <c r="R31" s="95" t="s">
        <v>183</v>
      </c>
      <c r="S31" s="95" t="s">
        <v>183</v>
      </c>
      <c r="T31" s="197"/>
      <c r="U31" s="197" t="s">
        <v>183</v>
      </c>
      <c r="V31" s="199" t="s">
        <v>183</v>
      </c>
      <c r="W31" s="95"/>
      <c r="X31" s="96" t="s">
        <v>448</v>
      </c>
      <c r="Y31" s="95"/>
      <c r="Z31" s="95"/>
      <c r="AA31" s="95"/>
      <c r="AB31" s="95"/>
      <c r="AC31" s="95"/>
      <c r="AD31" s="95" t="s">
        <v>183</v>
      </c>
      <c r="AE31" s="95" t="s">
        <v>183</v>
      </c>
      <c r="AF31" s="95"/>
      <c r="AG31" s="95"/>
      <c r="AH31" s="95"/>
      <c r="AI31" s="106" t="s">
        <v>448</v>
      </c>
      <c r="AJ31" s="106"/>
      <c r="AK31" s="106" t="s">
        <v>448</v>
      </c>
      <c r="AL31" s="106" t="s">
        <v>448</v>
      </c>
      <c r="AM31" s="106" t="s">
        <v>255</v>
      </c>
      <c r="AN31" s="106" t="s">
        <v>255</v>
      </c>
      <c r="AO31" s="106" t="s">
        <v>255</v>
      </c>
      <c r="AP31" s="106" t="s">
        <v>255</v>
      </c>
      <c r="AQ31" s="91" t="b">
        <f t="shared" si="0"/>
        <v>0</v>
      </c>
      <c r="AR31" s="108"/>
      <c r="AS31" s="108"/>
      <c r="AT31" s="108"/>
      <c r="AU31" s="108"/>
      <c r="AV31" s="170" t="str">
        <f t="shared" si="1"/>
        <v/>
      </c>
      <c r="AW31" s="108" t="s">
        <v>487</v>
      </c>
    </row>
    <row r="32" spans="1:49" ht="67.5">
      <c r="A32" s="75"/>
      <c r="B32" s="101"/>
      <c r="C32" s="71" t="s">
        <v>1425</v>
      </c>
      <c r="D32" s="71" t="s">
        <v>1426</v>
      </c>
      <c r="E32" s="107" t="s">
        <v>1042</v>
      </c>
      <c r="F32" s="107" t="s">
        <v>1427</v>
      </c>
      <c r="G32" s="92" t="s">
        <v>254</v>
      </c>
      <c r="H32" s="181"/>
      <c r="I32" s="181"/>
      <c r="J32" s="94"/>
      <c r="K32" s="94"/>
      <c r="L32" s="94"/>
      <c r="M32" s="94"/>
      <c r="N32" s="247"/>
      <c r="O32" s="111" cm="1">
        <f t="array" ref="O32">IF(AQ32=TRUE,_xlfn.IFS(M32=1,2,M32="",IF(N32="",1,2)),0)</f>
        <v>0</v>
      </c>
      <c r="P32" s="95" t="s">
        <v>255</v>
      </c>
      <c r="Q32" s="95" t="s">
        <v>183</v>
      </c>
      <c r="R32" s="95" t="s">
        <v>183</v>
      </c>
      <c r="S32" s="95" t="s">
        <v>183</v>
      </c>
      <c r="T32" s="197" t="s">
        <v>183</v>
      </c>
      <c r="U32" s="197"/>
      <c r="V32" s="199"/>
      <c r="W32" s="95"/>
      <c r="X32" s="96" t="s">
        <v>448</v>
      </c>
      <c r="Y32" s="95"/>
      <c r="Z32" s="95"/>
      <c r="AA32" s="95"/>
      <c r="AB32" s="95"/>
      <c r="AC32" s="95"/>
      <c r="AD32" s="95" t="s">
        <v>183</v>
      </c>
      <c r="AE32" s="95" t="s">
        <v>183</v>
      </c>
      <c r="AF32" s="95"/>
      <c r="AG32" s="95"/>
      <c r="AH32" s="95"/>
      <c r="AI32" s="106" t="s">
        <v>448</v>
      </c>
      <c r="AJ32" s="106"/>
      <c r="AK32" s="106" t="s">
        <v>448</v>
      </c>
      <c r="AL32" s="106" t="s">
        <v>448</v>
      </c>
      <c r="AM32" s="106"/>
      <c r="AN32" s="106"/>
      <c r="AO32" s="106"/>
      <c r="AP32" s="106"/>
      <c r="AQ32" s="91" t="b">
        <f t="shared" si="0"/>
        <v>0</v>
      </c>
      <c r="AR32" s="108"/>
      <c r="AS32" s="108"/>
      <c r="AT32" s="108"/>
      <c r="AU32" s="108"/>
      <c r="AV32" s="170" t="str">
        <f t="shared" ref="AV32" si="2">IF(AR32&lt;&gt;"","セキュリティ管理/","")&amp;IF(AS32&lt;&gt;"","マルウェア/","")&amp;IF(AT32&lt;&gt;"","クラウド/","")&amp;IF(AU32&lt;&gt;"","別表1,2,3","")</f>
        <v/>
      </c>
      <c r="AW32" s="241" t="s">
        <v>575</v>
      </c>
    </row>
    <row r="33" spans="1:49" ht="22.5">
      <c r="A33" s="75"/>
      <c r="B33" s="82" t="s">
        <v>1347</v>
      </c>
      <c r="C33" s="115"/>
      <c r="D33" s="83"/>
      <c r="E33" s="84"/>
      <c r="F33" s="84"/>
      <c r="G33" s="85"/>
      <c r="H33" s="85"/>
      <c r="I33" s="85"/>
      <c r="J33" s="87"/>
      <c r="K33" s="87"/>
      <c r="L33" s="87"/>
      <c r="M33" s="87"/>
      <c r="N33" s="246"/>
      <c r="O33" s="246"/>
      <c r="P33" s="87"/>
      <c r="Q33" s="87"/>
      <c r="R33" s="87"/>
      <c r="S33" s="87"/>
      <c r="T33" s="87"/>
      <c r="U33" s="87"/>
      <c r="V33" s="87"/>
      <c r="W33" s="87"/>
      <c r="X33" s="87"/>
      <c r="Y33" s="87"/>
      <c r="Z33" s="87"/>
      <c r="AA33" s="87"/>
      <c r="AB33" s="87" t="s">
        <v>448</v>
      </c>
      <c r="AC33" s="87" t="s">
        <v>448</v>
      </c>
      <c r="AD33" s="87"/>
      <c r="AE33" s="87"/>
      <c r="AF33" s="87"/>
      <c r="AG33" s="87"/>
      <c r="AH33" s="87"/>
      <c r="AI33" s="87"/>
      <c r="AJ33" s="87"/>
      <c r="AK33" s="87"/>
      <c r="AL33" s="87"/>
      <c r="AM33" s="87"/>
      <c r="AN33" s="87"/>
      <c r="AO33" s="87"/>
      <c r="AP33" s="87"/>
      <c r="AQ33" s="87" t="s">
        <v>728</v>
      </c>
      <c r="AR33" s="87"/>
      <c r="AS33" s="87"/>
      <c r="AT33" s="87"/>
      <c r="AU33" s="87"/>
      <c r="AV33" s="87"/>
      <c r="AW33" s="87"/>
    </row>
    <row r="34" spans="1:49" ht="45">
      <c r="A34" s="75"/>
      <c r="B34" s="82"/>
      <c r="C34" s="71" t="s">
        <v>1428</v>
      </c>
      <c r="D34" s="90" t="s">
        <v>772</v>
      </c>
      <c r="E34" s="98" t="s">
        <v>940</v>
      </c>
      <c r="F34" s="98" t="s">
        <v>1429</v>
      </c>
      <c r="G34" s="93" t="s">
        <v>254</v>
      </c>
      <c r="H34" s="181"/>
      <c r="I34" s="181"/>
      <c r="J34" s="94"/>
      <c r="K34" s="94"/>
      <c r="L34" s="94"/>
      <c r="M34" s="94"/>
      <c r="N34" s="247"/>
      <c r="O34" s="111" cm="1">
        <f t="array" ref="O34">IF(AQ34=TRUE,_xlfn.IFS(M34=1,2,M34="",IF(N34="",1,2)),0)</f>
        <v>0</v>
      </c>
      <c r="P34" s="95" t="s">
        <v>255</v>
      </c>
      <c r="Q34" s="95" t="s">
        <v>255</v>
      </c>
      <c r="R34" s="95" t="s">
        <v>255</v>
      </c>
      <c r="S34" s="95" t="s">
        <v>183</v>
      </c>
      <c r="T34" s="95" t="s">
        <v>255</v>
      </c>
      <c r="U34" s="95"/>
      <c r="V34" s="95"/>
      <c r="W34" s="95"/>
      <c r="X34" s="96"/>
      <c r="Y34" s="95"/>
      <c r="Z34" s="95"/>
      <c r="AA34" s="95"/>
      <c r="AB34" s="95"/>
      <c r="AC34" s="95"/>
      <c r="AD34" s="95" t="s">
        <v>183</v>
      </c>
      <c r="AE34" s="95" t="s">
        <v>183</v>
      </c>
      <c r="AF34" s="95"/>
      <c r="AG34" s="95"/>
      <c r="AH34" s="95"/>
      <c r="AI34" s="106" t="s">
        <v>255</v>
      </c>
      <c r="AJ34" s="106" t="s">
        <v>255</v>
      </c>
      <c r="AK34" s="106"/>
      <c r="AL34" s="106"/>
      <c r="AM34" s="106" t="s">
        <v>255</v>
      </c>
      <c r="AN34" s="106" t="s">
        <v>255</v>
      </c>
      <c r="AO34" s="106" t="s">
        <v>255</v>
      </c>
      <c r="AP34" s="106" t="s">
        <v>255</v>
      </c>
      <c r="AQ34" s="91" t="b">
        <f t="shared" ref="AQ34:AQ45" si="3">AND(OR(AND($P$6=TRUE,$P34&lt;&gt;""),AND($Q$6=TRUE,$Q34&lt;&gt;""),AND($R$6=TRUE,$R34&lt;&gt;"")),AND($S$6=TRUE,$S34&lt;&gt;""),OR(AND($T$6=TRUE,$T34&lt;&gt;""),AND($U$6=TRUE,$U34&lt;&gt;""),AND($V$6=TRUE,$V34&lt;&gt;""),AND($W$6=TRUE,$W34&lt;&gt;""),AND($X$6=TRUE,$X34&lt;&gt;""),AND($Y$6=TRUE,$Y34&lt;&gt;""),AND($Z$6=TRUE,$Z34&lt;&gt;""),AND($AA$6=TRUE,$AA34&lt;&gt;""),AND($AB$6=TRUE,$AB34&lt;&gt;""),AND($AC$6=TRUE,$AC34&lt;&gt;"")),OR(AND($AD$6=TRUE,$AD34&lt;&gt;""),AND($AE$6=TRUE,$AE34&lt;&gt;""),AND($AF$6=TRUE,$AF34&lt;&gt;""),AND($AG$6=TRUE,$AG34&lt;&gt;""),AND($AH$6=TRUE,$AH34&lt;&gt;"")),NOT(AND(NOT(AND($AI$6=FALSE,$AK$6=FALSE,$AM$6=FALSE,$AO$6=FALSE)),OR($AI$6=FALSE,AND($AI$6=TRUE,$AI34&lt;&gt;"",$AJ34&lt;&gt;"")),OR($AK$6=FALSE,AND($AK$6=TRUE,$AK34&lt;&gt;"",$AL34&lt;&gt;"")),OR($AM$6=FALSE,AND($AM$6=TRUE,$AM34&lt;&gt;"",$AN34&lt;&gt;"")),OR($AO$6=FALSE,AND($AO$6=TRUE,$AO34&lt;&gt;"",$AP34&lt;&gt;"")))))</f>
        <v>0</v>
      </c>
      <c r="AR34" s="108"/>
      <c r="AS34" s="108"/>
      <c r="AT34" s="108"/>
      <c r="AU34" s="108"/>
      <c r="AV34" s="170" t="str">
        <f t="shared" ref="AV34:AV45" si="4">IF(AR34&lt;&gt;"","セキュリティ管理/","")&amp;IF(AS34&lt;&gt;"","マルウェア/","")&amp;IF(AT34&lt;&gt;"","クラウド/","")&amp;IF(AU34&lt;&gt;"","別表1,2,3","")</f>
        <v/>
      </c>
      <c r="AW34" s="108"/>
    </row>
    <row r="35" spans="1:49" ht="45">
      <c r="A35" s="75"/>
      <c r="B35" s="82"/>
      <c r="C35" s="71" t="s">
        <v>1430</v>
      </c>
      <c r="D35" s="194" t="s">
        <v>1349</v>
      </c>
      <c r="E35" s="100" t="s">
        <v>1042</v>
      </c>
      <c r="F35" s="91" t="s">
        <v>1431</v>
      </c>
      <c r="G35" s="110" t="s">
        <v>254</v>
      </c>
      <c r="H35" s="181"/>
      <c r="I35" s="181"/>
      <c r="J35" s="94"/>
      <c r="K35" s="94"/>
      <c r="L35" s="94"/>
      <c r="M35" s="94"/>
      <c r="N35" s="247"/>
      <c r="O35" s="111" cm="1">
        <f t="array" ref="O35">IF(AQ35=TRUE,_xlfn.IFS(M35=1,2,M35="",IF(N35="",1,2)),0)</f>
        <v>0</v>
      </c>
      <c r="P35" s="95" t="s">
        <v>255</v>
      </c>
      <c r="Q35" s="95" t="s">
        <v>255</v>
      </c>
      <c r="R35" s="95" t="s">
        <v>255</v>
      </c>
      <c r="S35" s="95" t="s">
        <v>183</v>
      </c>
      <c r="T35" s="95" t="s">
        <v>255</v>
      </c>
      <c r="U35" s="95"/>
      <c r="V35" s="95"/>
      <c r="W35" s="95"/>
      <c r="X35" s="96" t="s">
        <v>448</v>
      </c>
      <c r="Y35" s="95"/>
      <c r="Z35" s="95"/>
      <c r="AA35" s="95"/>
      <c r="AB35" s="95"/>
      <c r="AC35" s="95"/>
      <c r="AD35" s="95" t="s">
        <v>183</v>
      </c>
      <c r="AE35" s="95" t="s">
        <v>183</v>
      </c>
      <c r="AF35" s="95"/>
      <c r="AG35" s="95"/>
      <c r="AH35" s="95"/>
      <c r="AI35" s="106" t="s">
        <v>255</v>
      </c>
      <c r="AJ35" s="106" t="s">
        <v>255</v>
      </c>
      <c r="AK35" s="106" t="s">
        <v>255</v>
      </c>
      <c r="AL35" s="106" t="s">
        <v>255</v>
      </c>
      <c r="AM35" s="106" t="s">
        <v>255</v>
      </c>
      <c r="AN35" s="106" t="s">
        <v>255</v>
      </c>
      <c r="AO35" s="106" t="s">
        <v>255</v>
      </c>
      <c r="AP35" s="106" t="s">
        <v>255</v>
      </c>
      <c r="AQ35" s="91" t="b">
        <f t="shared" si="3"/>
        <v>0</v>
      </c>
      <c r="AR35" s="108"/>
      <c r="AS35" s="108"/>
      <c r="AT35" s="108"/>
      <c r="AU35" s="108"/>
      <c r="AV35" s="170" t="str">
        <f t="shared" si="4"/>
        <v/>
      </c>
      <c r="AW35" s="108" t="s">
        <v>322</v>
      </c>
    </row>
    <row r="36" spans="1:49" ht="225">
      <c r="A36" s="75"/>
      <c r="B36" s="82"/>
      <c r="C36" s="71" t="s">
        <v>1432</v>
      </c>
      <c r="D36" s="196" t="s">
        <v>1351</v>
      </c>
      <c r="E36" s="98" t="str">
        <f>'運用プロセス(自社DC)'!E32</f>
        <v>インターネットからアクセスされるサーバ、通信回線装置、通信回線やアプリケーションについて、不正アクセス等の監視を行うよう設計しているか。
特に、認証機能を持つシステムについては、アクセス元IPアドレスや認証成功・失敗状況を確認することで、ブルートフォース攻撃やリスト型アカウントハッキング攻撃等の不正なログインを監視する設計としているか。</v>
      </c>
      <c r="F36" s="98" t="s">
        <v>1433</v>
      </c>
      <c r="G36" s="93" t="s">
        <v>254</v>
      </c>
      <c r="H36" s="181"/>
      <c r="I36" s="181"/>
      <c r="J36" s="94"/>
      <c r="K36" s="94"/>
      <c r="L36" s="94"/>
      <c r="M36" s="94"/>
      <c r="N36" s="247"/>
      <c r="O36" s="111" cm="1">
        <f t="array" ref="O36">IF(AQ36=TRUE,_xlfn.IFS(M36=1,2,M36="",IF(N36="",1,2)),0)</f>
        <v>0</v>
      </c>
      <c r="P36" s="95" t="s">
        <v>255</v>
      </c>
      <c r="Q36" s="95" t="s">
        <v>255</v>
      </c>
      <c r="R36" s="95" t="s">
        <v>255</v>
      </c>
      <c r="S36" s="95" t="s">
        <v>183</v>
      </c>
      <c r="T36" s="95" t="s">
        <v>255</v>
      </c>
      <c r="U36" s="95"/>
      <c r="V36" s="95"/>
      <c r="W36" s="95"/>
      <c r="X36" s="96" t="s">
        <v>448</v>
      </c>
      <c r="Y36" s="95"/>
      <c r="Z36" s="95"/>
      <c r="AA36" s="95"/>
      <c r="AB36" s="95"/>
      <c r="AC36" s="95"/>
      <c r="AD36" s="95"/>
      <c r="AE36" s="95" t="s">
        <v>183</v>
      </c>
      <c r="AF36" s="95" t="s">
        <v>183</v>
      </c>
      <c r="AG36" s="95"/>
      <c r="AH36" s="95"/>
      <c r="AI36" s="106" t="str">
        <f>IF(AF6=TRUE,"〇","")</f>
        <v/>
      </c>
      <c r="AJ36" s="106" t="s">
        <v>255</v>
      </c>
      <c r="AK36" s="106" t="s">
        <v>255</v>
      </c>
      <c r="AL36" s="106" t="s">
        <v>255</v>
      </c>
      <c r="AM36" s="106" t="s">
        <v>255</v>
      </c>
      <c r="AN36" s="106" t="s">
        <v>255</v>
      </c>
      <c r="AO36" s="106" t="s">
        <v>255</v>
      </c>
      <c r="AP36" s="106" t="s">
        <v>255</v>
      </c>
      <c r="AQ36" s="91" t="b">
        <f t="shared" si="3"/>
        <v>0</v>
      </c>
      <c r="AR36" s="108"/>
      <c r="AS36" s="108"/>
      <c r="AT36" s="108"/>
      <c r="AU36" s="108"/>
      <c r="AV36" s="170" t="str">
        <f t="shared" si="4"/>
        <v/>
      </c>
      <c r="AW36" s="108" t="s">
        <v>337</v>
      </c>
    </row>
    <row r="37" spans="1:49" ht="382.5">
      <c r="A37" s="75"/>
      <c r="B37" s="82"/>
      <c r="C37" s="71" t="s">
        <v>1434</v>
      </c>
      <c r="D37" s="196" t="s">
        <v>1354</v>
      </c>
      <c r="E37" s="98" t="str">
        <f>'運用プロセス(自社DC)'!E33</f>
        <v>セキュリティインシデント発生時の調査を可能とするために、管理・運用している機器、アプリケーションを対象に、システム上の制限や扱う情報の重要度を考慮して、取得するログの種類、取得方法、取得頻度を定めているか。
また、取得するログの種類には、原則として以下を含め「いつ」「だれ・どこから」「どこに」「何をしたか(要求したか)」「その結果」が判断できるログを取得する設計としているか。
　a. サーバー、ネットワーク、アプリケーションのアクセスログ
　　(例：時刻、アクセス元情報※、接続先情報、リクエストの内容、レスポンス結果など）
　b. イベントログ
　c. ファイアウォールの通信ログ(遮断ログ)
　d. WAF、IPS、IDS、認証ログ等のセキュリティログ
　e.エンドポイント、M365、メール、ADなどの監査ログ
なお、本要件は開発環境に設置されたシステムであっても同様である。
※Webサーバのログに通信元のIPアドレスを取得する場合は以下の点に注意すること。
　・セキュアドGW経由の場合、htmlの「X-Forwarded-For」が通信元IPに該当する
　・Akamai KONA経由の場合、htmlの「True-Client-IP」が通信元IPに該当する</v>
      </c>
      <c r="F37" s="98" t="s">
        <v>1435</v>
      </c>
      <c r="G37" s="93" t="s">
        <v>254</v>
      </c>
      <c r="H37" s="181"/>
      <c r="I37" s="181"/>
      <c r="J37" s="94"/>
      <c r="K37" s="94"/>
      <c r="L37" s="94"/>
      <c r="M37" s="94"/>
      <c r="N37" s="247"/>
      <c r="O37" s="111" cm="1">
        <f t="array" ref="O37">IF(AQ37=TRUE,_xlfn.IFS(M37=1,2,M37="",IF(N37="",1,2)),0)</f>
        <v>0</v>
      </c>
      <c r="P37" s="95" t="s">
        <v>255</v>
      </c>
      <c r="Q37" s="95" t="s">
        <v>183</v>
      </c>
      <c r="R37" s="95" t="s">
        <v>183</v>
      </c>
      <c r="S37" s="95" t="s">
        <v>183</v>
      </c>
      <c r="T37" s="95" t="s">
        <v>183</v>
      </c>
      <c r="U37" s="95"/>
      <c r="V37" s="95"/>
      <c r="W37" s="95"/>
      <c r="X37" s="96" t="s">
        <v>448</v>
      </c>
      <c r="Y37" s="95"/>
      <c r="Z37" s="95"/>
      <c r="AA37" s="95"/>
      <c r="AB37" s="95"/>
      <c r="AC37" s="95"/>
      <c r="AD37" s="95" t="s">
        <v>183</v>
      </c>
      <c r="AE37" s="95" t="s">
        <v>183</v>
      </c>
      <c r="AF37" s="95"/>
      <c r="AG37" s="95"/>
      <c r="AH37" s="95"/>
      <c r="AI37" s="106" t="s">
        <v>448</v>
      </c>
      <c r="AJ37" s="106" t="s">
        <v>255</v>
      </c>
      <c r="AK37" s="106" t="s">
        <v>448</v>
      </c>
      <c r="AL37" s="106" t="s">
        <v>255</v>
      </c>
      <c r="AM37" s="106"/>
      <c r="AN37" s="106" t="s">
        <v>255</v>
      </c>
      <c r="AO37" s="106" t="s">
        <v>183</v>
      </c>
      <c r="AP37" s="106" t="s">
        <v>183</v>
      </c>
      <c r="AQ37" s="91" t="b">
        <f t="shared" si="3"/>
        <v>0</v>
      </c>
      <c r="AR37" s="108"/>
      <c r="AS37" s="108"/>
      <c r="AT37" s="108"/>
      <c r="AU37" s="108"/>
      <c r="AV37" s="170" t="str">
        <f t="shared" si="4"/>
        <v/>
      </c>
      <c r="AW37" s="108"/>
    </row>
    <row r="38" spans="1:49" ht="292.5">
      <c r="A38" s="75"/>
      <c r="B38" s="82"/>
      <c r="C38" s="71" t="s">
        <v>1436</v>
      </c>
      <c r="D38" s="196" t="s">
        <v>1357</v>
      </c>
      <c r="E38" s="98" t="str">
        <f>'運用プロセス(自社DC)'!E34</f>
        <v>マイナンバー（法人番号は含まない）に関する下記のログを取得しているか。
　・オンライントランザクションログ 
　・バッチトランザクションログ 
　・システム管理者等ＤＢサーバへのアクセス者による操作ログ
　・外部委託先等へデータ伝送を行ったログ
また、ログには「いつ」「誰が」「どの番号」を利用したかが調査可能な項目を取得する設計を施し、以下に例示するような安全に保管する対策を施しているか。
　保管例）
　・ログ取得対象の機器類とは論理的又は物理的に分離したストレージやサーバなどで保管
　・ログを改ざんできない形式で保管
　・ログを暗号化し保管する場合、暗号鍵はデータとは別場所で耐タンパー性を有する暗号
　　モジュールへ格納し、管理者以外アクセス不可能な保存媒体及び保存場所へ格納する。
　・ログの変更権限を持つアカウントは特権IDに限定し、特権ＩＤの利用をモニタリングする</v>
      </c>
      <c r="F38" s="98" t="s">
        <v>995</v>
      </c>
      <c r="G38" s="93" t="s">
        <v>254</v>
      </c>
      <c r="H38" s="181"/>
      <c r="I38" s="181"/>
      <c r="J38" s="94"/>
      <c r="K38" s="94"/>
      <c r="L38" s="94"/>
      <c r="M38" s="94"/>
      <c r="N38" s="247"/>
      <c r="O38" s="111" cm="1">
        <f t="array" ref="O38">IF(AQ38=TRUE,_xlfn.IFS(M38=1,2,M38="",IF(N38="",1,2)),0)</f>
        <v>0</v>
      </c>
      <c r="P38" s="95" t="s">
        <v>255</v>
      </c>
      <c r="Q38" s="95" t="s">
        <v>183</v>
      </c>
      <c r="R38" s="95" t="s">
        <v>183</v>
      </c>
      <c r="S38" s="95" t="s">
        <v>183</v>
      </c>
      <c r="U38" s="95"/>
      <c r="V38" s="95"/>
      <c r="W38" s="95"/>
      <c r="X38" s="96" t="s">
        <v>448</v>
      </c>
      <c r="Y38" s="95"/>
      <c r="Z38" s="95"/>
      <c r="AA38" s="95"/>
      <c r="AB38" s="95"/>
      <c r="AC38" s="95" t="s">
        <v>183</v>
      </c>
      <c r="AD38" s="95" t="s">
        <v>183</v>
      </c>
      <c r="AE38" s="95" t="s">
        <v>183</v>
      </c>
      <c r="AF38" s="95"/>
      <c r="AG38" s="95"/>
      <c r="AH38" s="95"/>
      <c r="AI38" s="106" t="s">
        <v>448</v>
      </c>
      <c r="AJ38" s="106" t="s">
        <v>255</v>
      </c>
      <c r="AK38" s="106" t="s">
        <v>448</v>
      </c>
      <c r="AL38" s="106" t="s">
        <v>255</v>
      </c>
      <c r="AM38" s="106"/>
      <c r="AN38" s="106" t="s">
        <v>255</v>
      </c>
      <c r="AO38" s="106"/>
      <c r="AP38" s="106" t="s">
        <v>255</v>
      </c>
      <c r="AQ38" s="91" t="b">
        <f t="shared" si="3"/>
        <v>0</v>
      </c>
      <c r="AR38" s="108"/>
      <c r="AS38" s="108"/>
      <c r="AT38" s="108"/>
      <c r="AU38" s="108"/>
      <c r="AV38" s="170" t="str">
        <f>IF(AR38&lt;&gt;"","セキュリティ管理/","")&amp;IF(AS38&lt;&gt;"","マルウェア/","")&amp;IF(AT38&lt;&gt;"","クラウド/","")&amp;IF(AU38&lt;&gt;"","別表1,2,3","")</f>
        <v/>
      </c>
      <c r="AW38" s="108" t="s">
        <v>768</v>
      </c>
    </row>
    <row r="39" spans="1:49" ht="157.5">
      <c r="A39" s="75"/>
      <c r="B39" s="82"/>
      <c r="C39" s="71" t="s">
        <v>1437</v>
      </c>
      <c r="D39" s="196" t="s">
        <v>1438</v>
      </c>
      <c r="E39" s="98" t="str">
        <f>'運用プロセス(自社DC)'!E35</f>
        <v>マイナンバー(法人番号は含まない)を保管する場合は、情報漏えい防止の観点から、以下の観点で定期的に第三者モニタリング（※）を行う。
　　a.システム管理者等ＤＢサーバアクセス者による操作 
　　b.マイナンバーおよび復号鍵、並びに復号プログラムに対する操作 
　　c.ＤＢサーバ内もしくはログ保管専用サーバに保持しているアクセスログに対する操作
　　d.データのダウンロード操作
※当社の場合、GRC支援部のモニタリングが標準である。</v>
      </c>
      <c r="F39" s="98" t="s">
        <v>995</v>
      </c>
      <c r="G39" s="93" t="s">
        <v>254</v>
      </c>
      <c r="H39" s="181"/>
      <c r="I39" s="181"/>
      <c r="J39" s="94"/>
      <c r="K39" s="94"/>
      <c r="L39" s="94"/>
      <c r="M39" s="94"/>
      <c r="N39" s="247"/>
      <c r="O39" s="111" cm="1">
        <f t="array" ref="O39">IF(AQ39=TRUE,_xlfn.IFS(M39=1,2,M39="",IF(N39="",1,2)),0)</f>
        <v>0</v>
      </c>
      <c r="P39" s="95" t="s">
        <v>255</v>
      </c>
      <c r="Q39" s="95" t="s">
        <v>183</v>
      </c>
      <c r="R39" s="95" t="s">
        <v>183</v>
      </c>
      <c r="S39" s="95" t="s">
        <v>183</v>
      </c>
      <c r="U39" s="95"/>
      <c r="V39" s="95"/>
      <c r="W39" s="95"/>
      <c r="X39" s="96" t="s">
        <v>448</v>
      </c>
      <c r="Y39" s="95"/>
      <c r="Z39" s="95"/>
      <c r="AA39" s="95"/>
      <c r="AB39" s="95"/>
      <c r="AC39" s="95" t="s">
        <v>183</v>
      </c>
      <c r="AD39" s="95" t="s">
        <v>183</v>
      </c>
      <c r="AE39" s="95" t="s">
        <v>183</v>
      </c>
      <c r="AF39" s="95"/>
      <c r="AG39" s="95"/>
      <c r="AH39" s="95"/>
      <c r="AI39" s="106" t="s">
        <v>448</v>
      </c>
      <c r="AJ39" s="106" t="s">
        <v>255</v>
      </c>
      <c r="AK39" s="106" t="s">
        <v>448</v>
      </c>
      <c r="AL39" s="106" t="s">
        <v>255</v>
      </c>
      <c r="AM39" s="106"/>
      <c r="AN39" s="106" t="s">
        <v>255</v>
      </c>
      <c r="AO39" s="106"/>
      <c r="AP39" s="106" t="s">
        <v>255</v>
      </c>
      <c r="AQ39" s="91" t="b">
        <f t="shared" si="3"/>
        <v>0</v>
      </c>
      <c r="AR39" s="108"/>
      <c r="AS39" s="108"/>
      <c r="AT39" s="108"/>
      <c r="AU39" s="108"/>
      <c r="AV39" s="170" t="str">
        <f>IF(AR39&lt;&gt;"","セキュリティ管理/","")&amp;IF(AS39&lt;&gt;"","マルウェア/","")&amp;IF(AT39&lt;&gt;"","クラウド/","")&amp;IF(AU39&lt;&gt;"","別表1,2,3","")</f>
        <v/>
      </c>
      <c r="AW39" s="108" t="s">
        <v>768</v>
      </c>
    </row>
    <row r="40" spans="1:49" ht="112.5">
      <c r="A40" s="75"/>
      <c r="B40" s="82"/>
      <c r="C40" s="71" t="s">
        <v>1439</v>
      </c>
      <c r="D40" s="196" t="s">
        <v>1364</v>
      </c>
      <c r="E40" s="98" t="str">
        <f>'運用プロセス(自社DC)'!E36</f>
        <v>取得した監査ログおよび監視記録は、３年保存する設計としているか。
（ただし、マイナンバー（法人番号は含まない）に関する監査ログは７年保存し、直近３カ月間分はすぐに調査できる状態で保管すること）
また、必要なログ量を確認できるだけのディスク容量等を設計しているか。</v>
      </c>
      <c r="F40" s="98" t="s">
        <v>1440</v>
      </c>
      <c r="G40" s="93" t="s">
        <v>254</v>
      </c>
      <c r="H40" s="181"/>
      <c r="I40" s="181"/>
      <c r="J40" s="94" t="s">
        <v>730</v>
      </c>
      <c r="K40" s="94" t="s">
        <v>730</v>
      </c>
      <c r="L40" s="94"/>
      <c r="M40" s="94"/>
      <c r="N40" s="247"/>
      <c r="O40" s="111" cm="1">
        <f t="array" ref="O40">IF(AQ40=TRUE,_xlfn.IFS(M40=1,2,M40="",IF(N40="",1,2)),0)</f>
        <v>0</v>
      </c>
      <c r="P40" s="95" t="s">
        <v>255</v>
      </c>
      <c r="Q40" s="95" t="s">
        <v>183</v>
      </c>
      <c r="R40" s="95" t="s">
        <v>183</v>
      </c>
      <c r="S40" s="95" t="s">
        <v>183</v>
      </c>
      <c r="T40" s="95" t="s">
        <v>183</v>
      </c>
      <c r="U40" s="95"/>
      <c r="V40" s="95"/>
      <c r="W40" s="95"/>
      <c r="X40" s="96" t="s">
        <v>448</v>
      </c>
      <c r="Y40" s="95"/>
      <c r="Z40" s="95"/>
      <c r="AA40" s="95"/>
      <c r="AB40" s="95"/>
      <c r="AC40" s="95" t="s">
        <v>183</v>
      </c>
      <c r="AD40" s="95" t="s">
        <v>183</v>
      </c>
      <c r="AE40" s="95" t="s">
        <v>183</v>
      </c>
      <c r="AF40" s="95"/>
      <c r="AG40" s="95"/>
      <c r="AH40" s="95"/>
      <c r="AI40" s="106" t="s">
        <v>448</v>
      </c>
      <c r="AJ40" s="106" t="s">
        <v>255</v>
      </c>
      <c r="AK40" s="106"/>
      <c r="AL40" s="106" t="s">
        <v>255</v>
      </c>
      <c r="AM40" s="106"/>
      <c r="AN40" s="106" t="s">
        <v>255</v>
      </c>
      <c r="AO40" s="106" t="s">
        <v>183</v>
      </c>
      <c r="AP40" s="106" t="s">
        <v>255</v>
      </c>
      <c r="AQ40" s="91" t="b">
        <f t="shared" si="3"/>
        <v>0</v>
      </c>
      <c r="AR40" s="108"/>
      <c r="AS40" s="108"/>
      <c r="AT40" s="108"/>
      <c r="AU40" s="108"/>
      <c r="AV40" s="170" t="str">
        <f t="shared" si="4"/>
        <v/>
      </c>
      <c r="AW40" s="108" t="s">
        <v>337</v>
      </c>
    </row>
    <row r="41" spans="1:49" ht="90">
      <c r="A41" s="75"/>
      <c r="B41" s="82"/>
      <c r="C41" s="71" t="s">
        <v>1441</v>
      </c>
      <c r="D41" s="196" t="s">
        <v>1367</v>
      </c>
      <c r="E41" s="98" t="str">
        <f>'運用プロセス(自社DC)'!E37</f>
        <v>送信した電子メールは、３年保存する設計としているか。</v>
      </c>
      <c r="F41" s="98" t="s">
        <v>1442</v>
      </c>
      <c r="G41" s="92" t="s">
        <v>254</v>
      </c>
      <c r="H41" s="181"/>
      <c r="I41" s="181"/>
      <c r="J41" s="94"/>
      <c r="K41" s="94"/>
      <c r="L41" s="94"/>
      <c r="M41" s="94"/>
      <c r="N41" s="247"/>
      <c r="O41" s="111" cm="1">
        <f t="array" ref="O41">IF(AQ41=TRUE,_xlfn.IFS(M41=1,2,M41="",IF(N41="",1,2)),0)</f>
        <v>0</v>
      </c>
      <c r="P41" s="95" t="s">
        <v>255</v>
      </c>
      <c r="Q41" s="95" t="s">
        <v>183</v>
      </c>
      <c r="R41" s="95" t="s">
        <v>183</v>
      </c>
      <c r="S41" s="95" t="s">
        <v>183</v>
      </c>
      <c r="T41" s="95"/>
      <c r="U41" s="95"/>
      <c r="V41" s="95"/>
      <c r="W41" s="95"/>
      <c r="X41" s="96" t="s">
        <v>448</v>
      </c>
      <c r="Y41" s="95"/>
      <c r="Z41" s="95"/>
      <c r="AA41" s="95" t="s">
        <v>183</v>
      </c>
      <c r="AB41" s="95"/>
      <c r="AC41" s="95"/>
      <c r="AD41" s="95" t="s">
        <v>183</v>
      </c>
      <c r="AE41" s="95" t="s">
        <v>183</v>
      </c>
      <c r="AF41" s="95"/>
      <c r="AG41" s="95"/>
      <c r="AH41" s="95"/>
      <c r="AI41" s="106" t="s">
        <v>255</v>
      </c>
      <c r="AJ41" s="106" t="s">
        <v>255</v>
      </c>
      <c r="AK41" s="106" t="s">
        <v>448</v>
      </c>
      <c r="AL41" s="106" t="s">
        <v>448</v>
      </c>
      <c r="AM41" s="106"/>
      <c r="AN41" s="106" t="s">
        <v>255</v>
      </c>
      <c r="AO41" s="106"/>
      <c r="AP41" s="106" t="s">
        <v>255</v>
      </c>
      <c r="AQ41" s="91" t="b">
        <f t="shared" si="3"/>
        <v>0</v>
      </c>
      <c r="AR41" s="108"/>
      <c r="AS41" s="108"/>
      <c r="AT41" s="108"/>
      <c r="AU41" s="108"/>
      <c r="AV41" s="170" t="str">
        <f t="shared" si="4"/>
        <v/>
      </c>
      <c r="AW41" s="108"/>
    </row>
    <row r="42" spans="1:49" ht="45">
      <c r="A42" s="75"/>
      <c r="B42" s="82"/>
      <c r="C42" s="71" t="s">
        <v>1443</v>
      </c>
      <c r="D42" s="196" t="s">
        <v>1370</v>
      </c>
      <c r="E42" s="98" t="str">
        <f>'運用プロセス(自社DC)'!E38</f>
        <v>通信回線装置上での証跡（通信回線の不正利用、電子計算機または通信回線装置への不正アクセス、送受信される情報の盗聴、改ざん、破壊）を取得／保存する設計としているか。</v>
      </c>
      <c r="F42" s="98" t="s">
        <v>1444</v>
      </c>
      <c r="G42" s="93" t="s">
        <v>254</v>
      </c>
      <c r="H42" s="181"/>
      <c r="I42" s="181"/>
      <c r="J42" s="94"/>
      <c r="K42" s="94"/>
      <c r="L42" s="94"/>
      <c r="M42" s="94"/>
      <c r="N42" s="247"/>
      <c r="O42" s="111" cm="1">
        <f t="array" ref="O42">IF(AQ42=TRUE,_xlfn.IFS(M42=1,2,M42="",IF(N42="",1,2)),0)</f>
        <v>0</v>
      </c>
      <c r="P42" s="95" t="s">
        <v>255</v>
      </c>
      <c r="Q42" s="95" t="s">
        <v>183</v>
      </c>
      <c r="R42" s="95" t="s">
        <v>183</v>
      </c>
      <c r="S42" s="95" t="s">
        <v>183</v>
      </c>
      <c r="T42" s="95" t="s">
        <v>183</v>
      </c>
      <c r="U42" s="95"/>
      <c r="V42" s="95"/>
      <c r="W42" s="95"/>
      <c r="X42" s="96" t="s">
        <v>448</v>
      </c>
      <c r="Y42" s="95"/>
      <c r="Z42" s="95"/>
      <c r="AA42" s="95"/>
      <c r="AB42" s="95"/>
      <c r="AC42" s="95"/>
      <c r="AD42" s="95" t="s">
        <v>183</v>
      </c>
      <c r="AE42" s="95" t="s">
        <v>183</v>
      </c>
      <c r="AF42" s="95"/>
      <c r="AG42" s="95"/>
      <c r="AH42" s="95"/>
      <c r="AI42" s="106" t="s">
        <v>448</v>
      </c>
      <c r="AJ42" s="106" t="s">
        <v>448</v>
      </c>
      <c r="AK42" s="106" t="s">
        <v>448</v>
      </c>
      <c r="AL42" s="106" t="s">
        <v>448</v>
      </c>
      <c r="AM42" s="106" t="s">
        <v>255</v>
      </c>
      <c r="AN42" s="106" t="s">
        <v>255</v>
      </c>
      <c r="AO42" s="106" t="s">
        <v>255</v>
      </c>
      <c r="AP42" s="106" t="s">
        <v>255</v>
      </c>
      <c r="AQ42" s="91" t="b">
        <f t="shared" si="3"/>
        <v>0</v>
      </c>
      <c r="AR42" s="108"/>
      <c r="AS42" s="108"/>
      <c r="AT42" s="108"/>
      <c r="AU42" s="108"/>
      <c r="AV42" s="170" t="str">
        <f t="shared" si="4"/>
        <v/>
      </c>
      <c r="AW42" s="108"/>
    </row>
    <row r="43" spans="1:49" ht="112.5">
      <c r="A43" s="75"/>
      <c r="B43" s="82"/>
      <c r="C43" s="71" t="s">
        <v>1445</v>
      </c>
      <c r="D43" s="196" t="s">
        <v>1373</v>
      </c>
      <c r="E43" s="98" t="str">
        <f>'運用プロセス(自社DC)'!E39</f>
        <v>ホスト、サーバ単位でシステムの操作記録（アクセス者、アクセス先、時刻など）を取得／保存する設計としているか。
さらに、業務的な調査のために、操作内容（ホストはＩＭＳログの画面上り・下り情報。サーバーでは重要なＤＢのＳＱＬパラメータ情報。）を取得しているか。</v>
      </c>
      <c r="F43" s="98" t="s">
        <v>1446</v>
      </c>
      <c r="G43" s="93" t="s">
        <v>254</v>
      </c>
      <c r="H43" s="181"/>
      <c r="I43" s="181"/>
      <c r="J43" s="94"/>
      <c r="K43" s="94"/>
      <c r="L43" s="94"/>
      <c r="M43" s="94"/>
      <c r="N43" s="247"/>
      <c r="O43" s="111" cm="1">
        <f t="array" ref="O43">IF(AQ43=TRUE,_xlfn.IFS(M43=1,2,M43="",IF(N43="",1,2)),0)</f>
        <v>0</v>
      </c>
      <c r="P43" s="95" t="s">
        <v>255</v>
      </c>
      <c r="Q43" s="95" t="s">
        <v>183</v>
      </c>
      <c r="R43" s="95" t="s">
        <v>183</v>
      </c>
      <c r="S43" s="95" t="s">
        <v>183</v>
      </c>
      <c r="T43" s="95" t="s">
        <v>183</v>
      </c>
      <c r="U43" s="95"/>
      <c r="V43" s="95"/>
      <c r="W43" s="95"/>
      <c r="X43" s="96" t="s">
        <v>448</v>
      </c>
      <c r="Y43" s="95"/>
      <c r="Z43" s="95"/>
      <c r="AA43" s="95"/>
      <c r="AB43" s="95"/>
      <c r="AC43" s="95"/>
      <c r="AD43" s="95" t="s">
        <v>183</v>
      </c>
      <c r="AE43" s="95" t="s">
        <v>183</v>
      </c>
      <c r="AF43" s="95"/>
      <c r="AG43" s="95"/>
      <c r="AH43" s="95"/>
      <c r="AI43" s="106" t="s">
        <v>448</v>
      </c>
      <c r="AJ43" s="106" t="s">
        <v>255</v>
      </c>
      <c r="AK43" s="106" t="s">
        <v>448</v>
      </c>
      <c r="AL43" s="106" t="s">
        <v>255</v>
      </c>
      <c r="AM43" s="106"/>
      <c r="AN43" s="106" t="s">
        <v>255</v>
      </c>
      <c r="AO43" s="106"/>
      <c r="AP43" s="106" t="s">
        <v>255</v>
      </c>
      <c r="AQ43" s="91" t="b">
        <f t="shared" si="3"/>
        <v>0</v>
      </c>
      <c r="AR43" s="108"/>
      <c r="AS43" s="108"/>
      <c r="AT43" s="108"/>
      <c r="AU43" s="108"/>
      <c r="AV43" s="170" t="str">
        <f t="shared" si="4"/>
        <v/>
      </c>
      <c r="AW43" s="108"/>
    </row>
    <row r="44" spans="1:49" ht="90">
      <c r="A44" s="75"/>
      <c r="B44" s="82"/>
      <c r="C44" s="71" t="s">
        <v>1447</v>
      </c>
      <c r="D44" s="196" t="s">
        <v>1448</v>
      </c>
      <c r="E44" s="98" t="str">
        <f>'運用プロセス(自社DC)'!E40</f>
        <v>システム、サーバ、通信回線装置、通信回線の稼動／負荷状況、メモリやディスクの逼迫、障害の発生／種別　をリアルタイムに検知し、報告、取得、保存する設計としているか。</v>
      </c>
      <c r="F44" s="98" t="s">
        <v>1449</v>
      </c>
      <c r="G44" s="93" t="s">
        <v>254</v>
      </c>
      <c r="H44" s="181"/>
      <c r="I44" s="181"/>
      <c r="J44" s="94"/>
      <c r="K44" s="94"/>
      <c r="L44" s="94"/>
      <c r="M44" s="94"/>
      <c r="N44" s="247"/>
      <c r="O44" s="111" cm="1">
        <f t="array" ref="O44">IF(AQ44=TRUE,_xlfn.IFS(M44=1,2,M44="",IF(N44="",1,2)),0)</f>
        <v>0</v>
      </c>
      <c r="P44" s="95" t="s">
        <v>255</v>
      </c>
      <c r="Q44" s="95" t="s">
        <v>183</v>
      </c>
      <c r="R44" s="95" t="s">
        <v>183</v>
      </c>
      <c r="S44" s="95" t="s">
        <v>183</v>
      </c>
      <c r="T44" s="95" t="s">
        <v>183</v>
      </c>
      <c r="U44" s="95"/>
      <c r="V44" s="95"/>
      <c r="W44" s="95"/>
      <c r="X44" s="96" t="s">
        <v>448</v>
      </c>
      <c r="Y44" s="95"/>
      <c r="Z44" s="95"/>
      <c r="AA44" s="95"/>
      <c r="AB44" s="95"/>
      <c r="AC44" s="95"/>
      <c r="AD44" s="95" t="s">
        <v>183</v>
      </c>
      <c r="AE44" s="95" t="s">
        <v>183</v>
      </c>
      <c r="AF44" s="95"/>
      <c r="AG44" s="95"/>
      <c r="AH44" s="95"/>
      <c r="AI44" s="106" t="s">
        <v>255</v>
      </c>
      <c r="AJ44" s="106" t="s">
        <v>255</v>
      </c>
      <c r="AK44" s="106" t="s">
        <v>448</v>
      </c>
      <c r="AL44" s="106" t="s">
        <v>448</v>
      </c>
      <c r="AM44" s="106" t="s">
        <v>255</v>
      </c>
      <c r="AN44" s="106" t="s">
        <v>255</v>
      </c>
      <c r="AO44" s="106" t="s">
        <v>255</v>
      </c>
      <c r="AP44" s="106" t="s">
        <v>255</v>
      </c>
      <c r="AQ44" s="91" t="b">
        <f t="shared" si="3"/>
        <v>0</v>
      </c>
      <c r="AR44" s="108"/>
      <c r="AS44" s="108"/>
      <c r="AT44" s="108"/>
      <c r="AU44" s="108"/>
      <c r="AV44" s="170" t="str">
        <f t="shared" si="4"/>
        <v/>
      </c>
      <c r="AW44" s="108"/>
    </row>
    <row r="45" spans="1:49" ht="67.5">
      <c r="A45" s="75"/>
      <c r="B45" s="82"/>
      <c r="C45" s="71" t="s">
        <v>1450</v>
      </c>
      <c r="D45" s="196" t="s">
        <v>1451</v>
      </c>
      <c r="E45" s="98" t="s">
        <v>1452</v>
      </c>
      <c r="F45" s="98" t="s">
        <v>995</v>
      </c>
      <c r="G45" s="93" t="s">
        <v>254</v>
      </c>
      <c r="H45" s="181"/>
      <c r="I45" s="181"/>
      <c r="J45" s="94"/>
      <c r="K45" s="94"/>
      <c r="L45" s="94"/>
      <c r="M45" s="94"/>
      <c r="N45" s="247"/>
      <c r="O45" s="111" cm="1">
        <f t="array" ref="O45">IF(AQ45=TRUE,_xlfn.IFS(M45=1,2,M45="",IF(N45="",1,2)),0)</f>
        <v>0</v>
      </c>
      <c r="P45" s="95" t="s">
        <v>255</v>
      </c>
      <c r="Q45" s="95" t="s">
        <v>183</v>
      </c>
      <c r="R45" s="95" t="s">
        <v>183</v>
      </c>
      <c r="S45" s="95" t="s">
        <v>183</v>
      </c>
      <c r="T45" s="95" t="s">
        <v>183</v>
      </c>
      <c r="U45" s="95"/>
      <c r="V45" s="95"/>
      <c r="W45" s="95"/>
      <c r="X45" s="96"/>
      <c r="Y45" s="95"/>
      <c r="Z45" s="95"/>
      <c r="AA45" s="95"/>
      <c r="AB45" s="95"/>
      <c r="AC45" s="95"/>
      <c r="AD45" s="95" t="s">
        <v>183</v>
      </c>
      <c r="AE45" s="95" t="s">
        <v>183</v>
      </c>
      <c r="AF45" s="95"/>
      <c r="AG45" s="95"/>
      <c r="AH45" s="95"/>
      <c r="AI45" s="106"/>
      <c r="AJ45" s="106"/>
      <c r="AK45" s="106"/>
      <c r="AL45" s="106"/>
      <c r="AM45" s="106"/>
      <c r="AN45" s="106"/>
      <c r="AO45" s="106"/>
      <c r="AP45" s="106"/>
      <c r="AQ45" s="91" t="b">
        <f t="shared" si="3"/>
        <v>0</v>
      </c>
      <c r="AR45" s="108"/>
      <c r="AS45" s="108"/>
      <c r="AT45" s="108"/>
      <c r="AU45" s="108"/>
      <c r="AV45" s="170" t="str">
        <f t="shared" si="4"/>
        <v/>
      </c>
      <c r="AW45" s="108"/>
    </row>
    <row r="46" spans="1:49" ht="22.5">
      <c r="A46" s="75" t="s">
        <v>1375</v>
      </c>
      <c r="B46" s="75"/>
      <c r="C46" s="113"/>
      <c r="D46" s="76"/>
      <c r="E46" s="77"/>
      <c r="F46" s="77"/>
      <c r="G46" s="78"/>
      <c r="H46" s="79"/>
      <c r="I46" s="79"/>
      <c r="J46" s="80"/>
      <c r="K46" s="80"/>
      <c r="L46" s="80"/>
      <c r="M46" s="80"/>
      <c r="N46" s="245"/>
      <c r="O46" s="245"/>
      <c r="P46" s="80"/>
      <c r="Q46" s="80"/>
      <c r="R46" s="80"/>
      <c r="S46" s="80"/>
      <c r="T46" s="80"/>
      <c r="U46" s="80"/>
      <c r="V46" s="80"/>
      <c r="W46" s="80"/>
      <c r="X46" s="80"/>
      <c r="Y46" s="80"/>
      <c r="Z46" s="80"/>
      <c r="AA46" s="80"/>
      <c r="AB46" s="80"/>
      <c r="AC46" s="80"/>
      <c r="AD46" s="80"/>
      <c r="AE46" s="80"/>
      <c r="AF46" s="80"/>
      <c r="AG46" s="80"/>
      <c r="AH46" s="80"/>
      <c r="AI46" s="80"/>
      <c r="AJ46" s="80"/>
      <c r="AK46" s="80"/>
      <c r="AL46" s="80"/>
      <c r="AM46" s="80"/>
      <c r="AN46" s="80"/>
      <c r="AO46" s="80"/>
      <c r="AP46" s="80"/>
      <c r="AQ46" s="80" t="s">
        <v>728</v>
      </c>
      <c r="AR46" s="80"/>
      <c r="AS46" s="80"/>
      <c r="AT46" s="80"/>
      <c r="AU46" s="80"/>
      <c r="AV46" s="80"/>
      <c r="AW46" s="80"/>
    </row>
    <row r="47" spans="1:49" ht="22.5">
      <c r="A47" s="75"/>
      <c r="B47" s="82"/>
      <c r="C47" s="115"/>
      <c r="D47" s="83"/>
      <c r="E47" s="84"/>
      <c r="F47" s="84"/>
      <c r="G47" s="85"/>
      <c r="H47" s="86"/>
      <c r="I47" s="86"/>
      <c r="J47" s="87"/>
      <c r="K47" s="87"/>
      <c r="L47" s="87"/>
      <c r="M47" s="87"/>
      <c r="N47" s="246"/>
      <c r="O47" s="246"/>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t="s">
        <v>728</v>
      </c>
      <c r="AR47" s="87"/>
      <c r="AS47" s="87"/>
      <c r="AT47" s="87"/>
      <c r="AU47" s="87"/>
      <c r="AV47" s="87"/>
      <c r="AW47" s="87"/>
    </row>
    <row r="48" spans="1:49" ht="157.5">
      <c r="A48" s="75"/>
      <c r="B48" s="82"/>
      <c r="C48" s="71" t="s">
        <v>2180</v>
      </c>
      <c r="D48" s="90" t="s">
        <v>284</v>
      </c>
      <c r="E48" s="98" t="str">
        <f>'運用プロセス(自社DC)'!E46</f>
        <v>構築対象の環境のActive Directoryの認証ログを取得し、以下のような観点で分析する運用を設計しているか。
・ドメインの管理者アカウントの利用は運用記録をとり、認証ログと突合せ、記録に無いログイン履歴が無いことを確認する。
・認証成功および認証失敗のログを取得する設定する。（Active Directoryのデフォルト設定は成功ログのみ取得なので注意）。</v>
      </c>
      <c r="F48" s="99" t="s">
        <v>1089</v>
      </c>
      <c r="G48" s="92" t="s">
        <v>254</v>
      </c>
      <c r="H48" s="181"/>
      <c r="I48" s="181"/>
      <c r="J48" s="94" t="s">
        <v>730</v>
      </c>
      <c r="K48" s="94" t="s">
        <v>730</v>
      </c>
      <c r="L48" s="94"/>
      <c r="M48" s="94"/>
      <c r="N48" s="247"/>
      <c r="O48" s="111" cm="1">
        <f t="array" ref="O48">IF(AQ48=TRUE,_xlfn.IFS(M48=1,2,M48="",IF(N48="",1,2)),0)</f>
        <v>0</v>
      </c>
      <c r="P48" s="95" t="s">
        <v>255</v>
      </c>
      <c r="Q48" s="95" t="s">
        <v>255</v>
      </c>
      <c r="R48" s="95" t="s">
        <v>255</v>
      </c>
      <c r="S48" s="95" t="s">
        <v>255</v>
      </c>
      <c r="T48" s="95"/>
      <c r="U48" s="95"/>
      <c r="V48" s="95"/>
      <c r="W48" s="95"/>
      <c r="X48" s="96"/>
      <c r="Y48" s="96" t="s">
        <v>255</v>
      </c>
      <c r="Z48" s="95"/>
      <c r="AA48" s="95"/>
      <c r="AB48" s="95"/>
      <c r="AC48" s="95"/>
      <c r="AD48" s="95" t="s">
        <v>183</v>
      </c>
      <c r="AE48" s="95" t="s">
        <v>183</v>
      </c>
      <c r="AF48" s="95"/>
      <c r="AG48" s="95"/>
      <c r="AH48" s="95" t="s">
        <v>255</v>
      </c>
      <c r="AI48" s="106" t="s">
        <v>448</v>
      </c>
      <c r="AJ48" s="106" t="s">
        <v>448</v>
      </c>
      <c r="AK48" s="106" t="s">
        <v>448</v>
      </c>
      <c r="AL48" s="106" t="s">
        <v>448</v>
      </c>
      <c r="AM48" s="106"/>
      <c r="AN48" s="106"/>
      <c r="AO48" s="106"/>
      <c r="AP48" s="106"/>
      <c r="AQ48" s="91" t="b">
        <f>AND(OR(AND($P$6=TRUE,$P48&lt;&gt;""),AND($Q$6=TRUE,$Q48&lt;&gt;""),AND($R$6=TRUE,$R48&lt;&gt;"")),AND($S$6=TRUE,$S48&lt;&gt;""),OR(AND($T$6=TRUE,$T48&lt;&gt;""),AND($U$6=TRUE,$U48&lt;&gt;""),AND($V$6=TRUE,$V48&lt;&gt;""),AND($W$6=TRUE,$W48&lt;&gt;""),AND($X$6=TRUE,$X48&lt;&gt;""),AND($Y$6=TRUE,$Y48&lt;&gt;""),AND($Z$6=TRUE,$Z48&lt;&gt;""),AND($AA$6=TRUE,$AA48&lt;&gt;""),AND($AB$6=TRUE,$AB48&lt;&gt;""),AND($AC$6=TRUE,$AC48&lt;&gt;"")),OR(AND($AD$6=TRUE,$AD48&lt;&gt;""),AND($AE$6=TRUE,$AE48&lt;&gt;""),AND($AF$6=TRUE,$AF48&lt;&gt;""),AND($AG$6=TRUE,$AG48&lt;&gt;""),AND($AH$6=TRUE,$AH48&lt;&gt;"")),NOT(AND(NOT(AND($AI$6=FALSE,$AK$6=FALSE,$AM$6=FALSE,$AO$6=FALSE)),OR($AI$6=FALSE,AND($AI$6=TRUE,$AI48&lt;&gt;"",$AJ48&lt;&gt;"")),OR($AK$6=FALSE,AND($AK$6=TRUE,$AK48&lt;&gt;"",$AL48&lt;&gt;"")),OR($AM$6=FALSE,AND($AM$6=TRUE,$AM48&lt;&gt;"",$AN48&lt;&gt;"")),OR($AO$6=FALSE,AND($AO$6=TRUE,$AO48&lt;&gt;"",$AP48&lt;&gt;"")))))</f>
        <v>0</v>
      </c>
      <c r="AR48" s="108"/>
      <c r="AS48" s="108" t="s">
        <v>183</v>
      </c>
      <c r="AT48" s="108"/>
      <c r="AU48" s="108"/>
      <c r="AV48" s="170" t="str">
        <f>IF(AR48&lt;&gt;"","セキュリティ管理/","")&amp;IF(AS48&lt;&gt;"","マルウェア/","")&amp;IF(AT48&lt;&gt;"","クラウド/","")&amp;IF(AU48&lt;&gt;"","別表1,2,3","")</f>
        <v>マルウェア/</v>
      </c>
      <c r="AW48" s="108"/>
    </row>
    <row r="49" spans="1:49" ht="67.5">
      <c r="A49" s="75"/>
      <c r="B49" s="82"/>
      <c r="C49" s="71" t="s">
        <v>1454</v>
      </c>
      <c r="D49" s="90" t="s">
        <v>1453</v>
      </c>
      <c r="E49" s="98" t="str">
        <f>'運用プロセス(自社DC)'!E47</f>
        <v>構築対象の端末が不特定のインターネットアクセスや外部からのメール受信を行う場合、セキュリティ担当から連携される悪性な通信先サイトをWebフィルタリング等のブラックリストに追加し、閲覧を制限する運用を設計しているか。</v>
      </c>
      <c r="F49" s="99" t="s">
        <v>1089</v>
      </c>
      <c r="G49" s="92" t="s">
        <v>254</v>
      </c>
      <c r="H49" s="181"/>
      <c r="I49" s="181"/>
      <c r="J49" s="94" t="s">
        <v>730</v>
      </c>
      <c r="K49" s="94" t="s">
        <v>730</v>
      </c>
      <c r="L49" s="94"/>
      <c r="M49" s="94"/>
      <c r="N49" s="247"/>
      <c r="O49" s="111" cm="1">
        <f t="array" ref="O49">IF(AQ49=TRUE,_xlfn.IFS(M49=1,2,M49="",IF(N49="",1,2)),0)</f>
        <v>0</v>
      </c>
      <c r="P49" s="95" t="s">
        <v>255</v>
      </c>
      <c r="Q49" s="95" t="s">
        <v>255</v>
      </c>
      <c r="R49" s="95" t="s">
        <v>255</v>
      </c>
      <c r="S49" s="95" t="s">
        <v>255</v>
      </c>
      <c r="T49" s="95"/>
      <c r="U49" s="95"/>
      <c r="V49" s="95"/>
      <c r="W49" s="95"/>
      <c r="X49" s="96"/>
      <c r="Y49" s="96" t="s">
        <v>255</v>
      </c>
      <c r="Z49" s="95"/>
      <c r="AA49" s="95"/>
      <c r="AB49" s="95"/>
      <c r="AC49" s="95"/>
      <c r="AD49" s="95" t="s">
        <v>183</v>
      </c>
      <c r="AE49" s="95" t="s">
        <v>183</v>
      </c>
      <c r="AF49" s="95"/>
      <c r="AG49" s="95"/>
      <c r="AH49" s="95" t="s">
        <v>255</v>
      </c>
      <c r="AI49" s="106" t="s">
        <v>448</v>
      </c>
      <c r="AJ49" s="106" t="s">
        <v>448</v>
      </c>
      <c r="AK49" s="106" t="s">
        <v>448</v>
      </c>
      <c r="AL49" s="106" t="s">
        <v>448</v>
      </c>
      <c r="AM49" s="106"/>
      <c r="AN49" s="106"/>
      <c r="AO49" s="106"/>
      <c r="AP49" s="106"/>
      <c r="AQ49" s="91" t="b">
        <f>AND(OR(AND($P$6=TRUE,$P49&lt;&gt;""),AND($Q$6=TRUE,$Q49&lt;&gt;""),AND($R$6=TRUE,$R49&lt;&gt;"")),AND($S$6=TRUE,$S49&lt;&gt;""),OR(AND($T$6=TRUE,$T49&lt;&gt;""),AND($U$6=TRUE,$U49&lt;&gt;""),AND($V$6=TRUE,$V49&lt;&gt;""),AND($W$6=TRUE,$W49&lt;&gt;""),AND($X$6=TRUE,$X49&lt;&gt;""),AND($Y$6=TRUE,$Y49&lt;&gt;""),AND($Z$6=TRUE,$Z49&lt;&gt;""),AND($AA$6=TRUE,$AA49&lt;&gt;""),AND($AB$6=TRUE,$AB49&lt;&gt;""),AND($AC$6=TRUE,$AC49&lt;&gt;"")),OR(AND($AD$6=TRUE,$AD49&lt;&gt;""),AND($AE$6=TRUE,$AE49&lt;&gt;""),AND($AF$6=TRUE,$AF49&lt;&gt;""),AND($AG$6=TRUE,$AG49&lt;&gt;""),AND($AH$6=TRUE,$AH49&lt;&gt;"")),NOT(AND(NOT(AND($AI$6=FALSE,$AK$6=FALSE,$AM$6=FALSE,$AO$6=FALSE)),OR($AI$6=FALSE,AND($AI$6=TRUE,$AI49&lt;&gt;"",$AJ49&lt;&gt;"")),OR($AK$6=FALSE,AND($AK$6=TRUE,$AK49&lt;&gt;"",$AL49&lt;&gt;"")),OR($AM$6=FALSE,AND($AM$6=TRUE,$AM49&lt;&gt;"",$AN49&lt;&gt;"")),OR($AO$6=FALSE,AND($AO$6=TRUE,$AO49&lt;&gt;"",$AP49&lt;&gt;"")))))</f>
        <v>0</v>
      </c>
      <c r="AR49" s="108"/>
      <c r="AS49" s="108"/>
      <c r="AT49" s="108"/>
      <c r="AU49" s="108"/>
      <c r="AV49" s="170" t="str">
        <f>IF(AR49&lt;&gt;"","セキュリティ管理/","")&amp;IF(AS49&lt;&gt;"","マルウェア/","")&amp;IF(AT49&lt;&gt;"","クラウド/","")&amp;IF(AU49&lt;&gt;"","別表1,2,3","")</f>
        <v/>
      </c>
      <c r="AW49" s="108" t="s">
        <v>1044</v>
      </c>
    </row>
    <row r="50" spans="1:49" ht="67.5">
      <c r="A50" s="75"/>
      <c r="B50" s="82"/>
      <c r="C50" s="71" t="s">
        <v>1455</v>
      </c>
      <c r="D50" s="90" t="s">
        <v>290</v>
      </c>
      <c r="E50" s="98" t="str">
        <f>'運用プロセス(自社DC)'!E48</f>
        <v>構築対象の端末が不特定のインターネットアクセスや外部からのメール受信を行う場合、悪性のハッシュ値，URL，IPアドレス等の情報を入手した際に、当該ファイルの保持状況やアクセス履歴の有無を確認する運用を設計しているか。</v>
      </c>
      <c r="F50" s="99" t="s">
        <v>1089</v>
      </c>
      <c r="G50" s="92" t="s">
        <v>254</v>
      </c>
      <c r="H50" s="181"/>
      <c r="I50" s="181"/>
      <c r="J50" s="94" t="s">
        <v>730</v>
      </c>
      <c r="K50" s="94" t="s">
        <v>730</v>
      </c>
      <c r="L50" s="94"/>
      <c r="M50" s="94"/>
      <c r="N50" s="247"/>
      <c r="O50" s="111" cm="1">
        <f t="array" ref="O50">IF(AQ50=TRUE,_xlfn.IFS(M50=1,2,M50="",IF(N50="",1,2)),0)</f>
        <v>0</v>
      </c>
      <c r="P50" s="95" t="s">
        <v>255</v>
      </c>
      <c r="Q50" s="95" t="s">
        <v>255</v>
      </c>
      <c r="R50" s="95" t="s">
        <v>255</v>
      </c>
      <c r="S50" s="95" t="s">
        <v>255</v>
      </c>
      <c r="T50" s="95"/>
      <c r="U50" s="95"/>
      <c r="V50" s="95"/>
      <c r="W50" s="95"/>
      <c r="X50" s="96"/>
      <c r="Y50" s="96" t="s">
        <v>255</v>
      </c>
      <c r="Z50" s="95"/>
      <c r="AA50" s="95"/>
      <c r="AB50" s="95"/>
      <c r="AC50" s="95"/>
      <c r="AD50" s="95" t="s">
        <v>183</v>
      </c>
      <c r="AE50" s="95" t="s">
        <v>183</v>
      </c>
      <c r="AF50" s="95"/>
      <c r="AG50" s="95"/>
      <c r="AH50" s="95" t="s">
        <v>255</v>
      </c>
      <c r="AI50" s="106" t="s">
        <v>448</v>
      </c>
      <c r="AJ50" s="106" t="s">
        <v>448</v>
      </c>
      <c r="AK50" s="106" t="s">
        <v>448</v>
      </c>
      <c r="AL50" s="106" t="s">
        <v>448</v>
      </c>
      <c r="AM50" s="106"/>
      <c r="AN50" s="106"/>
      <c r="AO50" s="106"/>
      <c r="AP50" s="106"/>
      <c r="AQ50" s="91" t="b">
        <f>AND(OR(AND($P$6=TRUE,$P50&lt;&gt;""),AND($Q$6=TRUE,$Q50&lt;&gt;""),AND($R$6=TRUE,$R50&lt;&gt;"")),AND($S$6=TRUE,$S50&lt;&gt;""),OR(AND($T$6=TRUE,$T50&lt;&gt;""),AND($U$6=TRUE,$U50&lt;&gt;""),AND($V$6=TRUE,$V50&lt;&gt;""),AND($W$6=TRUE,$W50&lt;&gt;""),AND($X$6=TRUE,$X50&lt;&gt;""),AND($Y$6=TRUE,$Y50&lt;&gt;""),AND($Z$6=TRUE,$Z50&lt;&gt;""),AND($AA$6=TRUE,$AA50&lt;&gt;""),AND($AB$6=TRUE,$AB50&lt;&gt;""),AND($AC$6=TRUE,$AC50&lt;&gt;"")),OR(AND($AD$6=TRUE,$AD50&lt;&gt;""),AND($AE$6=TRUE,$AE50&lt;&gt;""),AND($AF$6=TRUE,$AF50&lt;&gt;""),AND($AG$6=TRUE,$AG50&lt;&gt;""),AND($AH$6=TRUE,$AH50&lt;&gt;"")),NOT(AND(NOT(AND($AI$6=FALSE,$AK$6=FALSE,$AM$6=FALSE,$AO$6=FALSE)),OR($AI$6=FALSE,AND($AI$6=TRUE,$AI50&lt;&gt;"",$AJ50&lt;&gt;"")),OR($AK$6=FALSE,AND($AK$6=TRUE,$AK50&lt;&gt;"",$AL50&lt;&gt;"")),OR($AM$6=FALSE,AND($AM$6=TRUE,$AM50&lt;&gt;"",$AN50&lt;&gt;"")),OR($AO$6=FALSE,AND($AO$6=TRUE,$AO50&lt;&gt;"",$AP50&lt;&gt;"")))))</f>
        <v>0</v>
      </c>
      <c r="AR50" s="108"/>
      <c r="AS50" s="108"/>
      <c r="AT50" s="108"/>
      <c r="AU50" s="108"/>
      <c r="AV50" s="170" t="str">
        <f>IF(AR50&lt;&gt;"","セキュリティ管理/","")&amp;IF(AS50&lt;&gt;"","マルウェア/","")&amp;IF(AT50&lt;&gt;"","クラウド/","")&amp;IF(AU50&lt;&gt;"","別表1,2,3","")</f>
        <v/>
      </c>
      <c r="AW50" s="108" t="s">
        <v>1044</v>
      </c>
    </row>
    <row r="51" spans="1:49" ht="67.5">
      <c r="A51" s="75"/>
      <c r="B51" s="82"/>
      <c r="C51" s="71" t="s">
        <v>2181</v>
      </c>
      <c r="D51" s="90" t="s">
        <v>293</v>
      </c>
      <c r="E51" s="98" t="str">
        <f>'運用プロセス(自社DC)'!E49</f>
        <v>構築対象の端末が不特定のインターネットアクセスや外部からのメール受信を行う場合、インターネット接続時に経由するファイアウォールの通信ログを取得し、想定した通信要件以外の通信ログ(遮断ログ)がないかを日次で確認する運用を設計しているか。</v>
      </c>
      <c r="F51" s="99" t="s">
        <v>1089</v>
      </c>
      <c r="G51" s="92" t="s">
        <v>254</v>
      </c>
      <c r="H51" s="181"/>
      <c r="I51" s="181"/>
      <c r="J51" s="94" t="s">
        <v>730</v>
      </c>
      <c r="K51" s="94" t="s">
        <v>730</v>
      </c>
      <c r="L51" s="94"/>
      <c r="M51" s="94"/>
      <c r="N51" s="247"/>
      <c r="O51" s="111" cm="1">
        <f t="array" ref="O51">IF(AQ51=TRUE,_xlfn.IFS(M51=1,2,M51="",IF(N51="",1,2)),0)</f>
        <v>0</v>
      </c>
      <c r="P51" s="95" t="s">
        <v>255</v>
      </c>
      <c r="Q51" s="95" t="s">
        <v>255</v>
      </c>
      <c r="R51" s="95" t="s">
        <v>255</v>
      </c>
      <c r="S51" s="95" t="s">
        <v>255</v>
      </c>
      <c r="T51" s="95"/>
      <c r="U51" s="95"/>
      <c r="V51" s="95"/>
      <c r="W51" s="95"/>
      <c r="X51" s="96"/>
      <c r="Y51" s="96" t="s">
        <v>255</v>
      </c>
      <c r="Z51" s="95"/>
      <c r="AA51" s="95"/>
      <c r="AB51" s="95"/>
      <c r="AC51" s="95"/>
      <c r="AD51" s="95" t="s">
        <v>183</v>
      </c>
      <c r="AE51" s="95" t="s">
        <v>183</v>
      </c>
      <c r="AF51" s="95"/>
      <c r="AG51" s="95"/>
      <c r="AH51" s="95" t="s">
        <v>255</v>
      </c>
      <c r="AI51" s="106" t="s">
        <v>448</v>
      </c>
      <c r="AJ51" s="106" t="s">
        <v>448</v>
      </c>
      <c r="AK51" s="106" t="s">
        <v>448</v>
      </c>
      <c r="AL51" s="106" t="s">
        <v>448</v>
      </c>
      <c r="AM51" s="106"/>
      <c r="AN51" s="106"/>
      <c r="AO51" s="106"/>
      <c r="AP51" s="106"/>
      <c r="AQ51" s="91" t="b">
        <f>AND(OR(AND($P$6=TRUE,$P51&lt;&gt;""),AND($Q$6=TRUE,$Q51&lt;&gt;""),AND($R$6=TRUE,$R51&lt;&gt;"")),AND($S$6=TRUE,$S51&lt;&gt;""),OR(AND($T$6=TRUE,$T51&lt;&gt;""),AND($U$6=TRUE,$U51&lt;&gt;""),AND($V$6=TRUE,$V51&lt;&gt;""),AND($W$6=TRUE,$W51&lt;&gt;""),AND($X$6=TRUE,$X51&lt;&gt;""),AND($Y$6=TRUE,$Y51&lt;&gt;""),AND($Z$6=TRUE,$Z51&lt;&gt;""),AND($AA$6=TRUE,$AA51&lt;&gt;""),AND($AB$6=TRUE,$AB51&lt;&gt;""),AND($AC$6=TRUE,$AC51&lt;&gt;"")),OR(AND($AD$6=TRUE,$AD51&lt;&gt;""),AND($AE$6=TRUE,$AE51&lt;&gt;""),AND($AF$6=TRUE,$AF51&lt;&gt;""),AND($AG$6=TRUE,$AG51&lt;&gt;""),AND($AH$6=TRUE,$AH51&lt;&gt;"")),NOT(AND(NOT(AND($AI$6=FALSE,$AK$6=FALSE,$AM$6=FALSE,$AO$6=FALSE)),OR($AI$6=FALSE,AND($AI$6=TRUE,$AI51&lt;&gt;"",$AJ51&lt;&gt;"")),OR($AK$6=FALSE,AND($AK$6=TRUE,$AK51&lt;&gt;"",$AL51&lt;&gt;"")),OR($AM$6=FALSE,AND($AM$6=TRUE,$AM51&lt;&gt;"",$AN51&lt;&gt;"")),OR($AO$6=FALSE,AND($AO$6=TRUE,$AO51&lt;&gt;"",$AP51&lt;&gt;"")))))</f>
        <v>0</v>
      </c>
      <c r="AR51" s="108"/>
      <c r="AS51" s="108"/>
      <c r="AT51" s="108"/>
      <c r="AU51" s="108"/>
      <c r="AV51" s="170" t="str">
        <f>IF(AR51&lt;&gt;"","セキュリティ管理/","")&amp;IF(AS51&lt;&gt;"","マルウェア/","")&amp;IF(AT51&lt;&gt;"","クラウド/","")&amp;IF(AU51&lt;&gt;"","別表1,2,3","")</f>
        <v/>
      </c>
      <c r="AW51" s="108" t="s">
        <v>1044</v>
      </c>
    </row>
    <row r="52" spans="1:49" ht="409.5">
      <c r="A52" s="75"/>
      <c r="B52" s="82"/>
      <c r="C52" s="71" t="s">
        <v>2182</v>
      </c>
      <c r="D52" s="90" t="s">
        <v>296</v>
      </c>
      <c r="E52" s="98" t="str">
        <f>'運用プロセス(自社DC)'!E53</f>
        <v xml:space="preserve">構築対象のプロキシサーバの通信ログおよび認証ログを取得し、以下の観点で分析する運用を設計しているか。以下の観点で監視および定期的に分析しているか。
＜通信ログ＞
・規則的に再接続を試みるアクセスの有無を確認し、接続元と接続先のIPアドレスの調査から、コネクトバック通信を行っている端末がないか。(推奨)
・CONNECTメソッドを使用して、許可されていないポート番号で接続しようとしている通信ログ（遮断ログ）がないか。(必須)
＜認証ログ＞
・特定のユーザIDに対するブルートフォースによる認証の試行が無いか(必須)
・パスワードを固定してユーザIDを変化させる認証の試行が無いか(必須)
・同一の時間帯に同一ＩＤによるログインが複数端末から発生していないか(必須)
・深夜等の業務時間外に特定端末から定期的に認証ログが発生していないか(必須)
（アウトソースシステムの場合、回答で「YES」を選択した場合は、下記のうち該当する番号を全て備考欄に記入する。）
1.ログの取得
2.ログの監視
3.ログの定期的な分析
</v>
      </c>
      <c r="F52" s="104" t="s">
        <v>995</v>
      </c>
      <c r="G52" s="93" t="s">
        <v>254</v>
      </c>
      <c r="H52" s="181"/>
      <c r="I52" s="181"/>
      <c r="J52" s="94"/>
      <c r="K52" s="94"/>
      <c r="L52" s="94"/>
      <c r="M52" s="94"/>
      <c r="N52" s="247"/>
      <c r="O52" s="111" cm="1">
        <f t="array" ref="O52">IF(AQ52=TRUE,_xlfn.IFS(M52=1,2,M52="",IF(N52="",1,2)),0)</f>
        <v>0</v>
      </c>
      <c r="P52" s="95" t="s">
        <v>255</v>
      </c>
      <c r="Q52" s="95" t="s">
        <v>183</v>
      </c>
      <c r="R52" s="95" t="s">
        <v>183</v>
      </c>
      <c r="S52" s="95" t="s">
        <v>183</v>
      </c>
      <c r="T52" s="96"/>
      <c r="U52" s="96"/>
      <c r="V52" s="96"/>
      <c r="W52" s="96"/>
      <c r="X52" s="96"/>
      <c r="Y52" s="95"/>
      <c r="Z52" s="96" t="s">
        <v>255</v>
      </c>
      <c r="AA52" s="95"/>
      <c r="AB52" s="95"/>
      <c r="AC52" s="95"/>
      <c r="AD52" s="95" t="s">
        <v>183</v>
      </c>
      <c r="AE52" s="95" t="s">
        <v>183</v>
      </c>
      <c r="AF52" s="95"/>
      <c r="AG52" s="95"/>
      <c r="AH52" s="95" t="s">
        <v>255</v>
      </c>
      <c r="AI52" s="106" t="s">
        <v>448</v>
      </c>
      <c r="AJ52" s="106" t="s">
        <v>448</v>
      </c>
      <c r="AK52" s="106" t="s">
        <v>448</v>
      </c>
      <c r="AL52" s="106" t="s">
        <v>448</v>
      </c>
      <c r="AM52" s="106"/>
      <c r="AN52" s="106"/>
      <c r="AO52" s="106"/>
      <c r="AP52" s="106"/>
      <c r="AQ52" s="91" t="b">
        <f>AND(OR(AND($P$6=TRUE,$P52&lt;&gt;""),AND($Q$6=TRUE,$Q52&lt;&gt;""),AND($R$6=TRUE,$R52&lt;&gt;"")),AND($S$6=TRUE,$S52&lt;&gt;""),OR(AND($T$6=TRUE,$T52&lt;&gt;""),AND($U$6=TRUE,$U52&lt;&gt;""),AND($V$6=TRUE,$V52&lt;&gt;""),AND($W$6=TRUE,$W52&lt;&gt;""),AND($X$6=TRUE,$X52&lt;&gt;""),AND($Y$6=TRUE,$Y52&lt;&gt;""),AND($Z$6=TRUE,$Z52&lt;&gt;""),AND($AA$6=TRUE,$AA52&lt;&gt;""),AND($AB$6=TRUE,$AB52&lt;&gt;""),AND($AC$6=TRUE,$AC52&lt;&gt;"")),OR(AND($AD$6=TRUE,$AD52&lt;&gt;""),AND($AE$6=TRUE,$AE52&lt;&gt;""),AND($AF$6=TRUE,$AF52&lt;&gt;""),AND($AG$6=TRUE,$AG52&lt;&gt;""),AND($AH$6=TRUE,$AH52&lt;&gt;"")),NOT(AND(NOT(AND($AI$6=FALSE,$AK$6=FALSE,$AM$6=FALSE,$AO$6=FALSE)),OR($AI$6=FALSE,AND($AI$6=TRUE,$AI52&lt;&gt;"",$AJ52&lt;&gt;"")),OR($AK$6=FALSE,AND($AK$6=TRUE,$AK52&lt;&gt;"",$AL52&lt;&gt;"")),OR($AM$6=FALSE,AND($AM$6=TRUE,$AM52&lt;&gt;"",$AN52&lt;&gt;"")),OR($AO$6=FALSE,AND($AO$6=TRUE,$AO52&lt;&gt;"",$AP52&lt;&gt;"")))))</f>
        <v>0</v>
      </c>
      <c r="AR52" s="108"/>
      <c r="AS52" s="108" t="s">
        <v>183</v>
      </c>
      <c r="AT52" s="108"/>
      <c r="AU52" s="108"/>
      <c r="AV52" s="170" t="str">
        <f>IF(AR52&lt;&gt;"","セキュリティ管理/","")&amp;IF(AS52&lt;&gt;"","マルウェア/","")&amp;IF(AT52&lt;&gt;"","クラウド/","")&amp;IF(AU52&lt;&gt;"","別表1,2,3","")</f>
        <v>マルウェア/</v>
      </c>
      <c r="AW52" s="108"/>
    </row>
    <row r="53" spans="1:49">
      <c r="H53">
        <f>COUNTA(H10:H52)</f>
        <v>0</v>
      </c>
      <c r="O53" s="24">
        <f>COUNTIF(O10:O52,2)</f>
        <v>0</v>
      </c>
      <c r="AQ53" s="24">
        <f>COUNTIF(AQ10:AQ52,TRUE)</f>
        <v>0</v>
      </c>
      <c r="AR53" s="24"/>
      <c r="AS53" s="24"/>
      <c r="AT53" s="24"/>
      <c r="AU53" s="24"/>
      <c r="AV53" s="24"/>
    </row>
    <row r="54" spans="1:49">
      <c r="H54">
        <f>COUNTIF(H10:H52,インデックス!CJ185)</f>
        <v>0</v>
      </c>
      <c r="O54" s="24" cm="1">
        <f t="array" ref="O54">SUMPRODUCT((O10:O52=2)*($AV10:$AV52&lt;&gt;""))</f>
        <v>0</v>
      </c>
      <c r="AQ54" s="24" cm="1">
        <f t="array" ref="AQ54">SUMPRODUCT((AQ10:AQ52=TRUE)*($AV10:$AV52&lt;&gt;""))</f>
        <v>0</v>
      </c>
    </row>
    <row r="55" spans="1:49">
      <c r="E55" s="22"/>
      <c r="F55" s="22"/>
      <c r="H55" cm="1">
        <f t="array" ref="H55">SUMPRODUCT((H10:H52&lt;&gt;"")*(AV10:AV52&lt;&gt;""))</f>
        <v>0</v>
      </c>
    </row>
    <row r="56" spans="1:49">
      <c r="H56" cm="1">
        <f t="array" ref="H56">SUMPRODUCT((H10:H52=インデックス!$CJ$185)*(AV10:AV52&lt;&gt;""))</f>
        <v>0</v>
      </c>
    </row>
  </sheetData>
  <autoFilter ref="A7:AW52" xr:uid="{00000000-0009-0000-0000-00000C000000}"/>
  <mergeCells count="1">
    <mergeCell ref="M1:N2"/>
  </mergeCells>
  <phoneticPr fontId="7"/>
  <conditionalFormatting sqref="E36:E37 E26:E29 E40:E48 E10:E24 E31:E34">
    <cfRule type="expression" dxfId="62" priority="73">
      <formula>AND(NOT(AND($AI$6=FALSE,$AK$6=FALSE,$AM$6=FALSE,$AO$6=FALSE)),OR($AI$6=FALSE,AND($AI$6=TRUE,$AI10&lt;&gt;"")),OR($AK$6=FALSE,AND($AK$6=TRUE,$AK10&lt;&gt;"")),OR($AM$6=FALSE,AND($AM$6=TRUE,$AM10&lt;&gt;"")),OR($AO$6=FALSE,AND($AO$6=TRUE,$AO10&lt;&gt;"")))</formula>
    </cfRule>
  </conditionalFormatting>
  <conditionalFormatting sqref="F36:F37 F26:F29 F40:F48 F10:F24 F31:F34">
    <cfRule type="expression" dxfId="61" priority="72">
      <formula>AND(NOT(AND($AJ$6=FALSE,$AL$6=FALSE,$AN$6=FALSE,$AP$6=FALSE)),OR($AJ$6=FALSE,AND($AJ$6=TRUE,$AJ10&lt;&gt;"")),OR($AL$6=FALSE,AND($AL$6=TRUE,$AL10&lt;&gt;"")),OR($AN$6=FALSE,AND($AN$6=TRUE,$AN10&lt;&gt;"")),OR($AP$6=FALSE,AND($AP$6=TRUE,$AP10&lt;&gt;"")))</formula>
    </cfRule>
  </conditionalFormatting>
  <conditionalFormatting sqref="E30 E35 E25 E38:E39 E49:E52">
    <cfRule type="expression" dxfId="60" priority="61">
      <formula>AND(NOT(AND($AI$6=FALSE,$AK$6=FALSE,$AM$6=FALSE)),OR($AI$6=FALSE,AND($AI$6=TRUE,$AI25&lt;&gt;"")),OR($AK$6=FALSE,AND($AK$6=TRUE,$AK25&lt;&gt;"")),OR($AM$6=FALSE,AND($AM$6=TRUE,$AM25&lt;&gt;"")))</formula>
    </cfRule>
  </conditionalFormatting>
  <conditionalFormatting sqref="F30 F35 F25 F38:F39 F49:F52">
    <cfRule type="expression" dxfId="59" priority="60">
      <formula>AND(NOT(AND($AJ$6=FALSE,$AL$6=FALSE,$AN$6=FALSE)),OR($AJ$6=FALSE,AND($AJ$6=TRUE,$AJ25&lt;&gt;"")),OR($AL$6=FALSE,AND($AL$6=TRUE,$AL25&lt;&gt;"")),OR($AN$6=FALSE,AND($AN$6=TRUE,$AN25&lt;&gt;"")))</formula>
    </cfRule>
  </conditionalFormatting>
  <conditionalFormatting sqref="E36">
    <cfRule type="expression" dxfId="58" priority="7">
      <formula>$AF$6=TRUE</formula>
    </cfRule>
  </conditionalFormatting>
  <conditionalFormatting sqref="E10:I52">
    <cfRule type="expression" dxfId="57" priority="395">
      <formula>$AQ10=FALSE</formula>
    </cfRule>
  </conditionalFormatting>
  <dataValidations count="1">
    <dataValidation type="list" allowBlank="1" showInputMessage="1" showErrorMessage="1" sqref="M8:M52" xr:uid="{00000000-0002-0000-0C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3BA72907-9193-435F-97F6-7E247808ED98}">
            <xm:f>M$1=インデックス!$CJ$189</xm:f>
            <x14:dxf>
              <fill>
                <patternFill>
                  <bgColor theme="5"/>
                </patternFill>
              </fill>
            </x14:dxf>
          </x14:cfRule>
          <x14:cfRule type="expression" priority="2" id="{AD4586B3-E6F7-495A-BD0C-716D708BDE5F}">
            <xm:f>M$1=インデックス!$CJ$188</xm:f>
            <x14:dxf>
              <fill>
                <patternFill>
                  <bgColor theme="9"/>
                </patternFill>
              </fill>
            </x14:dxf>
          </x14:cfRule>
          <x14:cfRule type="expression" priority="3" id="{AAA88572-CA6D-4197-967F-1977C752F194}">
            <xm:f>M$1=インデックス!$CJ$187</xm:f>
            <x14:dxf>
              <fill>
                <patternFill>
                  <bgColor theme="4"/>
                </patternFill>
              </fill>
            </x14:dxf>
          </x14:cfRule>
          <xm:sqref>M1:N2</xm:sqref>
        </x14:conditionalFormatting>
        <x14:conditionalFormatting xmlns:xm="http://schemas.microsoft.com/office/excel/2006/main">
          <x14:cfRule type="expression" priority="1255" id="{C4DACBD2-1BA3-4D7B-A9AF-81939158C946}">
            <xm:f>AND($AQ10=TRUE,COUNTIF($H10,インデックス!$CJ$186),ISBLANK($I10))</xm:f>
            <x14:dxf>
              <fill>
                <patternFill>
                  <bgColor theme="5"/>
                </patternFill>
              </fill>
            </x14:dxf>
          </x14:cfRule>
          <x14:cfRule type="expression" priority="1256" id="{4A530FF7-053D-4B1A-A983-507FFFC0EC5B}">
            <xm:f>AND($AQ10=TRUE,$H10=インデックス!$CJ$184,ISBLANK($I10))</xm:f>
            <x14:dxf>
              <fill>
                <patternFill>
                  <bgColor theme="5"/>
                </patternFill>
              </fill>
            </x14:dxf>
          </x14:cfRule>
          <xm:sqref>I10:I52</xm:sqref>
        </x14:conditionalFormatting>
        <x14:conditionalFormatting xmlns:xm="http://schemas.microsoft.com/office/excel/2006/main">
          <x14:cfRule type="expression" priority="1257" id="{B19DC6AD-DCFC-4898-8B67-C73741205328}">
            <xm:f>AND($AQ10=TRUE,OR($H10=インデックス!$CJ$184,$H10=インデックス!$CJ$185,$H10=インデックス!$CJ$186),ISBLANK($N10))</xm:f>
            <x14:dxf>
              <fill>
                <patternFill>
                  <bgColor theme="5"/>
                </patternFill>
              </fill>
            </x14:dxf>
          </x14:cfRule>
          <xm:sqref>N10:N52</xm:sqref>
        </x14:conditionalFormatting>
        <x14:conditionalFormatting xmlns:xm="http://schemas.microsoft.com/office/excel/2006/main">
          <x14:cfRule type="expression" priority="1269" id="{D34BDFF7-4E68-45B5-9B47-982A803045C6}">
            <xm:f>AND($AQ29=TRUE,インデックス!$AL$63=TRUE,$H29=インデックス!$CJ$183,ISBLANK($I29))</xm:f>
            <x14:dxf>
              <fill>
                <patternFill>
                  <bgColor theme="5"/>
                </patternFill>
              </fill>
            </x14:dxf>
          </x14:cfRule>
          <xm:sqref>I29 I52</xm:sqref>
        </x14:conditionalFormatting>
        <x14:conditionalFormatting xmlns:xm="http://schemas.microsoft.com/office/excel/2006/main">
          <x14:cfRule type="expression" priority="1854" id="{6499DBBB-28A8-4BF0-B0A2-9D6D753D9407}">
            <xm:f>AND($AQ10=TRUE,$H10=インデックス!$CJ$184,ISBLANK($M10),インデックス!$AL$40=TRUE)</xm:f>
            <x14:dxf>
              <fill>
                <patternFill>
                  <bgColor theme="5"/>
                </patternFill>
              </fill>
            </x14:dxf>
          </x14:cfRule>
          <x14:cfRule type="expression" priority="1855" id="{B0AF4528-DAF2-40DC-96A6-5EA0044E03A0}">
            <xm:f>AND($AQ10=TRUE,OR($H10=インデックス!$CJ$183,$H10=インデックス!$CJ$184,$H10=インデックス!$CJ$185,$H10=インデックス!$CJ$186),ISBLANK($M10))</xm:f>
            <x14:dxf>
              <fill>
                <patternFill>
                  <bgColor theme="5"/>
                </patternFill>
              </fill>
            </x14:dxf>
          </x14:cfRule>
          <xm:sqref>M10:M52</xm:sqref>
        </x14:conditionalFormatting>
        <x14:conditionalFormatting xmlns:xm="http://schemas.microsoft.com/office/excel/2006/main">
          <x14:cfRule type="expression" priority="1856" id="{9F6EBF42-561A-4D3E-906D-EC05EDD78AAC}">
            <xm:f>AND($AQ10=TRUE,$H10=インデックス!$CJ$184,ISBLANK($N10),インデックス!$AL$40=TRUE)</xm:f>
            <x14:dxf>
              <fill>
                <patternFill>
                  <bgColor theme="5"/>
                </patternFill>
              </fill>
            </x14:dxf>
          </x14:cfRule>
          <xm:sqref>N14:O15 N21:O22 N16:N20 N33:O33 N23:N32 N46:O47 N34:N45 N48:N52 N10:N13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1000000}">
          <x14:formula1>
            <xm:f>インデックス!$CJ$183:$CJ$186</xm:f>
          </x14:formula1>
          <xm:sqref>H23:H32 H16:H20 H48:H52 H34:H45 H10:H13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O55"/>
  <sheetViews>
    <sheetView showGridLines="0" zoomScale="70" zoomScaleNormal="70" workbookViewId="0">
      <pane ySplit="7" topLeftCell="A11" activePane="bottomLeft" state="frozen"/>
      <selection activeCell="B5" sqref="B5"/>
      <selection pane="bottomLeft"/>
    </sheetView>
  </sheetViews>
  <sheetFormatPr defaultColWidth="9" defaultRowHeight="18" outlineLevelCol="1"/>
  <cols>
    <col min="1" max="2" width="5.58203125" customWidth="1"/>
    <col min="3" max="3" width="9.08203125" bestFit="1" customWidth="1"/>
    <col min="4" max="4" width="8.58203125" customWidth="1"/>
    <col min="5" max="6" width="100.58203125" style="2" customWidth="1"/>
    <col min="7" max="7" width="16.58203125" customWidth="1"/>
    <col min="8" max="8" width="20.58203125" customWidth="1"/>
    <col min="9" max="9" width="55.58203125" customWidth="1"/>
    <col min="10" max="12" width="15.58203125" style="24" hidden="1" customWidth="1" outlineLevel="1"/>
    <col min="13" max="13" width="18.58203125" style="24" customWidth="1" collapsed="1"/>
    <col min="14" max="14" width="50.58203125" style="49" customWidth="1"/>
    <col min="15" max="15" width="17.58203125" style="49" hidden="1" customWidth="1" outlineLevel="1"/>
    <col min="16" max="35" width="15.58203125" style="24" hidden="1" customWidth="1" outlineLevel="1"/>
    <col min="36" max="39" width="15.58203125" hidden="1" customWidth="1" outlineLevel="1"/>
    <col min="40" max="40" width="40.75" customWidth="1" collapsed="1"/>
    <col min="41" max="41" width="18.75" customWidth="1"/>
  </cols>
  <sheetData>
    <row r="1" spans="1:41" ht="32.5">
      <c r="A1" s="43" t="s">
        <v>1456</v>
      </c>
      <c r="E1" s="50"/>
      <c r="H1" s="24"/>
      <c r="I1" s="24"/>
      <c r="M1" s="387" t="str" cm="1">
        <f t="array" ref="M1">IF(COUNTIF(O10:O51,1)=0,インデックス!$CJ$187,IF(AND(インデックス!$AL$63,SUMPRODUCT((O10:O51=1)*($AN10:$AN51&lt;&gt;""))=0),インデックス!$CJ$188,インデックス!$CJ$189))</f>
        <v>全件評価完了</v>
      </c>
      <c r="N1" s="387"/>
      <c r="X1"/>
      <c r="Y1"/>
      <c r="Z1"/>
      <c r="AA1"/>
      <c r="AB1"/>
      <c r="AC1"/>
      <c r="AD1"/>
      <c r="AE1"/>
      <c r="AF1"/>
      <c r="AG1"/>
      <c r="AH1"/>
      <c r="AI1"/>
    </row>
    <row r="2" spans="1:41" ht="26.5">
      <c r="B2" s="42" t="s">
        <v>1302</v>
      </c>
      <c r="E2" s="50"/>
      <c r="H2" s="24"/>
      <c r="I2" s="24"/>
      <c r="M2" s="387"/>
      <c r="N2" s="387"/>
      <c r="X2"/>
      <c r="Y2"/>
      <c r="Z2"/>
      <c r="AA2"/>
      <c r="AB2"/>
      <c r="AC2"/>
      <c r="AD2"/>
      <c r="AE2"/>
      <c r="AF2"/>
      <c r="AG2"/>
      <c r="AH2"/>
      <c r="AI2"/>
    </row>
    <row r="3" spans="1:41" ht="26.5">
      <c r="B3" s="42" t="s">
        <v>1110</v>
      </c>
      <c r="E3" s="50"/>
      <c r="H3" s="24"/>
      <c r="I3" s="24"/>
      <c r="X3"/>
      <c r="Y3"/>
      <c r="Z3"/>
      <c r="AA3"/>
      <c r="AB3"/>
      <c r="AC3"/>
      <c r="AD3"/>
      <c r="AE3"/>
      <c r="AF3"/>
      <c r="AG3"/>
      <c r="AH3"/>
      <c r="AI3"/>
    </row>
    <row r="4" spans="1:41" ht="26.5">
      <c r="B4" s="42" t="s">
        <v>1111</v>
      </c>
      <c r="E4" s="50"/>
      <c r="H4" s="24"/>
      <c r="I4" s="24"/>
      <c r="X4"/>
      <c r="Y4"/>
      <c r="Z4"/>
      <c r="AA4"/>
      <c r="AB4"/>
      <c r="AC4"/>
      <c r="AD4"/>
      <c r="AE4"/>
      <c r="AF4"/>
      <c r="AG4"/>
      <c r="AH4"/>
      <c r="AI4"/>
    </row>
    <row r="5" spans="1:41" ht="26.5">
      <c r="B5" s="42" t="s">
        <v>1112</v>
      </c>
      <c r="E5" s="50"/>
      <c r="H5" s="24"/>
      <c r="I5" s="24"/>
      <c r="X5"/>
      <c r="Y5"/>
      <c r="Z5"/>
      <c r="AA5"/>
      <c r="AB5"/>
      <c r="AC5"/>
      <c r="AD5"/>
      <c r="AE5"/>
      <c r="AF5"/>
      <c r="AG5"/>
      <c r="AH5"/>
      <c r="AI5"/>
    </row>
    <row r="6" spans="1:41">
      <c r="J6" s="160"/>
      <c r="K6" s="160"/>
      <c r="L6" s="160"/>
      <c r="M6" s="163" t="s">
        <v>229</v>
      </c>
      <c r="N6" s="161"/>
      <c r="O6" s="161"/>
      <c r="P6" s="25" t="b">
        <f>AND(インデックス!$AL$38,インデックス!$AL$63)</f>
        <v>0</v>
      </c>
      <c r="Q6" s="25" t="b">
        <f>インデックス!$AL$39</f>
        <v>0</v>
      </c>
      <c r="R6" s="25" t="b">
        <f>OR(インデックス!$AL$37,インデックス!$AL$40)</f>
        <v>0</v>
      </c>
      <c r="S6" s="32" t="b">
        <f>インデックス!AL116</f>
        <v>0</v>
      </c>
      <c r="T6" s="26" t="b">
        <f>AND(TRUE,NOT(OR(インデックス!$AL$51,インデックス!$AL$69)))</f>
        <v>1</v>
      </c>
      <c r="U6" s="26" t="b">
        <f>AND(インデックス!$AL$56,NOT(OR(インデックス!$AL$51,インデックス!$AL$69)))</f>
        <v>0</v>
      </c>
      <c r="V6" s="26" t="b">
        <f>AND(インデックス!$AL$57,NOT(OR(インデックス!$AL$51,インデックス!$AL$69)))</f>
        <v>0</v>
      </c>
      <c r="W6" s="26" t="b">
        <f>AND(インデックス!$AL$58,NOT(OR(インデックス!$AL$51,インデックス!$AL$69)))</f>
        <v>0</v>
      </c>
      <c r="X6" s="30" t="b">
        <f>AND(インデックス!$AL$63,NOT(OR(インデックス!$AL$51,インデックス!$AL$69)))</f>
        <v>0</v>
      </c>
      <c r="Y6" s="26" t="b">
        <f>インデックス!$AL$86</f>
        <v>0</v>
      </c>
      <c r="Z6" s="26" t="b">
        <f>インデックス!$AL$88</f>
        <v>0</v>
      </c>
      <c r="AA6" s="26" t="b">
        <f>インデックス!$AL$87</f>
        <v>0</v>
      </c>
      <c r="AB6" s="26" t="b">
        <f>AND(インデックス!$AL$93,NOT(OR(インデックス!$AL$51,インデックス!$AL$69)))</f>
        <v>0</v>
      </c>
      <c r="AC6" s="26" t="b">
        <f>AND(インデックス!$AL$94,NOT(OR(インデックス!$AL$51,インデックス!$AL$69)))</f>
        <v>0</v>
      </c>
      <c r="AD6" s="31" t="b">
        <f>インデックス!$AL$43</f>
        <v>0</v>
      </c>
      <c r="AE6" s="31" t="b">
        <f>OR(インデックス!$AL$48,インデックス!$AL$49)</f>
        <v>0</v>
      </c>
      <c r="AF6" s="31" t="b">
        <f>AND(インデックス!AL50,インデックス!AL43)</f>
        <v>0</v>
      </c>
      <c r="AG6" s="31" t="b">
        <f>インデックス!$AL$63</f>
        <v>0</v>
      </c>
      <c r="AH6" s="31" t="b">
        <f>インデックス!$AL$44</f>
        <v>0</v>
      </c>
      <c r="AI6" s="160"/>
      <c r="AJ6" s="162"/>
      <c r="AK6" s="162"/>
      <c r="AL6" s="162"/>
      <c r="AM6" s="162"/>
      <c r="AN6" s="162"/>
      <c r="AO6" s="162"/>
    </row>
    <row r="7" spans="1:41" ht="67.5">
      <c r="A7" s="293"/>
      <c r="B7" s="293"/>
      <c r="C7" s="293" t="s">
        <v>230</v>
      </c>
      <c r="D7" s="293" t="s">
        <v>155</v>
      </c>
      <c r="E7" s="292" t="s">
        <v>1984</v>
      </c>
      <c r="F7" s="292" t="s">
        <v>1113</v>
      </c>
      <c r="G7" s="294" t="s">
        <v>232</v>
      </c>
      <c r="H7" s="64" t="s">
        <v>233</v>
      </c>
      <c r="I7" s="291" t="s">
        <v>1985</v>
      </c>
      <c r="J7" s="64" t="s">
        <v>234</v>
      </c>
      <c r="K7" s="64" t="s">
        <v>235</v>
      </c>
      <c r="L7" s="64" t="s">
        <v>236</v>
      </c>
      <c r="M7" s="159" t="s">
        <v>2000</v>
      </c>
      <c r="N7" s="73" t="s">
        <v>237</v>
      </c>
      <c r="O7" s="290" t="s">
        <v>1989</v>
      </c>
      <c r="P7" s="64" t="s">
        <v>238</v>
      </c>
      <c r="Q7" s="64" t="s">
        <v>239</v>
      </c>
      <c r="R7" s="159" t="s">
        <v>240</v>
      </c>
      <c r="S7" s="64" t="s">
        <v>1114</v>
      </c>
      <c r="T7" s="74" t="s">
        <v>241</v>
      </c>
      <c r="U7" s="74" t="s">
        <v>716</v>
      </c>
      <c r="V7" s="112" t="s">
        <v>717</v>
      </c>
      <c r="W7" s="112" t="s">
        <v>718</v>
      </c>
      <c r="X7" s="74" t="s">
        <v>195</v>
      </c>
      <c r="Y7" s="74" t="s">
        <v>82</v>
      </c>
      <c r="Z7" s="74" t="s">
        <v>84</v>
      </c>
      <c r="AA7" s="74" t="s">
        <v>469</v>
      </c>
      <c r="AB7" s="74" t="s">
        <v>242</v>
      </c>
      <c r="AC7" s="74" t="s">
        <v>466</v>
      </c>
      <c r="AD7" s="74" t="s">
        <v>470</v>
      </c>
      <c r="AE7" s="112" t="s">
        <v>467</v>
      </c>
      <c r="AF7" s="312" t="s">
        <v>2076</v>
      </c>
      <c r="AG7" s="112" t="s">
        <v>195</v>
      </c>
      <c r="AH7" s="74" t="s">
        <v>719</v>
      </c>
      <c r="AI7" s="74" t="s">
        <v>243</v>
      </c>
      <c r="AJ7" s="74" t="s">
        <v>244</v>
      </c>
      <c r="AK7" s="74" t="s">
        <v>245</v>
      </c>
      <c r="AL7" s="74" t="s">
        <v>246</v>
      </c>
      <c r="AM7" s="74" t="s">
        <v>247</v>
      </c>
      <c r="AN7" s="74" t="s">
        <v>248</v>
      </c>
      <c r="AO7" s="74" t="s">
        <v>249</v>
      </c>
    </row>
    <row r="8" spans="1:41" ht="22.5">
      <c r="A8" s="75" t="s">
        <v>1303</v>
      </c>
      <c r="B8" s="75"/>
      <c r="C8" s="76"/>
      <c r="D8" s="76"/>
      <c r="E8" s="77"/>
      <c r="F8" s="77"/>
      <c r="G8" s="78"/>
      <c r="H8" s="79"/>
      <c r="I8" s="79"/>
      <c r="J8" s="80"/>
      <c r="K8" s="80"/>
      <c r="L8" s="80"/>
      <c r="M8" s="80"/>
      <c r="N8" s="81"/>
      <c r="O8" s="81"/>
      <c r="P8" s="80"/>
      <c r="Q8" s="80"/>
      <c r="R8" s="80"/>
      <c r="S8" s="80"/>
      <c r="T8" s="80"/>
      <c r="U8" s="80"/>
      <c r="V8" s="80"/>
      <c r="W8" s="80"/>
      <c r="X8" s="80"/>
      <c r="Y8" s="80"/>
      <c r="Z8" s="80"/>
      <c r="AA8" s="80"/>
      <c r="AB8" s="80"/>
      <c r="AC8" s="80"/>
      <c r="AD8" s="80"/>
      <c r="AE8" s="80"/>
      <c r="AF8" s="80"/>
      <c r="AG8" s="80"/>
      <c r="AH8" s="80"/>
      <c r="AI8" s="80"/>
      <c r="AJ8" s="80"/>
      <c r="AK8" s="80"/>
      <c r="AL8" s="80"/>
      <c r="AM8" s="80"/>
      <c r="AN8" s="80"/>
      <c r="AO8" s="80"/>
    </row>
    <row r="9" spans="1:41" ht="22.5">
      <c r="A9" s="75"/>
      <c r="B9" s="82"/>
      <c r="C9" s="83"/>
      <c r="D9" s="83"/>
      <c r="E9" s="84"/>
      <c r="F9" s="84"/>
      <c r="G9" s="85"/>
      <c r="H9" s="86"/>
      <c r="I9" s="86"/>
      <c r="J9" s="87"/>
      <c r="K9" s="87"/>
      <c r="L9" s="87"/>
      <c r="M9" s="87"/>
      <c r="N9" s="88"/>
      <c r="O9" s="88"/>
      <c r="P9" s="87"/>
      <c r="Q9" s="87"/>
      <c r="R9" s="87"/>
      <c r="S9" s="87"/>
      <c r="T9" s="89"/>
      <c r="U9" s="89"/>
      <c r="V9" s="89"/>
      <c r="W9" s="89"/>
      <c r="X9" s="89"/>
      <c r="Y9" s="89"/>
      <c r="Z9" s="89"/>
      <c r="AA9" s="89"/>
      <c r="AB9" s="89"/>
      <c r="AC9" s="89"/>
      <c r="AD9" s="89"/>
      <c r="AE9" s="89"/>
      <c r="AF9" s="89"/>
      <c r="AG9" s="89"/>
      <c r="AH9" s="89"/>
      <c r="AI9" s="89"/>
      <c r="AJ9" s="89"/>
      <c r="AK9" s="89"/>
      <c r="AL9" s="89"/>
      <c r="AM9" s="89"/>
      <c r="AN9" s="89"/>
      <c r="AO9" s="89"/>
    </row>
    <row r="10" spans="1:41" ht="22.5">
      <c r="A10" s="75"/>
      <c r="B10" s="82"/>
      <c r="C10" s="90" t="s">
        <v>1457</v>
      </c>
      <c r="D10" s="90" t="s">
        <v>252</v>
      </c>
      <c r="E10" s="91" t="str">
        <f>'運用プロセス(自社DC)'!E9</f>
        <v>保管期限を超過したデータを削除する設計としているか。</v>
      </c>
      <c r="F10" s="99" t="s">
        <v>1120</v>
      </c>
      <c r="G10" s="92" t="s">
        <v>254</v>
      </c>
      <c r="H10" s="181"/>
      <c r="I10" s="181"/>
      <c r="J10" s="94"/>
      <c r="K10" s="94"/>
      <c r="L10" s="94"/>
      <c r="M10" s="94"/>
      <c r="N10" s="247"/>
      <c r="O10" s="111" cm="1">
        <f t="array" ref="O10">IF(AI10=TRUE,_xlfn.IFS(M10=1,2,M10="",IF(N10="",1,2)),0)</f>
        <v>0</v>
      </c>
      <c r="P10" s="95" t="s">
        <v>255</v>
      </c>
      <c r="Q10" s="95" t="s">
        <v>183</v>
      </c>
      <c r="R10" s="95" t="s">
        <v>183</v>
      </c>
      <c r="S10" s="95" t="s">
        <v>183</v>
      </c>
      <c r="T10" s="96" t="s">
        <v>183</v>
      </c>
      <c r="U10" s="96"/>
      <c r="V10" s="96"/>
      <c r="W10" s="96"/>
      <c r="X10" s="96" t="s">
        <v>448</v>
      </c>
      <c r="Y10" s="95"/>
      <c r="Z10" s="95"/>
      <c r="AA10" s="95"/>
      <c r="AB10" s="95"/>
      <c r="AC10" s="95"/>
      <c r="AD10" s="95" t="s">
        <v>183</v>
      </c>
      <c r="AE10" s="95" t="s">
        <v>183</v>
      </c>
      <c r="AF10" s="95"/>
      <c r="AG10" s="95"/>
      <c r="AH10" s="95"/>
      <c r="AI10" s="94" t="b">
        <f>AND(OR(AND($P$6=TRUE,$P10&lt;&gt;""),AND($Q$6=TRUE,$Q10&lt;&gt;""),AND($R$6=TRUE,$R10&lt;&gt;"")),AND($S$6=TRUE,$S10&lt;&gt;""),OR(AND($T$6=TRUE,$T10&lt;&gt;""),AND($U$6=TRUE,$U10&lt;&gt;""),AND($V$6=TRUE,$V10&lt;&gt;""),AND($W$6=TRUE,$W10&lt;&gt;""),AND($X$6=TRUE,$X10&lt;&gt;""),AND($Y$6=TRUE,$Y10&lt;&gt;""),AND($Z$6=TRUE,$Z10&lt;&gt;""),AND($AA$6=TRUE,$AA10&lt;&gt;""),AND($AB$6=TRUE,$AB10&lt;&gt;""),AND($AC$6=TRUE,$AC10&lt;&gt;"")),OR(AND($AD$6=TRUE,$AD10&lt;&gt;""),AND($AE$6=TRUE,$AE10&lt;&gt;""),AND($AF$6=TRUE,$AF10&lt;&gt;""),AND($AG$6=TRUE,$AG10&lt;&gt;""),AND($AH$6=TRUE,$AH10&lt;&gt;"")))</f>
        <v>0</v>
      </c>
      <c r="AJ10" s="94"/>
      <c r="AK10" s="94"/>
      <c r="AL10" s="94"/>
      <c r="AM10" s="94"/>
      <c r="AN10" s="170" t="str">
        <f>IF(AJ10&lt;&gt;"","セキュリティ管理/","")&amp;IF(AK10&lt;&gt;"","マルウェア/","")&amp;IF(AL10&lt;&gt;"","クラウド/","")&amp;IF(AM10&lt;&gt;"","別表1,2,3","")</f>
        <v/>
      </c>
      <c r="AO10" s="94"/>
    </row>
    <row r="11" spans="1:41" ht="225">
      <c r="A11" s="75"/>
      <c r="B11" s="82"/>
      <c r="C11" s="71" t="s">
        <v>1458</v>
      </c>
      <c r="D11" s="90" t="s">
        <v>478</v>
      </c>
      <c r="E11" s="91" t="str">
        <f>'運用プロセス(自社DC)'!E10</f>
        <v>システムで利用するハードウェアや記憶媒体を廃棄、または、リース会社へ機器を返却する場合のデータ消去※の確実な実施、記録、記録の保管についての運用が設計されているか。
※データ消去は第三者に廃棄を委託する場合も含め、以下のような復元不可能な方法で実施すること
　・消磁等の物理的消去　
　・データの上書き等の論理的消去　
　なお、消去にあたっては記憶媒体の特性を踏まえて選択する必要がある。
　例えばSSDは消磁が出来ないので注意すること。</v>
      </c>
      <c r="F11" s="91" t="s">
        <v>1459</v>
      </c>
      <c r="G11" s="92" t="s">
        <v>254</v>
      </c>
      <c r="H11" s="181"/>
      <c r="I11" s="181"/>
      <c r="J11" s="94"/>
      <c r="K11" s="94"/>
      <c r="L11" s="94"/>
      <c r="M11" s="94"/>
      <c r="N11" s="247"/>
      <c r="O11" s="111" cm="1">
        <f t="array" ref="O11">IF(AI11=TRUE,_xlfn.IFS(M11=1,2,M11="",IF(N11="",1,2)),0)</f>
        <v>0</v>
      </c>
      <c r="P11" s="95" t="s">
        <v>255</v>
      </c>
      <c r="Q11" s="95" t="s">
        <v>183</v>
      </c>
      <c r="R11" s="95" t="s">
        <v>183</v>
      </c>
      <c r="S11" s="95" t="s">
        <v>183</v>
      </c>
      <c r="T11" s="96" t="s">
        <v>183</v>
      </c>
      <c r="U11" s="96"/>
      <c r="V11" s="96"/>
      <c r="W11" s="96"/>
      <c r="X11" s="96" t="s">
        <v>448</v>
      </c>
      <c r="Y11" s="95"/>
      <c r="Z11" s="95"/>
      <c r="AA11" s="95"/>
      <c r="AB11" s="95"/>
      <c r="AC11" s="95"/>
      <c r="AD11" s="95" t="s">
        <v>183</v>
      </c>
      <c r="AE11" s="95" t="s">
        <v>183</v>
      </c>
      <c r="AF11" s="95"/>
      <c r="AG11" s="95"/>
      <c r="AH11" s="95"/>
      <c r="AI11" s="94" t="b">
        <f>AND(OR(AND($P$6=TRUE,$P11&lt;&gt;""),AND($Q$6=TRUE,$Q11&lt;&gt;""),AND($R$6=TRUE,$R11&lt;&gt;"")),AND($S$6=TRUE,$S11&lt;&gt;""),OR(AND($T$6=TRUE,$T11&lt;&gt;""),AND($U$6=TRUE,$U11&lt;&gt;""),AND($V$6=TRUE,$V11&lt;&gt;""),AND($W$6=TRUE,$W11&lt;&gt;""),AND($X$6=TRUE,$X11&lt;&gt;""),AND($Y$6=TRUE,$Y11&lt;&gt;""),AND($Z$6=TRUE,$Z11&lt;&gt;""),AND($AA$6=TRUE,$AA11&lt;&gt;""),AND($AB$6=TRUE,$AB11&lt;&gt;""),AND($AC$6=TRUE,$AC11&lt;&gt;"")),OR(AND($AD$6=TRUE,$AD11&lt;&gt;""),AND($AE$6=TRUE,$AE11&lt;&gt;""),AND($AF$6=TRUE,$AF11&lt;&gt;""),AND($AG$6=TRUE,$AG11&lt;&gt;""),AND($AH$6=TRUE,$AH11&lt;&gt;"")))</f>
        <v>0</v>
      </c>
      <c r="AJ11" s="94"/>
      <c r="AK11" s="94"/>
      <c r="AL11" s="94"/>
      <c r="AM11" s="94"/>
      <c r="AN11" s="170" t="str">
        <f>IF(AJ11&lt;&gt;"","セキュリティ管理/","")&amp;IF(AK11&lt;&gt;"","マルウェア/","")&amp;IF(AL11&lt;&gt;"","クラウド/","")&amp;IF(AM11&lt;&gt;"","別表1,2,3","")</f>
        <v/>
      </c>
      <c r="AO11" s="94"/>
    </row>
    <row r="12" spans="1:41" ht="67.5">
      <c r="A12" s="75"/>
      <c r="B12" s="82"/>
      <c r="C12" s="71" t="s">
        <v>2265</v>
      </c>
      <c r="D12" s="90" t="s">
        <v>259</v>
      </c>
      <c r="E12" s="91" t="str">
        <f>'運用プロセス(自社DC)'!E11</f>
        <v>システムで利用するハードウェアや記憶媒体を廃棄、または、リース会社へ機器を返却する場合のデータ消去を他社に委託する場合、委託先との間での秘密保持契約を締結する運用としているか。</v>
      </c>
      <c r="F12" s="91" t="s">
        <v>1399</v>
      </c>
      <c r="G12" s="92" t="s">
        <v>254</v>
      </c>
      <c r="H12" s="181"/>
      <c r="I12" s="181"/>
      <c r="J12" s="94"/>
      <c r="K12" s="94"/>
      <c r="L12" s="94"/>
      <c r="M12" s="94"/>
      <c r="N12" s="247"/>
      <c r="O12" s="111" cm="1">
        <f t="array" ref="O12">IF(AI12=TRUE,_xlfn.IFS(M12=1,2,M12="",IF(N12="",1,2)),0)</f>
        <v>0</v>
      </c>
      <c r="P12" s="95" t="s">
        <v>255</v>
      </c>
      <c r="Q12" s="95" t="s">
        <v>183</v>
      </c>
      <c r="R12" s="95" t="s">
        <v>183</v>
      </c>
      <c r="S12" s="95" t="s">
        <v>183</v>
      </c>
      <c r="T12" s="96" t="s">
        <v>183</v>
      </c>
      <c r="U12" s="96"/>
      <c r="V12" s="96"/>
      <c r="W12" s="96"/>
      <c r="X12" s="96" t="s">
        <v>448</v>
      </c>
      <c r="Y12" s="95"/>
      <c r="Z12" s="95"/>
      <c r="AA12" s="95"/>
      <c r="AB12" s="95"/>
      <c r="AC12" s="95"/>
      <c r="AD12" s="95" t="s">
        <v>183</v>
      </c>
      <c r="AE12" s="95" t="s">
        <v>183</v>
      </c>
      <c r="AF12" s="95"/>
      <c r="AG12" s="95"/>
      <c r="AH12" s="95"/>
      <c r="AI12" s="94" t="b">
        <f>AND(OR(AND($P$6=TRUE,$P12&lt;&gt;""),AND($Q$6=TRUE,$Q12&lt;&gt;""),AND($R$6=TRUE,$R12&lt;&gt;"")),AND($S$6=TRUE,$S12&lt;&gt;""),OR(AND($T$6=TRUE,$T12&lt;&gt;""),AND($U$6=TRUE,$U12&lt;&gt;""),AND($V$6=TRUE,$V12&lt;&gt;""),AND($W$6=TRUE,$W12&lt;&gt;""),AND($X$6=TRUE,$X12&lt;&gt;""),AND($Y$6=TRUE,$Y12&lt;&gt;""),AND($Z$6=TRUE,$Z12&lt;&gt;""),AND($AA$6=TRUE,$AA12&lt;&gt;""),AND($AB$6=TRUE,$AB12&lt;&gt;""),AND($AC$6=TRUE,$AC12&lt;&gt;"")),OR(AND($AD$6=TRUE,$AD12&lt;&gt;""),AND($AE$6=TRUE,$AE12&lt;&gt;""),AND($AF$6=TRUE,$AF12&lt;&gt;""),AND($AG$6=TRUE,$AG12&lt;&gt;""),AND($AH$6=TRUE,$AH12&lt;&gt;"")))</f>
        <v>0</v>
      </c>
      <c r="AJ12" s="94"/>
      <c r="AK12" s="94"/>
      <c r="AL12" s="94"/>
      <c r="AM12" s="94"/>
      <c r="AN12" s="170" t="str">
        <f>IF(AJ12&lt;&gt;"","セキュリティ管理/","")&amp;IF(AK12&lt;&gt;"","マルウェア/","")&amp;IF(AL12&lt;&gt;"","クラウド/","")&amp;IF(AM12&lt;&gt;"","別表1,2,3","")</f>
        <v/>
      </c>
      <c r="AO12" s="94"/>
    </row>
    <row r="13" spans="1:41" ht="67.5">
      <c r="A13" s="75"/>
      <c r="B13" s="82"/>
      <c r="C13" s="196" t="s">
        <v>2266</v>
      </c>
      <c r="D13" s="196" t="s">
        <v>262</v>
      </c>
      <c r="E13" s="91" t="str">
        <f>'運用プロセス(自社DC)'!E12</f>
        <v>ドメインを新規に取得する場合、あるいは既に利用しているドメインについては、そのドメインが将来的に不要になった場合でも悪意ある第三者による再利用（ドロップキャッチ）を防ぐ観点から解放せず保持し続ける前提で計画しているか。</v>
      </c>
      <c r="F13" s="91" t="s">
        <v>1151</v>
      </c>
      <c r="G13" s="92" t="s">
        <v>254</v>
      </c>
      <c r="H13" s="181"/>
      <c r="I13" s="181"/>
      <c r="J13" s="94"/>
      <c r="K13" s="94"/>
      <c r="L13" s="94"/>
      <c r="M13" s="94"/>
      <c r="N13" s="247"/>
      <c r="O13" s="111" cm="1">
        <f t="array" ref="O13">IF(AI13=TRUE,_xlfn.IFS(M13=1,2,M13="",IF(N13="",1,2)),0)</f>
        <v>0</v>
      </c>
      <c r="P13" s="95" t="s">
        <v>255</v>
      </c>
      <c r="Q13" s="95" t="s">
        <v>183</v>
      </c>
      <c r="R13" s="95" t="s">
        <v>183</v>
      </c>
      <c r="S13" s="95" t="s">
        <v>183</v>
      </c>
      <c r="T13" s="96" t="s">
        <v>183</v>
      </c>
      <c r="U13" s="96"/>
      <c r="V13" s="96"/>
      <c r="W13" s="96"/>
      <c r="X13" s="96" t="s">
        <v>448</v>
      </c>
      <c r="Y13" s="95"/>
      <c r="Z13" s="95"/>
      <c r="AA13" s="95"/>
      <c r="AB13" s="95"/>
      <c r="AC13" s="95"/>
      <c r="AD13" s="95" t="s">
        <v>183</v>
      </c>
      <c r="AE13" s="95" t="s">
        <v>183</v>
      </c>
      <c r="AF13" s="95"/>
      <c r="AG13" s="95"/>
      <c r="AH13" s="95"/>
      <c r="AI13" s="94" t="b">
        <f>AND(OR(AND($P$6=TRUE,$P13&lt;&gt;""),AND($Q$6=TRUE,$Q13&lt;&gt;""),AND($R$6=TRUE,$R13&lt;&gt;"")),AND($S$6=TRUE,$S13&lt;&gt;""),OR(AND($T$6=TRUE,$T13&lt;&gt;""),AND($U$6=TRUE,$U13&lt;&gt;""),AND($V$6=TRUE,$V13&lt;&gt;""),AND($W$6=TRUE,$W13&lt;&gt;""),AND($X$6=TRUE,$X13&lt;&gt;""),AND($Y$6=TRUE,$Y13&lt;&gt;""),AND($Z$6=TRUE,$Z13&lt;&gt;""),AND($AA$6=TRUE,$AA13&lt;&gt;""),AND($AB$6=TRUE,$AB13&lt;&gt;""),AND($AC$6=TRUE,$AC13&lt;&gt;"")),OR(AND($AD$6=TRUE,$AD13&lt;&gt;""),AND($AE$6=TRUE,$AE13&lt;&gt;""),AND($AF$6=TRUE,$AF13&lt;&gt;""),AND($AG$6=TRUE,$AG13&lt;&gt;""),AND($AH$6=TRUE,$AH13&lt;&gt;"")))</f>
        <v>0</v>
      </c>
      <c r="AJ13" s="94"/>
      <c r="AK13" s="94"/>
      <c r="AL13" s="94"/>
      <c r="AM13" s="94"/>
      <c r="AN13" s="170" t="str">
        <f>IF(AJ13&lt;&gt;"","セキュリティ管理/","")&amp;IF(AK13&lt;&gt;"","マルウェア/","")&amp;IF(AL13&lt;&gt;"","クラウド/","")&amp;IF(AM13&lt;&gt;"","別表1,2,3","")</f>
        <v/>
      </c>
      <c r="AO13" s="94" t="s">
        <v>2261</v>
      </c>
    </row>
    <row r="14" spans="1:41" ht="22.5">
      <c r="A14" s="75" t="s">
        <v>1309</v>
      </c>
      <c r="B14" s="75"/>
      <c r="C14" s="113"/>
      <c r="D14" s="76"/>
      <c r="E14" s="77"/>
      <c r="F14" s="77"/>
      <c r="G14" s="78"/>
      <c r="H14" s="79"/>
      <c r="I14" s="79"/>
      <c r="J14" s="80"/>
      <c r="K14" s="80"/>
      <c r="L14" s="80"/>
      <c r="M14" s="80"/>
      <c r="N14" s="245"/>
      <c r="O14" s="245"/>
      <c r="P14" s="80"/>
      <c r="Q14" s="80"/>
      <c r="R14" s="80"/>
      <c r="S14" s="80"/>
      <c r="T14" s="80"/>
      <c r="U14" s="80"/>
      <c r="V14" s="80"/>
      <c r="W14" s="80"/>
      <c r="X14" s="80"/>
      <c r="Y14" s="80"/>
      <c r="Z14" s="80"/>
      <c r="AA14" s="80"/>
      <c r="AB14" s="80"/>
      <c r="AC14" s="80"/>
      <c r="AD14" s="80"/>
      <c r="AE14" s="80"/>
      <c r="AF14" s="80"/>
      <c r="AG14" s="80"/>
      <c r="AH14" s="80"/>
      <c r="AI14" s="80" t="s">
        <v>268</v>
      </c>
      <c r="AJ14" s="80"/>
      <c r="AK14" s="80"/>
      <c r="AL14" s="80"/>
      <c r="AM14" s="80"/>
      <c r="AN14" s="80"/>
      <c r="AO14" s="80"/>
    </row>
    <row r="15" spans="1:41" ht="22.5">
      <c r="A15" s="75"/>
      <c r="B15" s="82"/>
      <c r="C15" s="115"/>
      <c r="D15" s="83"/>
      <c r="E15" s="84"/>
      <c r="F15" s="84"/>
      <c r="G15" s="85"/>
      <c r="H15" s="86"/>
      <c r="I15" s="86"/>
      <c r="J15" s="87"/>
      <c r="K15" s="87"/>
      <c r="L15" s="87"/>
      <c r="M15" s="87"/>
      <c r="N15" s="246"/>
      <c r="O15" s="246"/>
      <c r="P15" s="87"/>
      <c r="Q15" s="87"/>
      <c r="R15" s="87"/>
      <c r="S15" s="87"/>
      <c r="T15" s="89"/>
      <c r="U15" s="89"/>
      <c r="V15" s="89"/>
      <c r="W15" s="89"/>
      <c r="X15" s="89"/>
      <c r="Y15" s="89"/>
      <c r="Z15" s="89"/>
      <c r="AA15" s="89"/>
      <c r="AB15" s="89"/>
      <c r="AC15" s="89"/>
      <c r="AD15" s="89"/>
      <c r="AE15" s="89"/>
      <c r="AF15" s="89"/>
      <c r="AG15" s="89"/>
      <c r="AH15" s="89"/>
      <c r="AI15" s="89" t="s">
        <v>268</v>
      </c>
      <c r="AJ15" s="89"/>
      <c r="AK15" s="89"/>
      <c r="AL15" s="89"/>
      <c r="AM15" s="89"/>
      <c r="AN15" s="89"/>
      <c r="AO15" s="89"/>
    </row>
    <row r="16" spans="1:41" ht="202.9" customHeight="1">
      <c r="A16" s="75"/>
      <c r="B16" s="82"/>
      <c r="C16" s="71" t="s">
        <v>1460</v>
      </c>
      <c r="D16" s="90" t="s">
        <v>270</v>
      </c>
      <c r="E16" s="91" t="str">
        <f>'運用プロセス(自社DC)'!E15</f>
        <v>システムのユーザ、運用担当者のIDの発行管理（ID申請・登録・変更・削除など）に係わるルール・手順が文書で定められているか
また、以下のことがルール・手順として定められているか。
・運用担当者のIDの発行、変更、削除は管理者の承認がなければ実施できない
・本番データにアクセス可能なＩＤをシステム運用者に付与する場合の基準・対象者を明確にしている
・ユーザおよび運用担当者のIDの発行履歴（ID申請・登録・変更・削除など）を３年間保存する</v>
      </c>
      <c r="F16" s="91" t="s">
        <v>1461</v>
      </c>
      <c r="G16" s="92" t="s">
        <v>254</v>
      </c>
      <c r="H16" s="181"/>
      <c r="I16" s="181"/>
      <c r="J16" s="94"/>
      <c r="K16" s="94"/>
      <c r="L16" s="94"/>
      <c r="M16" s="94"/>
      <c r="N16" s="247"/>
      <c r="O16" s="111" cm="1">
        <f t="array" ref="O16">IF(AI16=TRUE,_xlfn.IFS(M16=1,2,M16="",IF(N16="",1,2)),0)</f>
        <v>0</v>
      </c>
      <c r="P16" s="95" t="s">
        <v>255</v>
      </c>
      <c r="Q16" s="95" t="s">
        <v>183</v>
      </c>
      <c r="R16" s="95" t="s">
        <v>183</v>
      </c>
      <c r="S16" s="95" t="s">
        <v>183</v>
      </c>
      <c r="T16" s="96" t="s">
        <v>183</v>
      </c>
      <c r="U16" s="96"/>
      <c r="V16" s="96"/>
      <c r="W16" s="96"/>
      <c r="X16" s="96" t="s">
        <v>448</v>
      </c>
      <c r="Y16" s="95"/>
      <c r="Z16" s="95"/>
      <c r="AA16" s="95"/>
      <c r="AB16" s="95"/>
      <c r="AC16" s="95"/>
      <c r="AD16" s="95" t="s">
        <v>183</v>
      </c>
      <c r="AE16" s="95" t="s">
        <v>183</v>
      </c>
      <c r="AF16" s="95"/>
      <c r="AG16" s="95" t="s">
        <v>255</v>
      </c>
      <c r="AH16" s="95"/>
      <c r="AI16" s="94" t="b">
        <f>AND(OR(AND($P$6=TRUE,$P16&lt;&gt;""),AND($Q$6=TRUE,$Q16&lt;&gt;""),AND($R$6=TRUE,$R16&lt;&gt;"")),AND($S$6=TRUE,$S16&lt;&gt;""),OR(AND($T$6=TRUE,$T16&lt;&gt;""),AND($U$6=TRUE,$U16&lt;&gt;""),AND($V$6=TRUE,$V16&lt;&gt;""),AND($W$6=TRUE,$W16&lt;&gt;""),AND($X$6=TRUE,$X16&lt;&gt;""),AND($Y$6=TRUE,$Y16&lt;&gt;""),AND($Z$6=TRUE,$Z16&lt;&gt;""),AND($AA$6=TRUE,$AA16&lt;&gt;""),AND($AB$6=TRUE,$AB16&lt;&gt;""),AND($AC$6=TRUE,$AC16&lt;&gt;"")),OR(AND($AD$6=TRUE,$AD16&lt;&gt;""),AND($AE$6=TRUE,$AE16&lt;&gt;""),AND($AF$6=TRUE,$AF16&lt;&gt;""),AND($AG$6=TRUE,$AG16&lt;&gt;""),AND($AH$6=TRUE,$AH16&lt;&gt;"")))</f>
        <v>0</v>
      </c>
      <c r="AJ16" s="94" t="s">
        <v>183</v>
      </c>
      <c r="AK16" s="94"/>
      <c r="AL16" s="94"/>
      <c r="AM16" s="94" t="s">
        <v>183</v>
      </c>
      <c r="AN16" s="170" t="str">
        <f>IF(AJ16&lt;&gt;"","セキュリティ管理/","")&amp;IF(AK16&lt;&gt;"","マルウェア/","")&amp;IF(AL16&lt;&gt;"","クラウド/","")&amp;IF(AM16&lt;&gt;"","別表1,2,3","")</f>
        <v>セキュリティ管理/別表1,2,3</v>
      </c>
      <c r="AO16" s="94"/>
    </row>
    <row r="17" spans="1:41" ht="112.5">
      <c r="A17" s="75"/>
      <c r="B17" s="82"/>
      <c r="C17" s="71" t="s">
        <v>1462</v>
      </c>
      <c r="D17" s="90" t="s">
        <v>562</v>
      </c>
      <c r="E17" s="91" t="str">
        <f>'運用プロセス(自社DC)'!E16</f>
        <v xml:space="preserve">不要もしくは一定期間利用されていない運用担当者アカウントの棚卸を定期的に実施する運用を設計しているか。
また、IDの有効期間を経過した場合は、期間終了時に利用不可とし、
人事異動に伴う事象では人事システムと連動することで不要な権限の剥奪を自動化しているか
</v>
      </c>
      <c r="F17" s="91" t="s">
        <v>1463</v>
      </c>
      <c r="G17" s="92" t="s">
        <v>254</v>
      </c>
      <c r="H17" s="181"/>
      <c r="I17" s="181"/>
      <c r="J17" s="97" t="s">
        <v>1314</v>
      </c>
      <c r="K17" s="94"/>
      <c r="L17" s="94"/>
      <c r="M17" s="94"/>
      <c r="N17" s="247"/>
      <c r="O17" s="111" cm="1">
        <f t="array" ref="O17">IF(AI17=TRUE,_xlfn.IFS(M17=1,2,M17="",IF(N17="",1,2)),0)</f>
        <v>0</v>
      </c>
      <c r="P17" s="95" t="s">
        <v>255</v>
      </c>
      <c r="Q17" s="95" t="s">
        <v>183</v>
      </c>
      <c r="R17" s="95" t="s">
        <v>183</v>
      </c>
      <c r="S17" s="95" t="s">
        <v>183</v>
      </c>
      <c r="T17" s="96" t="s">
        <v>183</v>
      </c>
      <c r="U17" s="96"/>
      <c r="V17" s="96"/>
      <c r="W17" s="96"/>
      <c r="X17" s="96" t="s">
        <v>448</v>
      </c>
      <c r="Y17" s="95"/>
      <c r="Z17" s="95"/>
      <c r="AA17" s="95"/>
      <c r="AB17" s="95"/>
      <c r="AC17" s="95"/>
      <c r="AD17" s="95" t="s">
        <v>183</v>
      </c>
      <c r="AE17" s="95" t="s">
        <v>183</v>
      </c>
      <c r="AF17" s="95"/>
      <c r="AG17" s="95" t="s">
        <v>255</v>
      </c>
      <c r="AH17" s="95"/>
      <c r="AI17" s="94" t="b">
        <f>AND(OR(AND($P$6=TRUE,$P17&lt;&gt;""),AND($Q$6=TRUE,$Q17&lt;&gt;""),AND($R$6=TRUE,$R17&lt;&gt;"")),AND($S$6=TRUE,$S17&lt;&gt;""),OR(AND($T$6=TRUE,$T17&lt;&gt;""),AND($U$6=TRUE,$U17&lt;&gt;""),AND($V$6=TRUE,$V17&lt;&gt;""),AND($W$6=TRUE,$W17&lt;&gt;""),AND($X$6=TRUE,$X17&lt;&gt;""),AND($Y$6=TRUE,$Y17&lt;&gt;""),AND($Z$6=TRUE,$Z17&lt;&gt;""),AND($AA$6=TRUE,$AA17&lt;&gt;""),AND($AB$6=TRUE,$AB17&lt;&gt;""),AND($AC$6=TRUE,$AC17&lt;&gt;"")),OR(AND($AD$6=TRUE,$AD17&lt;&gt;""),AND($AE$6=TRUE,$AE17&lt;&gt;""),AND($AF$6=TRUE,$AF17&lt;&gt;""),AND($AG$6=TRUE,$AG17&lt;&gt;""),AND($AH$6=TRUE,$AH17&lt;&gt;"")))</f>
        <v>0</v>
      </c>
      <c r="AJ17" s="94" t="s">
        <v>183</v>
      </c>
      <c r="AK17" s="94"/>
      <c r="AL17" s="94"/>
      <c r="AM17" s="94" t="s">
        <v>183</v>
      </c>
      <c r="AN17" s="170" t="str">
        <f>IF(AJ17&lt;&gt;"","セキュリティ管理/","")&amp;IF(AK17&lt;&gt;"","マルウェア/","")&amp;IF(AL17&lt;&gt;"","クラウド/","")&amp;IF(AM17&lt;&gt;"","別表1,2,3","")</f>
        <v>セキュリティ管理/別表1,2,3</v>
      </c>
      <c r="AO17" s="94"/>
    </row>
    <row r="18" spans="1:41" ht="45">
      <c r="A18" s="75"/>
      <c r="B18" s="82"/>
      <c r="C18" s="71" t="s">
        <v>1464</v>
      </c>
      <c r="D18" s="90" t="s">
        <v>565</v>
      </c>
      <c r="E18" s="91" t="str">
        <f>'運用プロセス(自社DC)'!E17</f>
        <v>オーナ部門用ＩＤを発行するシステムの場合は、ＩＤの使用要否をＩＤ所有者へ定期的に確認する運用を設計しているか。</v>
      </c>
      <c r="F18" s="91" t="s">
        <v>1465</v>
      </c>
      <c r="G18" s="92" t="s">
        <v>254</v>
      </c>
      <c r="H18" s="181"/>
      <c r="I18" s="181"/>
      <c r="J18" s="94"/>
      <c r="K18" s="94"/>
      <c r="L18" s="94"/>
      <c r="M18" s="94"/>
      <c r="N18" s="247"/>
      <c r="O18" s="111" cm="1">
        <f t="array" ref="O18">IF(AI18=TRUE,_xlfn.IFS(M18=1,2,M18="",IF(N18="",1,2)),0)</f>
        <v>0</v>
      </c>
      <c r="P18" s="95" t="s">
        <v>255</v>
      </c>
      <c r="Q18" s="95" t="s">
        <v>183</v>
      </c>
      <c r="R18" s="95" t="s">
        <v>183</v>
      </c>
      <c r="S18" s="95" t="s">
        <v>183</v>
      </c>
      <c r="T18" s="95" t="s">
        <v>183</v>
      </c>
      <c r="U18" s="95"/>
      <c r="V18" s="95"/>
      <c r="W18" s="95"/>
      <c r="X18" s="96" t="s">
        <v>448</v>
      </c>
      <c r="Y18" s="95"/>
      <c r="Z18" s="95"/>
      <c r="AA18" s="95"/>
      <c r="AB18" s="95"/>
      <c r="AC18" s="95"/>
      <c r="AD18" s="95" t="s">
        <v>183</v>
      </c>
      <c r="AE18" s="95" t="s">
        <v>183</v>
      </c>
      <c r="AF18" s="95"/>
      <c r="AG18" s="95"/>
      <c r="AH18" s="95"/>
      <c r="AI18" s="94" t="b">
        <f>AND(OR(AND($P$6=TRUE,$P18&lt;&gt;""),AND($Q$6=TRUE,$Q18&lt;&gt;""),AND($R$6=TRUE,$R18&lt;&gt;"")),AND($S$6=TRUE,$S18&lt;&gt;""),OR(AND($T$6=TRUE,$T18&lt;&gt;""),AND($U$6=TRUE,$U18&lt;&gt;""),AND($V$6=TRUE,$V18&lt;&gt;""),AND($W$6=TRUE,$W18&lt;&gt;""),AND($X$6=TRUE,$X18&lt;&gt;""),AND($Y$6=TRUE,$Y18&lt;&gt;""),AND($Z$6=TRUE,$Z18&lt;&gt;""),AND($AA$6=TRUE,$AA18&lt;&gt;""),AND($AB$6=TRUE,$AB18&lt;&gt;""),AND($AC$6=TRUE,$AC18&lt;&gt;"")),OR(AND($AD$6=TRUE,$AD18&lt;&gt;""),AND($AE$6=TRUE,$AE18&lt;&gt;""),AND($AF$6=TRUE,$AF18&lt;&gt;""),AND($AG$6=TRUE,$AG18&lt;&gt;""),AND($AH$6=TRUE,$AH18&lt;&gt;"")))</f>
        <v>0</v>
      </c>
      <c r="AJ18" s="94"/>
      <c r="AK18" s="94"/>
      <c r="AL18" s="94"/>
      <c r="AM18" s="94"/>
      <c r="AN18" s="170" t="str">
        <f>IF(AJ18&lt;&gt;"","セキュリティ管理/","")&amp;IF(AK18&lt;&gt;"","マルウェア/","")&amp;IF(AL18&lt;&gt;"","クラウド/","")&amp;IF(AM18&lt;&gt;"","別表1,2,3","")</f>
        <v/>
      </c>
      <c r="AO18" s="94"/>
    </row>
    <row r="19" spans="1:41" ht="112.5">
      <c r="A19" s="75"/>
      <c r="B19" s="82"/>
      <c r="C19" s="71" t="s">
        <v>1466</v>
      </c>
      <c r="D19" s="90" t="s">
        <v>756</v>
      </c>
      <c r="E19" s="98" t="str">
        <f>'運用プロセス(自社DC)'!E18</f>
        <v>特権IDの作成権限をもつIDや、マイナンバー(法人番号は含まない)・クレカ情報へのアクセス権をもつIDの管理業務(※)は、ID管理部門(当社においてはITサ支援部)が行う運用としているか。
※管理業務とは、IDの新規作成、貸出、廃止、PW変更、PWロック解除、棚卸を指す。</v>
      </c>
      <c r="F19" s="98" t="s">
        <v>1467</v>
      </c>
      <c r="G19" s="92" t="s">
        <v>254</v>
      </c>
      <c r="H19" s="181"/>
      <c r="I19" s="181"/>
      <c r="J19" s="94"/>
      <c r="K19" s="94"/>
      <c r="L19" s="94"/>
      <c r="M19" s="94"/>
      <c r="N19" s="247"/>
      <c r="O19" s="111" cm="1">
        <f t="array" ref="O19">IF(AI19=TRUE,_xlfn.IFS(M19=1,2,M19="",IF(N19="",1,2)),0)</f>
        <v>0</v>
      </c>
      <c r="P19" s="95" t="s">
        <v>255</v>
      </c>
      <c r="Q19" s="95" t="s">
        <v>183</v>
      </c>
      <c r="R19" s="95" t="s">
        <v>183</v>
      </c>
      <c r="S19" s="95" t="s">
        <v>183</v>
      </c>
      <c r="T19" s="96" t="s">
        <v>183</v>
      </c>
      <c r="U19" s="96"/>
      <c r="V19" s="96"/>
      <c r="W19" s="96"/>
      <c r="X19" s="96" t="s">
        <v>448</v>
      </c>
      <c r="Y19" s="95"/>
      <c r="Z19" s="95"/>
      <c r="AA19" s="95"/>
      <c r="AB19" s="95"/>
      <c r="AC19" s="95" t="s">
        <v>183</v>
      </c>
      <c r="AD19" s="95" t="s">
        <v>183</v>
      </c>
      <c r="AE19" s="95" t="s">
        <v>183</v>
      </c>
      <c r="AF19" s="95"/>
      <c r="AG19" s="95" t="s">
        <v>255</v>
      </c>
      <c r="AH19" s="95"/>
      <c r="AI19" s="94" t="b">
        <f>AND(OR(AND($P$6=TRUE,$P19&lt;&gt;""),AND($Q$6=TRUE,$Q19&lt;&gt;""),AND($R$6=TRUE,$R19&lt;&gt;"")),AND($S$6=TRUE,$S19&lt;&gt;""),OR(AND($T$6=TRUE,$T19&lt;&gt;""),AND($U$6=TRUE,$U19&lt;&gt;""),AND($V$6=TRUE,$V19&lt;&gt;""),AND($W$6=TRUE,$W19&lt;&gt;""),AND($X$6=TRUE,$X19&lt;&gt;""),AND($Y$6=TRUE,$Y19&lt;&gt;""),AND($Z$6=TRUE,$Z19&lt;&gt;""),AND($AA$6=TRUE,$AA19&lt;&gt;""),AND($AB$6=TRUE,$AB19&lt;&gt;""),AND($AC$6=TRUE,$AC19&lt;&gt;"")),OR(AND($AD$6=TRUE,$AD19&lt;&gt;""),AND($AE$6=TRUE,$AE19&lt;&gt;""),AND($AF$6=TRUE,$AF19&lt;&gt;""),AND($AG$6=TRUE,$AG19&lt;&gt;""),AND($AH$6=TRUE,$AH19&lt;&gt;"")))</f>
        <v>0</v>
      </c>
      <c r="AJ19" s="94" t="s">
        <v>183</v>
      </c>
      <c r="AK19" s="94"/>
      <c r="AL19" s="94"/>
      <c r="AM19" s="94"/>
      <c r="AN19" s="170" t="str">
        <f>IF(AJ19&lt;&gt;"","セキュリティ管理/","")&amp;IF(AK19&lt;&gt;"","マルウェア/","")&amp;IF(AL19&lt;&gt;"","クラウド/","")&amp;IF(AM19&lt;&gt;"","別表1,2,3","")</f>
        <v>セキュリティ管理/</v>
      </c>
      <c r="AO19" s="94"/>
    </row>
    <row r="20" spans="1:41" ht="135">
      <c r="A20" s="75"/>
      <c r="B20" s="82"/>
      <c r="C20" s="71" t="s">
        <v>1468</v>
      </c>
      <c r="D20" s="90" t="s">
        <v>758</v>
      </c>
      <c r="E20" s="91" t="str">
        <f>'運用プロセス(自社DC)'!E19</f>
        <v xml:space="preserve">特権IDを保有しない要員へ障害対応などにより一時的に特権IDを払い出す時は、その申請ルール（運用部門への申請を必要とする）を定めているか。
また、上記の目的で貸し出された特権IＤや強い権限のパーミッション等は使用期間を経過したら使用できない仕組み(実装や運用)になっているか。
</v>
      </c>
      <c r="F20" s="99" t="s">
        <v>1120</v>
      </c>
      <c r="G20" s="92" t="s">
        <v>254</v>
      </c>
      <c r="H20" s="181"/>
      <c r="I20" s="181"/>
      <c r="J20" s="94"/>
      <c r="K20" s="94"/>
      <c r="L20" s="94"/>
      <c r="M20" s="94"/>
      <c r="N20" s="247"/>
      <c r="O20" s="111" cm="1">
        <f t="array" ref="O20">IF(AI20=TRUE,_xlfn.IFS(M20=1,2,M20="",IF(N20="",1,2)),0)</f>
        <v>0</v>
      </c>
      <c r="P20" s="95" t="s">
        <v>255</v>
      </c>
      <c r="Q20" s="95" t="s">
        <v>183</v>
      </c>
      <c r="R20" s="95" t="s">
        <v>183</v>
      </c>
      <c r="S20" s="95" t="s">
        <v>183</v>
      </c>
      <c r="T20" s="96" t="s">
        <v>183</v>
      </c>
      <c r="U20" s="96"/>
      <c r="V20" s="96"/>
      <c r="W20" s="96"/>
      <c r="X20" s="96" t="s">
        <v>448</v>
      </c>
      <c r="Y20" s="95"/>
      <c r="Z20" s="95"/>
      <c r="AA20" s="95"/>
      <c r="AB20" s="95"/>
      <c r="AC20" s="95"/>
      <c r="AD20" s="95" t="s">
        <v>183</v>
      </c>
      <c r="AE20" s="95" t="s">
        <v>183</v>
      </c>
      <c r="AF20" s="95"/>
      <c r="AG20" s="95" t="s">
        <v>255</v>
      </c>
      <c r="AH20" s="95"/>
      <c r="AI20" s="94" t="b">
        <f>AND(OR(AND($P$6=TRUE,$P20&lt;&gt;""),AND($Q$6=TRUE,$Q20&lt;&gt;""),AND($R$6=TRUE,$R20&lt;&gt;"")),AND($S$6=TRUE,$S20&lt;&gt;""),OR(AND($T$6=TRUE,$T20&lt;&gt;""),AND($U$6=TRUE,$U20&lt;&gt;""),AND($V$6=TRUE,$V20&lt;&gt;""),AND($W$6=TRUE,$W20&lt;&gt;""),AND($X$6=TRUE,$X20&lt;&gt;""),AND($Y$6=TRUE,$Y20&lt;&gt;""),AND($Z$6=TRUE,$Z20&lt;&gt;""),AND($AA$6=TRUE,$AA20&lt;&gt;""),AND($AB$6=TRUE,$AB20&lt;&gt;""),AND($AC$6=TRUE,$AC20&lt;&gt;"")),OR(AND($AD$6=TRUE,$AD20&lt;&gt;""),AND($AE$6=TRUE,$AE20&lt;&gt;""),AND($AF$6=TRUE,$AF20&lt;&gt;""),AND($AG$6=TRUE,$AG20&lt;&gt;""),AND($AH$6=TRUE,$AH20&lt;&gt;"")))</f>
        <v>0</v>
      </c>
      <c r="AJ20" s="94" t="s">
        <v>183</v>
      </c>
      <c r="AK20" s="94"/>
      <c r="AL20" s="94"/>
      <c r="AM20" s="94" t="s">
        <v>183</v>
      </c>
      <c r="AN20" s="170" t="str">
        <f>IF(AJ20&lt;&gt;"","セキュリティ管理/","")&amp;IF(AK20&lt;&gt;"","マルウェア/","")&amp;IF(AL20&lt;&gt;"","クラウド/","")&amp;IF(AM20&lt;&gt;"","別表1,2,3","")</f>
        <v>セキュリティ管理/別表1,2,3</v>
      </c>
      <c r="AO20" s="94"/>
    </row>
    <row r="21" spans="1:41" ht="22.5">
      <c r="A21" s="75" t="s">
        <v>1321</v>
      </c>
      <c r="B21" s="75"/>
      <c r="C21" s="113"/>
      <c r="D21" s="76"/>
      <c r="E21" s="77"/>
      <c r="F21" s="77"/>
      <c r="G21" s="78"/>
      <c r="H21" s="79"/>
      <c r="I21" s="79"/>
      <c r="J21" s="80"/>
      <c r="K21" s="80"/>
      <c r="L21" s="80"/>
      <c r="M21" s="80"/>
      <c r="N21" s="245"/>
      <c r="O21" s="245"/>
      <c r="P21" s="80"/>
      <c r="Q21" s="80"/>
      <c r="R21" s="80"/>
      <c r="S21" s="80"/>
      <c r="T21" s="80"/>
      <c r="U21" s="80"/>
      <c r="V21" s="80"/>
      <c r="W21" s="80"/>
      <c r="X21" s="80"/>
      <c r="Y21" s="80"/>
      <c r="Z21" s="80"/>
      <c r="AA21" s="80"/>
      <c r="AB21" s="80"/>
      <c r="AC21" s="80"/>
      <c r="AD21" s="80"/>
      <c r="AE21" s="80"/>
      <c r="AF21" s="80"/>
      <c r="AG21" s="80"/>
      <c r="AH21" s="80"/>
      <c r="AI21" s="80" t="s">
        <v>268</v>
      </c>
      <c r="AJ21" s="80"/>
      <c r="AK21" s="80"/>
      <c r="AL21" s="80"/>
      <c r="AM21" s="80"/>
      <c r="AN21" s="80"/>
      <c r="AO21" s="80"/>
    </row>
    <row r="22" spans="1:41" ht="22.5">
      <c r="A22" s="75"/>
      <c r="B22" s="82" t="s">
        <v>1322</v>
      </c>
      <c r="C22" s="115"/>
      <c r="D22" s="83"/>
      <c r="E22" s="84"/>
      <c r="F22" s="84"/>
      <c r="G22" s="85"/>
      <c r="H22" s="86"/>
      <c r="I22" s="86"/>
      <c r="J22" s="87"/>
      <c r="K22" s="87"/>
      <c r="L22" s="87"/>
      <c r="M22" s="87"/>
      <c r="N22" s="246"/>
      <c r="O22" s="246"/>
      <c r="P22" s="87"/>
      <c r="Q22" s="87"/>
      <c r="R22" s="87"/>
      <c r="S22" s="87"/>
      <c r="T22" s="87"/>
      <c r="U22" s="87"/>
      <c r="V22" s="87"/>
      <c r="W22" s="87"/>
      <c r="X22" s="87"/>
      <c r="Y22" s="87"/>
      <c r="Z22" s="87"/>
      <c r="AA22" s="87"/>
      <c r="AB22" s="87"/>
      <c r="AC22" s="87"/>
      <c r="AD22" s="87"/>
      <c r="AE22" s="87"/>
      <c r="AF22" s="87"/>
      <c r="AG22" s="87"/>
      <c r="AH22" s="87"/>
      <c r="AI22" s="87" t="s">
        <v>268</v>
      </c>
      <c r="AJ22" s="87"/>
      <c r="AK22" s="87"/>
      <c r="AL22" s="87"/>
      <c r="AM22" s="87"/>
      <c r="AN22" s="87"/>
      <c r="AO22" s="87"/>
    </row>
    <row r="23" spans="1:41" ht="45">
      <c r="A23" s="75"/>
      <c r="B23" s="82"/>
      <c r="C23" s="71" t="s">
        <v>1469</v>
      </c>
      <c r="D23" s="90" t="s">
        <v>274</v>
      </c>
      <c r="E23" s="91" t="str">
        <f>'運用プロセス(自社DC)'!E22</f>
        <v>開発担当者による定例的な作業や、特権IDの使用を前提とした定例運用を行わないよう設計しているか。</v>
      </c>
      <c r="F23" s="91" t="s">
        <v>1470</v>
      </c>
      <c r="G23" s="92" t="s">
        <v>254</v>
      </c>
      <c r="H23" s="181"/>
      <c r="I23" s="181"/>
      <c r="J23" s="94"/>
      <c r="K23" s="94"/>
      <c r="L23" s="94"/>
      <c r="M23" s="94"/>
      <c r="N23" s="247"/>
      <c r="O23" s="111" cm="1">
        <f t="array" ref="O23">IF(AI23=TRUE,_xlfn.IFS(M23=1,2,M23="",IF(N23="",1,2)),0)</f>
        <v>0</v>
      </c>
      <c r="P23" s="95" t="s">
        <v>255</v>
      </c>
      <c r="Q23" s="95" t="s">
        <v>183</v>
      </c>
      <c r="R23" s="95" t="s">
        <v>183</v>
      </c>
      <c r="S23" s="95" t="s">
        <v>183</v>
      </c>
      <c r="T23" s="96" t="s">
        <v>183</v>
      </c>
      <c r="U23" s="96"/>
      <c r="V23" s="96"/>
      <c r="W23" s="96"/>
      <c r="X23" s="96" t="s">
        <v>448</v>
      </c>
      <c r="Y23" s="95"/>
      <c r="Z23" s="95"/>
      <c r="AA23" s="95"/>
      <c r="AB23" s="95" t="s">
        <v>448</v>
      </c>
      <c r="AC23" s="95" t="s">
        <v>448</v>
      </c>
      <c r="AD23" s="95" t="s">
        <v>183</v>
      </c>
      <c r="AE23" s="95" t="s">
        <v>183</v>
      </c>
      <c r="AF23" s="95"/>
      <c r="AG23" s="95"/>
      <c r="AH23" s="95"/>
      <c r="AI23" s="94" t="b">
        <f t="shared" ref="AI23:AI32" si="0">AND(OR(AND($P$6=TRUE,$P23&lt;&gt;""),AND($Q$6=TRUE,$Q23&lt;&gt;""),AND($R$6=TRUE,$R23&lt;&gt;"")),AND($S$6=TRUE,$S23&lt;&gt;""),OR(AND($T$6=TRUE,$T23&lt;&gt;""),AND($U$6=TRUE,$U23&lt;&gt;""),AND($V$6=TRUE,$V23&lt;&gt;""),AND($W$6=TRUE,$W23&lt;&gt;""),AND($X$6=TRUE,$X23&lt;&gt;""),AND($Y$6=TRUE,$Y23&lt;&gt;""),AND($Z$6=TRUE,$Z23&lt;&gt;""),AND($AA$6=TRUE,$AA23&lt;&gt;""),AND($AB$6=TRUE,$AB23&lt;&gt;""),AND($AC$6=TRUE,$AC23&lt;&gt;"")),OR(AND($AD$6=TRUE,$AD23&lt;&gt;""),AND($AE$6=TRUE,$AE23&lt;&gt;""),AND($AF$6=TRUE,$AF23&lt;&gt;""),AND($AG$6=TRUE,$AG23&lt;&gt;""),AND($AH$6=TRUE,$AH23&lt;&gt;"")))</f>
        <v>0</v>
      </c>
      <c r="AJ23" s="94"/>
      <c r="AK23" s="94"/>
      <c r="AL23" s="94"/>
      <c r="AM23" s="94"/>
      <c r="AN23" s="170" t="str">
        <f t="shared" ref="AN23:AN31" si="1">IF(AJ23&lt;&gt;"","セキュリティ管理/","")&amp;IF(AK23&lt;&gt;"","マルウェア/","")&amp;IF(AL23&lt;&gt;"","クラウド/","")&amp;IF(AM23&lt;&gt;"","別表1,2,3","")</f>
        <v/>
      </c>
      <c r="AO23" s="94"/>
    </row>
    <row r="24" spans="1:41" ht="90">
      <c r="A24" s="75"/>
      <c r="B24" s="82"/>
      <c r="C24" s="71" t="s">
        <v>1471</v>
      </c>
      <c r="D24" s="90" t="s">
        <v>277</v>
      </c>
      <c r="E24" s="91" t="str">
        <f>'運用プロセス(自社DC)'!E23</f>
        <v>システムで利用しているコンポーネントのVerなどの構成情報を取得し、常に最新の情報となるよう管理すること。また、収集した構成情報はITサービス管理部と共有できる体制を整備すること。
なお、当社内環境に構築したシステムにおいては、SAM基盤による構成管理が標準である。</v>
      </c>
      <c r="F24" s="99" t="s">
        <v>1151</v>
      </c>
      <c r="G24" s="92" t="s">
        <v>254</v>
      </c>
      <c r="H24" s="181"/>
      <c r="I24" s="181"/>
      <c r="J24" s="94"/>
      <c r="K24" s="94"/>
      <c r="L24" s="94"/>
      <c r="M24" s="94"/>
      <c r="N24" s="247"/>
      <c r="O24" s="111" cm="1">
        <f t="array" ref="O24">IF(AI24=TRUE,_xlfn.IFS(M24=1,2,M24="",IF(N24="",1,2)),0)</f>
        <v>0</v>
      </c>
      <c r="P24" s="95" t="s">
        <v>255</v>
      </c>
      <c r="Q24" s="95" t="s">
        <v>183</v>
      </c>
      <c r="R24" s="95" t="s">
        <v>183</v>
      </c>
      <c r="S24" s="95" t="s">
        <v>183</v>
      </c>
      <c r="T24" s="96" t="s">
        <v>183</v>
      </c>
      <c r="U24" s="96"/>
      <c r="V24" s="96"/>
      <c r="W24" s="96"/>
      <c r="X24" s="96" t="s">
        <v>448</v>
      </c>
      <c r="Y24" s="95"/>
      <c r="Z24" s="95"/>
      <c r="AA24" s="95"/>
      <c r="AB24" s="95" t="s">
        <v>448</v>
      </c>
      <c r="AC24" s="95" t="s">
        <v>448</v>
      </c>
      <c r="AD24" s="95" t="s">
        <v>183</v>
      </c>
      <c r="AE24" s="95" t="s">
        <v>183</v>
      </c>
      <c r="AF24" s="95"/>
      <c r="AG24" s="95"/>
      <c r="AH24" s="95"/>
      <c r="AI24" s="94" t="b">
        <f t="shared" si="0"/>
        <v>0</v>
      </c>
      <c r="AJ24" s="94"/>
      <c r="AK24" s="94"/>
      <c r="AL24" s="94"/>
      <c r="AM24" s="94"/>
      <c r="AN24" s="170" t="str">
        <f t="shared" si="1"/>
        <v/>
      </c>
      <c r="AO24" s="94" t="s">
        <v>563</v>
      </c>
    </row>
    <row r="25" spans="1:41" ht="112.5">
      <c r="A25" s="75"/>
      <c r="B25" s="82"/>
      <c r="C25" s="71" t="s">
        <v>1472</v>
      </c>
      <c r="D25" s="90" t="s">
        <v>573</v>
      </c>
      <c r="E25" s="91" t="str">
        <f>'運用プロセス(自社DC)'!E24</f>
        <v>利用しているコンポーネントで脆弱性が公表された場合は影響を受けるかどうか確認し、影響がある場合はITサービス管理部へ共有する運用を設計しているか。
なお、当社内環境に構築したセキュリティ対応ランクA、セキュリティ対応ランクＢ－１、ひとり一台端末からの直接通信要件のあるシステムについては、Rapid7による脆弱性管理が標準である。</v>
      </c>
      <c r="F25" s="99" t="s">
        <v>2264</v>
      </c>
      <c r="G25" s="92" t="s">
        <v>254</v>
      </c>
      <c r="H25" s="181"/>
      <c r="I25" s="181"/>
      <c r="J25" s="94"/>
      <c r="K25" s="94"/>
      <c r="L25" s="94"/>
      <c r="M25" s="94"/>
      <c r="N25" s="247"/>
      <c r="O25" s="111" cm="1">
        <f t="array" ref="O25">IF(AI25=TRUE,_xlfn.IFS(M25=1,2,M25="",IF(N25="",1,2)),0)</f>
        <v>0</v>
      </c>
      <c r="P25" s="95" t="s">
        <v>255</v>
      </c>
      <c r="Q25" s="95" t="s">
        <v>183</v>
      </c>
      <c r="R25" s="95" t="s">
        <v>183</v>
      </c>
      <c r="S25" s="95" t="s">
        <v>183</v>
      </c>
      <c r="T25" s="96" t="s">
        <v>183</v>
      </c>
      <c r="U25" s="96"/>
      <c r="V25" s="96"/>
      <c r="W25" s="96"/>
      <c r="X25" s="96" t="s">
        <v>448</v>
      </c>
      <c r="Y25" s="95"/>
      <c r="Z25" s="95"/>
      <c r="AA25" s="95"/>
      <c r="AB25" s="95" t="s">
        <v>448</v>
      </c>
      <c r="AC25" s="95" t="s">
        <v>448</v>
      </c>
      <c r="AD25" s="95" t="s">
        <v>183</v>
      </c>
      <c r="AE25" s="95" t="s">
        <v>183</v>
      </c>
      <c r="AF25" s="95"/>
      <c r="AG25" s="95"/>
      <c r="AH25" s="95"/>
      <c r="AI25" s="94" t="b">
        <f t="shared" si="0"/>
        <v>0</v>
      </c>
      <c r="AJ25" s="94"/>
      <c r="AK25" s="94"/>
      <c r="AL25" s="94"/>
      <c r="AM25" s="94"/>
      <c r="AN25" s="170" t="str">
        <f>IF(AJ25&lt;&gt;"","セキュリティ管理/","")&amp;IF(AK25&lt;&gt;"","マルウェア/","")&amp;IF(AL25&lt;&gt;"","クラウド/","")&amp;IF(AM25&lt;&gt;"","別表1,2,3","")</f>
        <v/>
      </c>
      <c r="AO25" s="130" t="s">
        <v>1328</v>
      </c>
    </row>
    <row r="26" spans="1:41" ht="112.5">
      <c r="A26" s="75"/>
      <c r="B26" s="82"/>
      <c r="C26" s="71" t="s">
        <v>1473</v>
      </c>
      <c r="D26" s="90" t="s">
        <v>1330</v>
      </c>
      <c r="E26" s="100" t="str">
        <f>'運用プロセス(自社DC)'!E25</f>
        <v xml:space="preserve">システムの開発、運用、管理に用いる端末にソフトウェアを導入する場合、管理部門に申請が必要となるルールとしているか。
また、許可なく導入したソフトウェア（不正ソフトウェア）を検知する機能を実装し、検知・報告を行っているか
</v>
      </c>
      <c r="F26" s="104" t="s">
        <v>1120</v>
      </c>
      <c r="G26" s="92" t="s">
        <v>254</v>
      </c>
      <c r="H26" s="181"/>
      <c r="I26" s="181"/>
      <c r="J26" s="94"/>
      <c r="K26" s="94"/>
      <c r="L26" s="94"/>
      <c r="M26" s="94"/>
      <c r="N26" s="247"/>
      <c r="O26" s="111" cm="1">
        <f t="array" ref="O26">IF(AI26=TRUE,_xlfn.IFS(M26=1,2,M26="",IF(N26="",1,2)),0)</f>
        <v>0</v>
      </c>
      <c r="P26" s="95" t="s">
        <v>255</v>
      </c>
      <c r="Q26" s="95" t="s">
        <v>183</v>
      </c>
      <c r="R26" s="95" t="s">
        <v>183</v>
      </c>
      <c r="S26" s="95" t="s">
        <v>183</v>
      </c>
      <c r="T26" s="96" t="s">
        <v>183</v>
      </c>
      <c r="U26" s="96"/>
      <c r="V26" s="96"/>
      <c r="W26" s="96"/>
      <c r="X26" s="96" t="s">
        <v>448</v>
      </c>
      <c r="Y26" s="95"/>
      <c r="Z26" s="95"/>
      <c r="AA26" s="95"/>
      <c r="AB26" s="95" t="s">
        <v>448</v>
      </c>
      <c r="AC26" s="95" t="s">
        <v>448</v>
      </c>
      <c r="AD26" s="95" t="s">
        <v>183</v>
      </c>
      <c r="AE26" s="95" t="s">
        <v>183</v>
      </c>
      <c r="AF26" s="95"/>
      <c r="AG26" s="95"/>
      <c r="AH26" s="95"/>
      <c r="AI26" s="94" t="b">
        <f t="shared" si="0"/>
        <v>0</v>
      </c>
      <c r="AJ26" s="94"/>
      <c r="AK26" s="94"/>
      <c r="AL26" s="94"/>
      <c r="AM26" s="94"/>
      <c r="AN26" s="170" t="str">
        <f t="shared" si="1"/>
        <v/>
      </c>
      <c r="AO26" s="94"/>
    </row>
    <row r="27" spans="1:41" ht="337.5">
      <c r="A27" s="75"/>
      <c r="B27" s="82"/>
      <c r="C27" s="71" t="s">
        <v>1474</v>
      </c>
      <c r="D27" s="90" t="s">
        <v>1475</v>
      </c>
      <c r="E27" s="91" t="str">
        <f>'運用プロセス(自社DC)'!E26</f>
        <v xml:space="preserve">システムで稼動するOSやソフトウエアにおいて、脆弱性が判明した場合は、速やかにパッチ適用することとしているか
・ベンダー(加えてシステムズITサ管理およびTMNFリスク管理G)にて「緊急」と判定された場合、速やかにセキュリティパッチを適用すること。直ちにセキュリティパ ッチを適用することが難しい場合は、設定変更等による緩和策の実施や、WAF/IPS の仮想パッチによる攻撃の防御を検討する。 
・緊急性が高いとは判断されなかった脆弱性についても、定期的なパッチ適用プロセスに従い適用する。 （以下の場合は要件を満たすように設計すること。）
　・対応ランクAのWindowsサーバ、もしくは不特定からのメール受信や任意のサイトアクセスができる端末：毎月
　・対応ランクB1以下のWindowsサーバ、もしくは対応ランクAのRHELサーバ、もしくは上記以外の端末：年2回以上
</v>
      </c>
      <c r="F27" s="91" t="s">
        <v>1476</v>
      </c>
      <c r="G27" s="92" t="s">
        <v>254</v>
      </c>
      <c r="H27" s="181"/>
      <c r="I27" s="181"/>
      <c r="J27" s="94"/>
      <c r="K27" s="94"/>
      <c r="L27" s="94"/>
      <c r="M27" s="94"/>
      <c r="N27" s="247"/>
      <c r="O27" s="111" cm="1">
        <f t="array" ref="O27">IF(AI27=TRUE,_xlfn.IFS(M27=1,2,M27="",IF(N27="",1,2)),0)</f>
        <v>0</v>
      </c>
      <c r="P27" s="95" t="s">
        <v>255</v>
      </c>
      <c r="Q27" s="95" t="s">
        <v>183</v>
      </c>
      <c r="R27" s="95" t="s">
        <v>183</v>
      </c>
      <c r="S27" s="95" t="s">
        <v>183</v>
      </c>
      <c r="T27" s="96" t="s">
        <v>183</v>
      </c>
      <c r="U27" s="96"/>
      <c r="V27" s="96"/>
      <c r="W27" s="96"/>
      <c r="X27" s="96" t="s">
        <v>448</v>
      </c>
      <c r="Y27" s="95"/>
      <c r="Z27" s="95"/>
      <c r="AA27" s="95"/>
      <c r="AB27" s="95"/>
      <c r="AC27" s="95"/>
      <c r="AD27" s="95" t="s">
        <v>183</v>
      </c>
      <c r="AE27" s="95" t="s">
        <v>183</v>
      </c>
      <c r="AF27" s="95"/>
      <c r="AG27" s="95" t="s">
        <v>255</v>
      </c>
      <c r="AH27" s="95"/>
      <c r="AI27" s="94" t="b">
        <f t="shared" si="0"/>
        <v>0</v>
      </c>
      <c r="AJ27" s="94" t="s">
        <v>183</v>
      </c>
      <c r="AK27" s="94"/>
      <c r="AL27" s="94"/>
      <c r="AM27" s="94"/>
      <c r="AN27" s="170" t="str">
        <f t="shared" si="1"/>
        <v>セキュリティ管理/</v>
      </c>
      <c r="AO27" s="94" t="s">
        <v>337</v>
      </c>
    </row>
    <row r="28" spans="1:41" ht="45">
      <c r="A28" s="75"/>
      <c r="B28" s="82"/>
      <c r="C28" s="71" t="s">
        <v>1477</v>
      </c>
      <c r="D28" s="90" t="s">
        <v>1478</v>
      </c>
      <c r="E28" s="91" t="str">
        <f>'運用プロセス(自社DC)'!E27</f>
        <v>Windowsサーバ、端末については、OS、ブラウザ（IEやEdge)、Officeのセキュリティパッチを定期的に適用する運用となっているか</v>
      </c>
      <c r="F28" s="99" t="s">
        <v>1151</v>
      </c>
      <c r="G28" s="92" t="s">
        <v>254</v>
      </c>
      <c r="H28" s="181"/>
      <c r="I28" s="181"/>
      <c r="J28" s="94"/>
      <c r="K28" s="94"/>
      <c r="L28" s="94"/>
      <c r="M28" s="94"/>
      <c r="N28" s="247"/>
      <c r="O28" s="111" cm="1">
        <f t="array" ref="O28">IF(AI28=TRUE,_xlfn.IFS(M28=1,2,M28="",IF(N28="",1,2)),0)</f>
        <v>0</v>
      </c>
      <c r="P28" s="95" t="s">
        <v>255</v>
      </c>
      <c r="Q28" s="95" t="s">
        <v>183</v>
      </c>
      <c r="R28" s="95" t="s">
        <v>183</v>
      </c>
      <c r="S28" s="95" t="s">
        <v>183</v>
      </c>
      <c r="T28" s="96" t="s">
        <v>183</v>
      </c>
      <c r="U28" s="96"/>
      <c r="V28" s="96"/>
      <c r="W28" s="96"/>
      <c r="X28" s="96" t="s">
        <v>448</v>
      </c>
      <c r="Y28" s="95"/>
      <c r="Z28" s="95"/>
      <c r="AA28" s="95"/>
      <c r="AB28" s="95"/>
      <c r="AC28" s="95"/>
      <c r="AD28" s="95" t="s">
        <v>183</v>
      </c>
      <c r="AE28" s="95" t="s">
        <v>183</v>
      </c>
      <c r="AF28" s="95"/>
      <c r="AG28" s="95"/>
      <c r="AH28" s="95"/>
      <c r="AI28" s="94" t="b">
        <f t="shared" si="0"/>
        <v>0</v>
      </c>
      <c r="AJ28" s="94"/>
      <c r="AK28" s="94"/>
      <c r="AL28" s="94"/>
      <c r="AM28" s="94"/>
      <c r="AN28" s="170" t="str">
        <f t="shared" si="1"/>
        <v/>
      </c>
      <c r="AO28" s="94"/>
    </row>
    <row r="29" spans="1:41" ht="315">
      <c r="A29" s="75"/>
      <c r="B29" s="82"/>
      <c r="C29" s="71" t="s">
        <v>1479</v>
      </c>
      <c r="D29" s="90" t="s">
        <v>1480</v>
      </c>
      <c r="E29" s="107" t="str">
        <f>'運用プロセス(自社DC)'!E28</f>
        <v>リリース前に脆弱性診断を実施する計画とし、リリース後は以下脆弱性診断を行う運用としているか。
・プラットフォーム診断：月1回（※）
・Webアプリ診断：対応ランクAシステムは年1回
加えて、アウトソースシステムは定期的にペネトレーションテスト（侵入テスト）を行う運用としているか。
（※）月1回のプラットフォーム診断が難しい場合は、緊急性の高い脆弱性が公表された際に実施するITサービス管理部からの確認依頼の際に、脆弱性の影響調査が行える態勢を設備し、脆弱性の影響を受ける場合には迅速に対応できる運用としているか。
（アウトソースシステムは、回答で「YES」を選択した場合でも、診断・評価の頻度を備考欄に記入する。）</v>
      </c>
      <c r="F29" s="91" t="s">
        <v>1481</v>
      </c>
      <c r="G29" s="92" t="s">
        <v>254</v>
      </c>
      <c r="H29" s="181"/>
      <c r="I29" s="181"/>
      <c r="J29" s="94"/>
      <c r="K29" s="94"/>
      <c r="L29" s="94"/>
      <c r="M29" s="94"/>
      <c r="N29" s="247"/>
      <c r="O29" s="111" cm="1">
        <f t="array" ref="O29">IF(AI29=TRUE,_xlfn.IFS(M29=1,2,M29="",IF(N29="",1,2)),0)</f>
        <v>0</v>
      </c>
      <c r="P29" s="95" t="s">
        <v>255</v>
      </c>
      <c r="Q29" s="95" t="s">
        <v>183</v>
      </c>
      <c r="R29" s="95" t="s">
        <v>183</v>
      </c>
      <c r="S29" s="95" t="s">
        <v>183</v>
      </c>
      <c r="T29" s="95" t="s">
        <v>183</v>
      </c>
      <c r="U29" s="95"/>
      <c r="V29" s="95"/>
      <c r="W29" s="95"/>
      <c r="X29" s="96" t="s">
        <v>448</v>
      </c>
      <c r="Y29" s="95"/>
      <c r="Z29" s="95"/>
      <c r="AA29" s="95"/>
      <c r="AB29" s="95"/>
      <c r="AC29" s="95"/>
      <c r="AD29" s="95" t="s">
        <v>183</v>
      </c>
      <c r="AE29" s="95" t="s">
        <v>183</v>
      </c>
      <c r="AF29" s="95"/>
      <c r="AG29" s="95" t="s">
        <v>255</v>
      </c>
      <c r="AH29" s="95"/>
      <c r="AI29" s="94" t="b">
        <f t="shared" si="0"/>
        <v>0</v>
      </c>
      <c r="AJ29" s="94" t="s">
        <v>183</v>
      </c>
      <c r="AK29" s="94"/>
      <c r="AL29" s="94"/>
      <c r="AM29" s="94"/>
      <c r="AN29" s="170" t="str">
        <f t="shared" si="1"/>
        <v>セキュリティ管理/</v>
      </c>
      <c r="AO29" s="94" t="s">
        <v>359</v>
      </c>
    </row>
    <row r="30" spans="1:41" ht="157.5">
      <c r="A30" s="75"/>
      <c r="B30" s="101"/>
      <c r="C30" s="71" t="s">
        <v>1482</v>
      </c>
      <c r="D30" s="90" t="s">
        <v>1483</v>
      </c>
      <c r="E30" s="91" t="str">
        <f>'運用プロセス(自社DC)'!E29</f>
        <v>構築対象の各種通信機器や要件において、以下の棚卸しを定期的に実施する運用としているか。
・不要なファイアウォールのフィルタリングルールがないか確認
・不要なプロキシサーバの通信設定がないか確認（ログを定期的に確認）
・業務仕様の変更やシステムの改廃に合わせて、各セグメント間のアクセス制御設計およびネットワーク機器のACLの見直し</v>
      </c>
      <c r="F30" s="91" t="s">
        <v>1484</v>
      </c>
      <c r="G30" s="92" t="s">
        <v>254</v>
      </c>
      <c r="H30" s="181"/>
      <c r="I30" s="181"/>
      <c r="J30" s="94"/>
      <c r="K30" s="94"/>
      <c r="L30" s="94"/>
      <c r="M30" s="94"/>
      <c r="N30" s="247"/>
      <c r="O30" s="111" cm="1">
        <f t="array" ref="O30">IF(AI30=TRUE,_xlfn.IFS(M30=1,2,M30="",IF(N30="",1,2)),0)</f>
        <v>0</v>
      </c>
      <c r="P30" s="95" t="s">
        <v>255</v>
      </c>
      <c r="Q30" s="95" t="s">
        <v>183</v>
      </c>
      <c r="R30" s="95" t="s">
        <v>183</v>
      </c>
      <c r="S30" s="95" t="s">
        <v>183</v>
      </c>
      <c r="T30" s="95" t="s">
        <v>183</v>
      </c>
      <c r="U30" s="95"/>
      <c r="V30" s="95"/>
      <c r="W30" s="95"/>
      <c r="X30" s="96" t="s">
        <v>448</v>
      </c>
      <c r="Y30" s="95"/>
      <c r="Z30" s="95"/>
      <c r="AA30" s="95"/>
      <c r="AB30" s="95"/>
      <c r="AC30" s="95"/>
      <c r="AD30" s="95" t="s">
        <v>183</v>
      </c>
      <c r="AE30" s="95" t="s">
        <v>183</v>
      </c>
      <c r="AF30" s="95"/>
      <c r="AG30" s="95"/>
      <c r="AH30" s="95"/>
      <c r="AI30" s="94" t="b">
        <f t="shared" si="0"/>
        <v>0</v>
      </c>
      <c r="AJ30" s="94"/>
      <c r="AK30" s="94" t="s">
        <v>183</v>
      </c>
      <c r="AL30" s="94"/>
      <c r="AM30" s="94"/>
      <c r="AN30" s="170" t="str">
        <f t="shared" si="1"/>
        <v>マルウェア/</v>
      </c>
      <c r="AO30" s="94"/>
    </row>
    <row r="31" spans="1:41" ht="135">
      <c r="A31" s="75"/>
      <c r="B31" s="101"/>
      <c r="C31" s="71" t="s">
        <v>1485</v>
      </c>
      <c r="D31" s="90" t="s">
        <v>1486</v>
      </c>
      <c r="E31" s="91" t="str">
        <f>'運用プロセス(自社DC)'!E30</f>
        <v>ランサムウェア感染時の対策として、ランサムウェア対応分類A,Bのシステムについては、システム構築時にバックアップデータからのリストア手順を整備するとともに、システム構築時および改定時にリストアテストを実施する計画としているか。
また、ランサムウェア対応分類Aのシステムについては、リストアの成否やRTO,RPOに大きな影響が出るレベルのシステム改定が発生した場合にもリストアテストを実施する計画としているか。</v>
      </c>
      <c r="F31" s="99" t="s">
        <v>1120</v>
      </c>
      <c r="G31" s="92" t="s">
        <v>254</v>
      </c>
      <c r="H31" s="181"/>
      <c r="I31" s="181"/>
      <c r="J31" s="94"/>
      <c r="K31" s="94"/>
      <c r="L31" s="94"/>
      <c r="M31" s="94"/>
      <c r="N31" s="247"/>
      <c r="O31" s="111" cm="1">
        <f t="array" ref="O31">IF(AI31=TRUE,_xlfn.IFS(M31=1,2,M31="",IF(N31="",1,2)),0)</f>
        <v>0</v>
      </c>
      <c r="P31" s="95" t="s">
        <v>255</v>
      </c>
      <c r="Q31" s="95" t="s">
        <v>183</v>
      </c>
      <c r="R31" s="95" t="s">
        <v>183</v>
      </c>
      <c r="S31" s="95" t="s">
        <v>183</v>
      </c>
      <c r="T31" s="197"/>
      <c r="U31" s="197" t="s">
        <v>183</v>
      </c>
      <c r="V31" s="199" t="s">
        <v>183</v>
      </c>
      <c r="W31" s="95"/>
      <c r="X31" s="96" t="s">
        <v>448</v>
      </c>
      <c r="Y31" s="95"/>
      <c r="Z31" s="95"/>
      <c r="AA31" s="95"/>
      <c r="AB31" s="95"/>
      <c r="AC31" s="95"/>
      <c r="AD31" s="95" t="s">
        <v>183</v>
      </c>
      <c r="AE31" s="95" t="s">
        <v>183</v>
      </c>
      <c r="AF31" s="95"/>
      <c r="AG31" s="95"/>
      <c r="AH31" s="95"/>
      <c r="AI31" s="94" t="b">
        <f t="shared" si="0"/>
        <v>0</v>
      </c>
      <c r="AJ31" s="94"/>
      <c r="AK31" s="94"/>
      <c r="AL31" s="94"/>
      <c r="AM31" s="94"/>
      <c r="AN31" s="170" t="str">
        <f t="shared" si="1"/>
        <v/>
      </c>
      <c r="AO31" s="94" t="s">
        <v>487</v>
      </c>
    </row>
    <row r="32" spans="1:41" ht="67.5">
      <c r="A32" s="75"/>
      <c r="B32" s="101"/>
      <c r="C32" s="71" t="s">
        <v>1487</v>
      </c>
      <c r="D32" s="71" t="s">
        <v>1426</v>
      </c>
      <c r="E32" s="107" t="s">
        <v>1042</v>
      </c>
      <c r="F32" s="107" t="s">
        <v>1427</v>
      </c>
      <c r="G32" s="92" t="s">
        <v>254</v>
      </c>
      <c r="H32" s="181"/>
      <c r="I32" s="181"/>
      <c r="J32" s="94"/>
      <c r="K32" s="94"/>
      <c r="L32" s="94"/>
      <c r="M32" s="94"/>
      <c r="N32" s="247"/>
      <c r="O32" s="111" cm="1">
        <f t="array" ref="O32">IF(AI32=TRUE,_xlfn.IFS(M32=1,2,M32="",IF(N32="",1,2)),0)</f>
        <v>0</v>
      </c>
      <c r="P32" s="95" t="s">
        <v>255</v>
      </c>
      <c r="Q32" s="95" t="s">
        <v>183</v>
      </c>
      <c r="R32" s="95" t="s">
        <v>183</v>
      </c>
      <c r="S32" s="95" t="s">
        <v>183</v>
      </c>
      <c r="T32" s="197" t="s">
        <v>183</v>
      </c>
      <c r="U32" s="197"/>
      <c r="V32" s="199"/>
      <c r="W32" s="95"/>
      <c r="X32" s="96" t="s">
        <v>448</v>
      </c>
      <c r="Y32" s="95"/>
      <c r="Z32" s="95"/>
      <c r="AA32" s="95"/>
      <c r="AB32" s="95"/>
      <c r="AC32" s="95"/>
      <c r="AD32" s="95" t="s">
        <v>183</v>
      </c>
      <c r="AE32" s="95" t="s">
        <v>183</v>
      </c>
      <c r="AF32" s="95"/>
      <c r="AG32" s="95"/>
      <c r="AH32" s="95"/>
      <c r="AI32" s="94" t="b">
        <f t="shared" si="0"/>
        <v>0</v>
      </c>
      <c r="AJ32" s="94"/>
      <c r="AK32" s="94"/>
      <c r="AL32" s="94"/>
      <c r="AM32" s="94"/>
      <c r="AN32" s="170" t="str">
        <f t="shared" ref="AN32" si="2">IF(AJ32&lt;&gt;"","セキュリティ管理/","")&amp;IF(AK32&lt;&gt;"","マルウェア/","")&amp;IF(AL32&lt;&gt;"","クラウド/","")&amp;IF(AM32&lt;&gt;"","別表1,2,3","")</f>
        <v/>
      </c>
      <c r="AO32" s="263" t="s">
        <v>575</v>
      </c>
    </row>
    <row r="33" spans="1:41" ht="22.5">
      <c r="A33" s="75"/>
      <c r="B33" s="82" t="s">
        <v>1347</v>
      </c>
      <c r="C33" s="115"/>
      <c r="D33" s="83"/>
      <c r="E33" s="84"/>
      <c r="F33" s="84"/>
      <c r="G33" s="85"/>
      <c r="H33" s="85"/>
      <c r="I33" s="85"/>
      <c r="J33" s="87"/>
      <c r="K33" s="87"/>
      <c r="L33" s="87"/>
      <c r="M33" s="87"/>
      <c r="N33" s="246"/>
      <c r="O33" s="246"/>
      <c r="P33" s="87"/>
      <c r="Q33" s="87"/>
      <c r="R33" s="87"/>
      <c r="S33" s="87"/>
      <c r="T33" s="87"/>
      <c r="U33" s="87"/>
      <c r="V33" s="87"/>
      <c r="W33" s="87"/>
      <c r="X33" s="87"/>
      <c r="Y33" s="87"/>
      <c r="Z33" s="87"/>
      <c r="AA33" s="87"/>
      <c r="AB33" s="87" t="s">
        <v>448</v>
      </c>
      <c r="AC33" s="87" t="s">
        <v>448</v>
      </c>
      <c r="AD33" s="87"/>
      <c r="AE33" s="87"/>
      <c r="AF33" s="87"/>
      <c r="AG33" s="87"/>
      <c r="AH33" s="87"/>
      <c r="AI33" s="87" t="s">
        <v>268</v>
      </c>
      <c r="AJ33" s="87"/>
      <c r="AK33" s="87"/>
      <c r="AL33" s="87"/>
      <c r="AM33" s="87"/>
      <c r="AN33" s="87"/>
      <c r="AO33" s="87"/>
    </row>
    <row r="34" spans="1:41" ht="67.5">
      <c r="A34" s="75"/>
      <c r="B34" s="82"/>
      <c r="C34" s="71" t="s">
        <v>1488</v>
      </c>
      <c r="D34" s="90" t="s">
        <v>772</v>
      </c>
      <c r="E34" s="98" t="s">
        <v>1042</v>
      </c>
      <c r="F34" s="98" t="s">
        <v>1489</v>
      </c>
      <c r="G34" s="93" t="s">
        <v>254</v>
      </c>
      <c r="H34" s="181"/>
      <c r="I34" s="181"/>
      <c r="J34" s="94"/>
      <c r="K34" s="94"/>
      <c r="L34" s="94"/>
      <c r="M34" s="94"/>
      <c r="N34" s="247"/>
      <c r="O34" s="111" cm="1">
        <f t="array" ref="O34">IF(AI34=TRUE,_xlfn.IFS(M34=1,2,M34="",IF(N34="",1,2)),0)</f>
        <v>0</v>
      </c>
      <c r="P34" s="95" t="s">
        <v>255</v>
      </c>
      <c r="Q34" s="95" t="s">
        <v>255</v>
      </c>
      <c r="R34" s="95" t="s">
        <v>255</v>
      </c>
      <c r="S34" s="95" t="s">
        <v>183</v>
      </c>
      <c r="T34" s="95" t="s">
        <v>255</v>
      </c>
      <c r="U34" s="95"/>
      <c r="V34" s="95"/>
      <c r="W34" s="95"/>
      <c r="X34" s="96"/>
      <c r="Y34" s="95"/>
      <c r="Z34" s="95"/>
      <c r="AA34" s="95"/>
      <c r="AB34" s="95"/>
      <c r="AC34" s="95"/>
      <c r="AD34" s="95" t="s">
        <v>183</v>
      </c>
      <c r="AE34" s="95" t="s">
        <v>183</v>
      </c>
      <c r="AF34" s="95"/>
      <c r="AG34" s="95"/>
      <c r="AH34" s="95"/>
      <c r="AI34" s="94" t="b">
        <f t="shared" ref="AI34:AI44" si="3">AND(OR(AND($P$6=TRUE,$P34&lt;&gt;""),AND($Q$6=TRUE,$Q34&lt;&gt;""),AND($R$6=TRUE,$R34&lt;&gt;"")),AND($S$6=TRUE,$S34&lt;&gt;""),OR(AND($T$6=TRUE,$T34&lt;&gt;""),AND($U$6=TRUE,$U34&lt;&gt;""),AND($V$6=TRUE,$V34&lt;&gt;""),AND($W$6=TRUE,$W34&lt;&gt;""),AND($X$6=TRUE,$X34&lt;&gt;""),AND($Y$6=TRUE,$Y34&lt;&gt;""),AND($Z$6=TRUE,$Z34&lt;&gt;""),AND($AA$6=TRUE,$AA34&lt;&gt;""),AND($AB$6=TRUE,$AB34&lt;&gt;""),AND($AC$6=TRUE,$AC34&lt;&gt;"")),OR(AND($AD$6=TRUE,$AD34&lt;&gt;""),AND($AE$6=TRUE,$AE34&lt;&gt;""),AND($AF$6=TRUE,$AF34&lt;&gt;""),AND($AG$6=TRUE,$AG34&lt;&gt;""),AND($AH$6=TRUE,$AH34&lt;&gt;"")))</f>
        <v>0</v>
      </c>
      <c r="AJ34" s="94"/>
      <c r="AK34" s="94"/>
      <c r="AL34" s="94"/>
      <c r="AM34" s="94"/>
      <c r="AN34" s="170" t="str">
        <f t="shared" ref="AN34:AN44" si="4">IF(AJ34&lt;&gt;"","セキュリティ管理/","")&amp;IF(AK34&lt;&gt;"","マルウェア/","")&amp;IF(AL34&lt;&gt;"","クラウド/","")&amp;IF(AM34&lt;&gt;"","別表1,2,3","")</f>
        <v/>
      </c>
      <c r="AO34" s="94"/>
    </row>
    <row r="35" spans="1:41" ht="135">
      <c r="A35" s="75"/>
      <c r="B35" s="82"/>
      <c r="C35" s="71" t="s">
        <v>1491</v>
      </c>
      <c r="D35" s="90" t="s">
        <v>1349</v>
      </c>
      <c r="E35" s="98" t="str">
        <f>'運用プロセス(自社DC)'!E32</f>
        <v>インターネットからアクセスされるサーバ、通信回線装置、通信回線やアプリケーションについて、不正アクセス等の監視を行うよう設計しているか。
特に、認証機能を持つシステムについては、アクセス元IPアドレスや認証成功・失敗状況を確認することで、ブルートフォース攻撃やリスト型アカウントハッキング攻撃等の不正なログインを監視する設計としているか。</v>
      </c>
      <c r="F35" s="98" t="s">
        <v>1490</v>
      </c>
      <c r="G35" s="93" t="s">
        <v>254</v>
      </c>
      <c r="H35" s="181"/>
      <c r="I35" s="181"/>
      <c r="J35" s="94"/>
      <c r="K35" s="94"/>
      <c r="L35" s="94"/>
      <c r="M35" s="94"/>
      <c r="N35" s="247"/>
      <c r="O35" s="111" cm="1">
        <f t="array" ref="O35">IF(AI35=TRUE,_xlfn.IFS(M35=1,2,M35="",IF(N35="",1,2)),0)</f>
        <v>0</v>
      </c>
      <c r="P35" s="95" t="s">
        <v>255</v>
      </c>
      <c r="Q35" s="95" t="s">
        <v>255</v>
      </c>
      <c r="R35" s="95" t="s">
        <v>255</v>
      </c>
      <c r="S35" s="95" t="s">
        <v>183</v>
      </c>
      <c r="T35" s="95" t="s">
        <v>255</v>
      </c>
      <c r="U35" s="95"/>
      <c r="V35" s="95"/>
      <c r="W35" s="95"/>
      <c r="X35" s="96" t="s">
        <v>448</v>
      </c>
      <c r="Y35" s="95"/>
      <c r="Z35" s="95"/>
      <c r="AA35" s="95"/>
      <c r="AB35" s="95"/>
      <c r="AC35" s="95"/>
      <c r="AD35" s="95"/>
      <c r="AE35" s="95" t="s">
        <v>183</v>
      </c>
      <c r="AF35" s="95" t="s">
        <v>183</v>
      </c>
      <c r="AG35" s="95"/>
      <c r="AH35" s="95"/>
      <c r="AI35" s="94" t="b">
        <f t="shared" si="3"/>
        <v>0</v>
      </c>
      <c r="AJ35" s="94"/>
      <c r="AK35" s="94"/>
      <c r="AL35" s="94"/>
      <c r="AM35" s="94"/>
      <c r="AN35" s="170" t="str">
        <f t="shared" si="4"/>
        <v/>
      </c>
      <c r="AO35" s="94" t="s">
        <v>359</v>
      </c>
    </row>
    <row r="36" spans="1:41" ht="382.5">
      <c r="A36" s="75"/>
      <c r="B36" s="82"/>
      <c r="C36" s="71" t="s">
        <v>1494</v>
      </c>
      <c r="D36" s="90" t="s">
        <v>1492</v>
      </c>
      <c r="E36" s="98" t="str">
        <f>'運用プロセス(自社DC)'!E33</f>
        <v>セキュリティインシデント発生時の調査を可能とするために、管理・運用している機器、アプリケーションを対象に、システム上の制限や扱う情報の重要度を考慮して、取得するログの種類、取得方法、取得頻度を定めているか。
また、取得するログの種類には、原則として以下を含め「いつ」「だれ・どこから」「どこに」「何をしたか(要求したか)」「その結果」が判断できるログを取得する設計としているか。
　a. サーバー、ネットワーク、アプリケーションのアクセスログ
　　(例：時刻、アクセス元情報※、接続先情報、リクエストの内容、レスポンス結果など）
　b. イベントログ
　c. ファイアウォールの通信ログ(遮断ログ)
　d. WAF、IPS、IDS、認証ログ等のセキュリティログ
　e.エンドポイント、M365、メール、ADなどの監査ログ
なお、本要件は開発環境に設置されたシステムであっても同様である。
※Webサーバのログに通信元のIPアドレスを取得する場合は以下の点に注意すること。
　・セキュアドGW経由の場合、htmlの「X-Forwarded-For」が通信元IPに該当する
　・Akamai KONA経由の場合、htmlの「True-Client-IP」が通信元IPに該当する</v>
      </c>
      <c r="F36" s="98" t="s">
        <v>1493</v>
      </c>
      <c r="G36" s="93" t="s">
        <v>254</v>
      </c>
      <c r="H36" s="181"/>
      <c r="I36" s="181"/>
      <c r="J36" s="94"/>
      <c r="K36" s="94"/>
      <c r="L36" s="94"/>
      <c r="M36" s="94"/>
      <c r="N36" s="247"/>
      <c r="O36" s="111" cm="1">
        <f t="array" ref="O36">IF(AI36=TRUE,_xlfn.IFS(M36=1,2,M36="",IF(N36="",1,2)),0)</f>
        <v>0</v>
      </c>
      <c r="P36" s="95" t="s">
        <v>255</v>
      </c>
      <c r="Q36" s="95" t="s">
        <v>183</v>
      </c>
      <c r="R36" s="95" t="s">
        <v>183</v>
      </c>
      <c r="S36" s="95" t="s">
        <v>183</v>
      </c>
      <c r="T36" s="95" t="s">
        <v>183</v>
      </c>
      <c r="U36" s="95"/>
      <c r="V36" s="95"/>
      <c r="W36" s="95"/>
      <c r="X36" s="96" t="s">
        <v>448</v>
      </c>
      <c r="Y36" s="95"/>
      <c r="Z36" s="95"/>
      <c r="AA36" s="95"/>
      <c r="AB36" s="95"/>
      <c r="AC36" s="95"/>
      <c r="AD36" s="95" t="s">
        <v>183</v>
      </c>
      <c r="AE36" s="95" t="s">
        <v>183</v>
      </c>
      <c r="AF36" s="95"/>
      <c r="AG36" s="95"/>
      <c r="AH36" s="95"/>
      <c r="AI36" s="94" t="b">
        <f t="shared" si="3"/>
        <v>0</v>
      </c>
      <c r="AJ36" s="94"/>
      <c r="AK36" s="94"/>
      <c r="AL36" s="94"/>
      <c r="AM36" s="94"/>
      <c r="AN36" s="170" t="str">
        <f t="shared" si="4"/>
        <v/>
      </c>
      <c r="AO36" s="94"/>
    </row>
    <row r="37" spans="1:41" ht="292.5">
      <c r="A37" s="75"/>
      <c r="B37" s="82"/>
      <c r="C37" s="71" t="s">
        <v>1495</v>
      </c>
      <c r="D37" s="90" t="s">
        <v>1354</v>
      </c>
      <c r="E37" s="98" t="str">
        <f>'運用プロセス(自社DC)'!E34</f>
        <v>マイナンバー（法人番号は含まない）に関する下記のログを取得しているか。
　・オンライントランザクションログ 
　・バッチトランザクションログ 
　・システム管理者等ＤＢサーバへのアクセス者による操作ログ
　・外部委託先等へデータ伝送を行ったログ
また、ログには「いつ」「誰が」「どの番号」を利用したかが調査可能な項目を取得する設計を施し、以下に例示するような安全に保管する対策を施しているか。
　保管例）
　・ログ取得対象の機器類とは論理的又は物理的に分離したストレージやサーバなどで保管
　・ログを改ざんできない形式で保管
　・ログを暗号化し保管する場合、暗号鍵はデータとは別場所で耐タンパー性を有する暗号
　　モジュールへ格納し、管理者以外アクセス不可能な保存媒体及び保存場所へ格納する。
　・ログの変更権限を持つアカウントは特権IDに限定し、特権ＩＤの利用をモニタリングする</v>
      </c>
      <c r="F37" s="105" t="s">
        <v>1151</v>
      </c>
      <c r="G37" s="93" t="s">
        <v>254</v>
      </c>
      <c r="H37" s="181"/>
      <c r="I37" s="181"/>
      <c r="J37" s="94"/>
      <c r="K37" s="94"/>
      <c r="L37" s="94"/>
      <c r="M37" s="94"/>
      <c r="N37" s="247"/>
      <c r="O37" s="111" cm="1">
        <f t="array" ref="O37">IF(AI37=TRUE,_xlfn.IFS(M37=1,2,M37="",IF(N37="",1,2)),0)</f>
        <v>0</v>
      </c>
      <c r="P37" s="95" t="s">
        <v>255</v>
      </c>
      <c r="Q37" s="95" t="s">
        <v>183</v>
      </c>
      <c r="R37" s="95" t="s">
        <v>183</v>
      </c>
      <c r="S37" s="95" t="s">
        <v>183</v>
      </c>
      <c r="U37" s="95"/>
      <c r="V37" s="95"/>
      <c r="W37" s="95"/>
      <c r="X37" s="96" t="s">
        <v>448</v>
      </c>
      <c r="Y37" s="95"/>
      <c r="Z37" s="95"/>
      <c r="AA37" s="95"/>
      <c r="AB37" s="95"/>
      <c r="AC37" s="95" t="s">
        <v>183</v>
      </c>
      <c r="AD37" s="95" t="s">
        <v>183</v>
      </c>
      <c r="AE37" s="95" t="s">
        <v>183</v>
      </c>
      <c r="AF37" s="95"/>
      <c r="AG37" s="95"/>
      <c r="AH37" s="95"/>
      <c r="AI37" s="94" t="b">
        <f t="shared" si="3"/>
        <v>0</v>
      </c>
      <c r="AJ37" s="94"/>
      <c r="AK37" s="94"/>
      <c r="AL37" s="94"/>
      <c r="AM37" s="94"/>
      <c r="AN37" s="170" t="str">
        <f>IF(AJ37&lt;&gt;"","セキュリティ管理/","")&amp;IF(AK37&lt;&gt;"","マルウェア/","")&amp;IF(AL37&lt;&gt;"","クラウド/","")&amp;IF(AM37&lt;&gt;"","別表1,2,3","")</f>
        <v/>
      </c>
      <c r="AO37" s="94" t="s">
        <v>768</v>
      </c>
    </row>
    <row r="38" spans="1:41" ht="157.5">
      <c r="A38" s="75"/>
      <c r="B38" s="82"/>
      <c r="C38" s="71" t="s">
        <v>1496</v>
      </c>
      <c r="D38" s="90" t="s">
        <v>1357</v>
      </c>
      <c r="E38" s="98" t="str">
        <f>'運用プロセス(自社DC)'!E35</f>
        <v>マイナンバー(法人番号は含まない)を保管する場合は、情報漏えい防止の観点から、以下の観点で定期的に第三者モニタリング（※）を行う。
　　a.システム管理者等ＤＢサーバアクセス者による操作 
　　b.マイナンバーおよび復号鍵、並びに復号プログラムに対する操作 
　　c.ＤＢサーバ内もしくはログ保管専用サーバに保持しているアクセスログに対する操作
　　d.データのダウンロード操作
※当社の場合、GRC支援部のモニタリングが標準である。</v>
      </c>
      <c r="F38" s="105" t="s">
        <v>1151</v>
      </c>
      <c r="G38" s="93" t="s">
        <v>254</v>
      </c>
      <c r="H38" s="181"/>
      <c r="I38" s="181"/>
      <c r="J38" s="94"/>
      <c r="K38" s="94"/>
      <c r="L38" s="94"/>
      <c r="M38" s="94"/>
      <c r="N38" s="247"/>
      <c r="O38" s="111" cm="1">
        <f t="array" ref="O38">IF(AI38=TRUE,_xlfn.IFS(M38=1,2,M38="",IF(N38="",1,2)),0)</f>
        <v>0</v>
      </c>
      <c r="P38" s="95" t="s">
        <v>255</v>
      </c>
      <c r="Q38" s="95" t="s">
        <v>183</v>
      </c>
      <c r="R38" s="95" t="s">
        <v>183</v>
      </c>
      <c r="S38" s="95" t="s">
        <v>183</v>
      </c>
      <c r="U38" s="95"/>
      <c r="V38" s="95"/>
      <c r="W38" s="95"/>
      <c r="X38" s="96" t="s">
        <v>448</v>
      </c>
      <c r="Y38" s="95"/>
      <c r="Z38" s="95"/>
      <c r="AA38" s="95"/>
      <c r="AB38" s="95"/>
      <c r="AC38" s="95" t="s">
        <v>183</v>
      </c>
      <c r="AD38" s="95" t="s">
        <v>183</v>
      </c>
      <c r="AE38" s="95" t="s">
        <v>183</v>
      </c>
      <c r="AF38" s="95"/>
      <c r="AG38" s="95"/>
      <c r="AH38" s="95"/>
      <c r="AI38" s="94" t="b">
        <f t="shared" si="3"/>
        <v>0</v>
      </c>
      <c r="AJ38" s="94"/>
      <c r="AK38" s="94"/>
      <c r="AL38" s="94"/>
      <c r="AM38" s="94"/>
      <c r="AN38" s="170" t="str">
        <f>IF(AJ38&lt;&gt;"","セキュリティ管理/","")&amp;IF(AK38&lt;&gt;"","マルウェア/","")&amp;IF(AL38&lt;&gt;"","クラウド/","")&amp;IF(AM38&lt;&gt;"","別表1,2,3","")</f>
        <v/>
      </c>
      <c r="AO38" s="94" t="s">
        <v>768</v>
      </c>
    </row>
    <row r="39" spans="1:41" ht="90">
      <c r="A39" s="75"/>
      <c r="B39" s="82"/>
      <c r="C39" s="71" t="s">
        <v>1497</v>
      </c>
      <c r="D39" s="90" t="s">
        <v>1361</v>
      </c>
      <c r="E39" s="98" t="str">
        <f>'運用プロセス(自社DC)'!E36</f>
        <v>取得した監査ログおよび監視記録は、３年保存する設計としているか。
（ただし、マイナンバー（法人番号は含まない）に関する監査ログは７年保存し、直近３カ月間分はすぐに調査できる状態で保管すること）
また、必要なログ量を確認できるだけのディスク容量等を設計しているか。</v>
      </c>
      <c r="F39" s="105" t="s">
        <v>1151</v>
      </c>
      <c r="G39" s="93" t="s">
        <v>254</v>
      </c>
      <c r="H39" s="181"/>
      <c r="I39" s="181"/>
      <c r="J39" s="94" t="s">
        <v>730</v>
      </c>
      <c r="K39" s="94" t="s">
        <v>730</v>
      </c>
      <c r="L39" s="94"/>
      <c r="M39" s="94"/>
      <c r="N39" s="247"/>
      <c r="O39" s="111" cm="1">
        <f t="array" ref="O39">IF(AI39=TRUE,_xlfn.IFS(M39=1,2,M39="",IF(N39="",1,2)),0)</f>
        <v>0</v>
      </c>
      <c r="P39" s="95" t="s">
        <v>255</v>
      </c>
      <c r="Q39" s="95" t="s">
        <v>183</v>
      </c>
      <c r="R39" s="95" t="s">
        <v>183</v>
      </c>
      <c r="S39" s="95" t="s">
        <v>183</v>
      </c>
      <c r="T39" s="95" t="s">
        <v>183</v>
      </c>
      <c r="U39" s="95"/>
      <c r="V39" s="95"/>
      <c r="W39" s="95"/>
      <c r="X39" s="96" t="s">
        <v>448</v>
      </c>
      <c r="Y39" s="95"/>
      <c r="Z39" s="95"/>
      <c r="AA39" s="95"/>
      <c r="AB39" s="95"/>
      <c r="AC39" s="95" t="s">
        <v>183</v>
      </c>
      <c r="AD39" s="95" t="s">
        <v>183</v>
      </c>
      <c r="AE39" s="95" t="s">
        <v>183</v>
      </c>
      <c r="AF39" s="95"/>
      <c r="AG39" s="95"/>
      <c r="AH39" s="95"/>
      <c r="AI39" s="94" t="b">
        <f t="shared" si="3"/>
        <v>0</v>
      </c>
      <c r="AJ39" s="94"/>
      <c r="AK39" s="94"/>
      <c r="AL39" s="94"/>
      <c r="AM39" s="94"/>
      <c r="AN39" s="170" t="str">
        <f t="shared" si="4"/>
        <v/>
      </c>
      <c r="AO39" s="94"/>
    </row>
    <row r="40" spans="1:41" ht="22.5">
      <c r="A40" s="75"/>
      <c r="B40" s="82"/>
      <c r="C40" s="71" t="s">
        <v>1498</v>
      </c>
      <c r="D40" s="90" t="s">
        <v>1364</v>
      </c>
      <c r="E40" s="98" t="str">
        <f>'運用プロセス(自社DC)'!E37</f>
        <v>送信した電子メールは、３年保存する設計としているか。</v>
      </c>
      <c r="F40" s="105" t="s">
        <v>1151</v>
      </c>
      <c r="G40" s="92" t="s">
        <v>254</v>
      </c>
      <c r="H40" s="181"/>
      <c r="I40" s="181"/>
      <c r="J40" s="94"/>
      <c r="K40" s="94"/>
      <c r="L40" s="94"/>
      <c r="M40" s="94"/>
      <c r="N40" s="247"/>
      <c r="O40" s="111" cm="1">
        <f t="array" ref="O40">IF(AI40=TRUE,_xlfn.IFS(M40=1,2,M40="",IF(N40="",1,2)),0)</f>
        <v>0</v>
      </c>
      <c r="P40" s="95" t="s">
        <v>255</v>
      </c>
      <c r="Q40" s="95" t="s">
        <v>183</v>
      </c>
      <c r="R40" s="95" t="s">
        <v>183</v>
      </c>
      <c r="S40" s="95" t="s">
        <v>183</v>
      </c>
      <c r="T40" s="95"/>
      <c r="U40" s="95"/>
      <c r="V40" s="95"/>
      <c r="W40" s="95"/>
      <c r="X40" s="96" t="s">
        <v>448</v>
      </c>
      <c r="Y40" s="95"/>
      <c r="Z40" s="95"/>
      <c r="AA40" s="95" t="s">
        <v>183</v>
      </c>
      <c r="AB40" s="95"/>
      <c r="AC40" s="95"/>
      <c r="AD40" s="95" t="s">
        <v>183</v>
      </c>
      <c r="AE40" s="95" t="s">
        <v>183</v>
      </c>
      <c r="AF40" s="95"/>
      <c r="AG40" s="95"/>
      <c r="AH40" s="95"/>
      <c r="AI40" s="94" t="b">
        <f t="shared" si="3"/>
        <v>0</v>
      </c>
      <c r="AJ40" s="94"/>
      <c r="AK40" s="94"/>
      <c r="AL40" s="94"/>
      <c r="AM40" s="94"/>
      <c r="AN40" s="170" t="str">
        <f t="shared" si="4"/>
        <v/>
      </c>
      <c r="AO40" s="94"/>
    </row>
    <row r="41" spans="1:41" ht="45">
      <c r="A41" s="75"/>
      <c r="B41" s="82"/>
      <c r="C41" s="71" t="s">
        <v>1500</v>
      </c>
      <c r="D41" s="90" t="s">
        <v>1367</v>
      </c>
      <c r="E41" s="98" t="str">
        <f>'運用プロセス(自社DC)'!E38</f>
        <v>通信回線装置上での証跡（通信回線の不正利用、電子計算機または通信回線装置への不正アクセス、送受信される情報の盗聴、改ざん、破壊）を取得／保存する設計としているか。</v>
      </c>
      <c r="F41" s="98" t="s">
        <v>1499</v>
      </c>
      <c r="G41" s="93" t="s">
        <v>254</v>
      </c>
      <c r="H41" s="181"/>
      <c r="I41" s="181"/>
      <c r="J41" s="94"/>
      <c r="K41" s="94"/>
      <c r="L41" s="94"/>
      <c r="M41" s="94"/>
      <c r="N41" s="247"/>
      <c r="O41" s="111" cm="1">
        <f t="array" ref="O41">IF(AI41=TRUE,_xlfn.IFS(M41=1,2,M41="",IF(N41="",1,2)),0)</f>
        <v>0</v>
      </c>
      <c r="P41" s="95" t="s">
        <v>255</v>
      </c>
      <c r="Q41" s="95" t="s">
        <v>183</v>
      </c>
      <c r="R41" s="95" t="s">
        <v>183</v>
      </c>
      <c r="S41" s="95" t="s">
        <v>183</v>
      </c>
      <c r="T41" s="95" t="s">
        <v>183</v>
      </c>
      <c r="U41" s="95"/>
      <c r="V41" s="95"/>
      <c r="W41" s="95"/>
      <c r="X41" s="96" t="s">
        <v>448</v>
      </c>
      <c r="Y41" s="95"/>
      <c r="Z41" s="95"/>
      <c r="AA41" s="95"/>
      <c r="AB41" s="95"/>
      <c r="AC41" s="95"/>
      <c r="AD41" s="95" t="s">
        <v>183</v>
      </c>
      <c r="AE41" s="95" t="s">
        <v>183</v>
      </c>
      <c r="AF41" s="95"/>
      <c r="AG41" s="95"/>
      <c r="AH41" s="95"/>
      <c r="AI41" s="94" t="b">
        <f t="shared" si="3"/>
        <v>0</v>
      </c>
      <c r="AJ41" s="94"/>
      <c r="AK41" s="94"/>
      <c r="AL41" s="94"/>
      <c r="AM41" s="94"/>
      <c r="AN41" s="170" t="str">
        <f t="shared" si="4"/>
        <v/>
      </c>
      <c r="AO41" s="94" t="s">
        <v>337</v>
      </c>
    </row>
    <row r="42" spans="1:41" ht="90">
      <c r="A42" s="75"/>
      <c r="B42" s="82"/>
      <c r="C42" s="71" t="s">
        <v>1502</v>
      </c>
      <c r="D42" s="90" t="s">
        <v>1370</v>
      </c>
      <c r="E42" s="98" t="str">
        <f>'運用プロセス(自社DC)'!E39</f>
        <v>ホスト、サーバ単位でシステムの操作記録（アクセス者、アクセス先、時刻など）を取得／保存する設計としているか。
さらに、業務的な調査のために、操作内容（ホストはＩＭＳログの画面上り・下り情報。サーバーでは重要なＤＢのＳＱＬパラメータ情報。）を取得しているか。</v>
      </c>
      <c r="F42" s="98" t="s">
        <v>1501</v>
      </c>
      <c r="G42" s="93" t="s">
        <v>254</v>
      </c>
      <c r="H42" s="181"/>
      <c r="I42" s="181"/>
      <c r="J42" s="94"/>
      <c r="K42" s="94"/>
      <c r="L42" s="94"/>
      <c r="M42" s="94"/>
      <c r="N42" s="247"/>
      <c r="O42" s="111" cm="1">
        <f t="array" ref="O42">IF(AI42=TRUE,_xlfn.IFS(M42=1,2,M42="",IF(N42="",1,2)),0)</f>
        <v>0</v>
      </c>
      <c r="P42" s="95" t="s">
        <v>255</v>
      </c>
      <c r="Q42" s="95" t="s">
        <v>183</v>
      </c>
      <c r="R42" s="95" t="s">
        <v>183</v>
      </c>
      <c r="S42" s="95" t="s">
        <v>183</v>
      </c>
      <c r="T42" s="95" t="s">
        <v>183</v>
      </c>
      <c r="U42" s="95"/>
      <c r="V42" s="95"/>
      <c r="W42" s="95"/>
      <c r="X42" s="96" t="s">
        <v>448</v>
      </c>
      <c r="Y42" s="95"/>
      <c r="Z42" s="95"/>
      <c r="AA42" s="95"/>
      <c r="AB42" s="95"/>
      <c r="AC42" s="95"/>
      <c r="AD42" s="95" t="s">
        <v>183</v>
      </c>
      <c r="AE42" s="95" t="s">
        <v>183</v>
      </c>
      <c r="AF42" s="95"/>
      <c r="AG42" s="95"/>
      <c r="AH42" s="95"/>
      <c r="AI42" s="94" t="b">
        <f t="shared" si="3"/>
        <v>0</v>
      </c>
      <c r="AJ42" s="94"/>
      <c r="AK42" s="94"/>
      <c r="AL42" s="94"/>
      <c r="AM42" s="94"/>
      <c r="AN42" s="170" t="str">
        <f t="shared" si="4"/>
        <v/>
      </c>
      <c r="AO42" s="94"/>
    </row>
    <row r="43" spans="1:41" ht="45">
      <c r="A43" s="75"/>
      <c r="B43" s="82"/>
      <c r="C43" s="71" t="s">
        <v>1503</v>
      </c>
      <c r="D43" s="90" t="s">
        <v>1373</v>
      </c>
      <c r="E43" s="98" t="str">
        <f>'運用プロセス(自社DC)'!E40</f>
        <v>システム、サーバ、通信回線装置、通信回線の稼動／負荷状況、メモリやディスクの逼迫、障害の発生／種別　をリアルタイムに検知し、報告、取得、保存する設計としているか。</v>
      </c>
      <c r="F43" s="105" t="s">
        <v>1151</v>
      </c>
      <c r="G43" s="93" t="s">
        <v>254</v>
      </c>
      <c r="H43" s="181"/>
      <c r="I43" s="181"/>
      <c r="J43" s="94"/>
      <c r="K43" s="94"/>
      <c r="L43" s="94"/>
      <c r="M43" s="94"/>
      <c r="N43" s="247"/>
      <c r="O43" s="111" cm="1">
        <f t="array" ref="O43">IF(AI43=TRUE,_xlfn.IFS(M43=1,2,M43="",IF(N43="",1,2)),0)</f>
        <v>0</v>
      </c>
      <c r="P43" s="95" t="s">
        <v>255</v>
      </c>
      <c r="Q43" s="95" t="s">
        <v>183</v>
      </c>
      <c r="R43" s="95" t="s">
        <v>183</v>
      </c>
      <c r="S43" s="95" t="s">
        <v>183</v>
      </c>
      <c r="T43" s="95" t="s">
        <v>183</v>
      </c>
      <c r="U43" s="95"/>
      <c r="V43" s="95"/>
      <c r="W43" s="95"/>
      <c r="X43" s="96" t="s">
        <v>448</v>
      </c>
      <c r="Y43" s="95"/>
      <c r="Z43" s="95"/>
      <c r="AA43" s="95"/>
      <c r="AB43" s="95"/>
      <c r="AC43" s="95"/>
      <c r="AD43" s="95" t="s">
        <v>183</v>
      </c>
      <c r="AE43" s="95" t="s">
        <v>183</v>
      </c>
      <c r="AF43" s="95"/>
      <c r="AG43" s="95"/>
      <c r="AH43" s="95"/>
      <c r="AI43" s="94" t="b">
        <f t="shared" si="3"/>
        <v>0</v>
      </c>
      <c r="AJ43" s="94"/>
      <c r="AK43" s="94"/>
      <c r="AL43" s="94"/>
      <c r="AM43" s="94"/>
      <c r="AN43" s="170" t="str">
        <f t="shared" si="4"/>
        <v/>
      </c>
      <c r="AO43" s="94"/>
    </row>
    <row r="44" spans="1:41" ht="67.5">
      <c r="A44" s="75"/>
      <c r="B44" s="82"/>
      <c r="C44" s="71" t="s">
        <v>2183</v>
      </c>
      <c r="D44" s="90" t="s">
        <v>1448</v>
      </c>
      <c r="E44" s="98" t="s">
        <v>1452</v>
      </c>
      <c r="F44" s="105" t="s">
        <v>1120</v>
      </c>
      <c r="G44" s="93" t="s">
        <v>254</v>
      </c>
      <c r="H44" s="181"/>
      <c r="I44" s="181"/>
      <c r="J44" s="94"/>
      <c r="K44" s="94"/>
      <c r="L44" s="94"/>
      <c r="M44" s="94"/>
      <c r="N44" s="247"/>
      <c r="O44" s="111" cm="1">
        <f t="array" ref="O44">IF(AI44=TRUE,_xlfn.IFS(M44=1,2,M44="",IF(N44="",1,2)),0)</f>
        <v>0</v>
      </c>
      <c r="P44" s="95" t="s">
        <v>255</v>
      </c>
      <c r="Q44" s="95" t="s">
        <v>183</v>
      </c>
      <c r="R44" s="95" t="s">
        <v>183</v>
      </c>
      <c r="S44" s="95" t="s">
        <v>183</v>
      </c>
      <c r="T44" s="95" t="s">
        <v>183</v>
      </c>
      <c r="U44" s="95"/>
      <c r="V44" s="95"/>
      <c r="W44" s="95"/>
      <c r="X44" s="96"/>
      <c r="Y44" s="95"/>
      <c r="Z44" s="95"/>
      <c r="AA44" s="95"/>
      <c r="AB44" s="95"/>
      <c r="AC44" s="95"/>
      <c r="AD44" s="95" t="s">
        <v>183</v>
      </c>
      <c r="AE44" s="95" t="s">
        <v>183</v>
      </c>
      <c r="AF44" s="95"/>
      <c r="AG44" s="95"/>
      <c r="AH44" s="95"/>
      <c r="AI44" s="94" t="b">
        <f t="shared" si="3"/>
        <v>0</v>
      </c>
      <c r="AJ44" s="94"/>
      <c r="AK44" s="94"/>
      <c r="AL44" s="94"/>
      <c r="AM44" s="94"/>
      <c r="AN44" s="170" t="str">
        <f t="shared" si="4"/>
        <v/>
      </c>
      <c r="AO44" s="94"/>
    </row>
    <row r="45" spans="1:41" ht="22.5">
      <c r="A45" s="75" t="s">
        <v>1375</v>
      </c>
      <c r="B45" s="75"/>
      <c r="C45" s="113"/>
      <c r="D45" s="76"/>
      <c r="E45" s="77"/>
      <c r="F45" s="77"/>
      <c r="G45" s="78"/>
      <c r="H45" s="79"/>
      <c r="I45" s="79"/>
      <c r="J45" s="80"/>
      <c r="K45" s="80"/>
      <c r="L45" s="80"/>
      <c r="M45" s="80"/>
      <c r="N45" s="245"/>
      <c r="O45" s="245"/>
      <c r="P45" s="80"/>
      <c r="Q45" s="80"/>
      <c r="R45" s="80"/>
      <c r="S45" s="80"/>
      <c r="T45" s="80"/>
      <c r="U45" s="80"/>
      <c r="V45" s="80"/>
      <c r="W45" s="80"/>
      <c r="X45" s="80"/>
      <c r="Y45" s="80"/>
      <c r="Z45" s="80"/>
      <c r="AA45" s="80"/>
      <c r="AB45" s="80"/>
      <c r="AC45" s="80"/>
      <c r="AD45" s="80"/>
      <c r="AE45" s="80"/>
      <c r="AF45" s="80"/>
      <c r="AG45" s="80"/>
      <c r="AH45" s="80"/>
      <c r="AI45" s="80" t="s">
        <v>268</v>
      </c>
      <c r="AJ45" s="80"/>
      <c r="AK45" s="80"/>
      <c r="AL45" s="80"/>
      <c r="AM45" s="80"/>
      <c r="AN45" s="80"/>
      <c r="AO45" s="80"/>
    </row>
    <row r="46" spans="1:41" ht="22.5">
      <c r="A46" s="75"/>
      <c r="B46" s="82"/>
      <c r="C46" s="115"/>
      <c r="D46" s="83"/>
      <c r="E46" s="84"/>
      <c r="F46" s="84"/>
      <c r="G46" s="85"/>
      <c r="H46" s="86"/>
      <c r="I46" s="86"/>
      <c r="J46" s="87"/>
      <c r="K46" s="87"/>
      <c r="L46" s="87"/>
      <c r="M46" s="87"/>
      <c r="N46" s="246"/>
      <c r="O46" s="246"/>
      <c r="P46" s="87"/>
      <c r="Q46" s="87"/>
      <c r="R46" s="87"/>
      <c r="S46" s="87"/>
      <c r="T46" s="87"/>
      <c r="U46" s="87"/>
      <c r="V46" s="87"/>
      <c r="W46" s="87"/>
      <c r="X46" s="87"/>
      <c r="Y46" s="87"/>
      <c r="Z46" s="87"/>
      <c r="AA46" s="87"/>
      <c r="AB46" s="87"/>
      <c r="AC46" s="87"/>
      <c r="AD46" s="87"/>
      <c r="AE46" s="87"/>
      <c r="AF46" s="87"/>
      <c r="AG46" s="87"/>
      <c r="AH46" s="87"/>
      <c r="AI46" s="87" t="s">
        <v>268</v>
      </c>
      <c r="AJ46" s="87"/>
      <c r="AK46" s="87"/>
      <c r="AL46" s="87"/>
      <c r="AM46" s="87"/>
      <c r="AN46" s="87"/>
      <c r="AO46" s="87"/>
    </row>
    <row r="47" spans="1:41" ht="157.5">
      <c r="A47" s="75"/>
      <c r="B47" s="82"/>
      <c r="C47" s="71" t="s">
        <v>1504</v>
      </c>
      <c r="D47" s="90" t="s">
        <v>284</v>
      </c>
      <c r="E47" s="98" t="str">
        <f>'運用プロセス(自社DC)'!E46</f>
        <v>構築対象の環境のActive Directoryの認証ログを取得し、以下のような観点で分析する運用を設計しているか。
・ドメインの管理者アカウントの利用は運用記録をとり、認証ログと突合せ、記録に無いログイン履歴が無いことを確認する。
・認証成功および認証失敗のログを取得する設定する。（Active Directoryのデフォルト設定は成功ログのみ取得なので注意）。</v>
      </c>
      <c r="F47" s="99" t="s">
        <v>1120</v>
      </c>
      <c r="G47" s="92" t="s">
        <v>254</v>
      </c>
      <c r="H47" s="181"/>
      <c r="I47" s="181"/>
      <c r="J47" s="94" t="s">
        <v>730</v>
      </c>
      <c r="K47" s="94" t="s">
        <v>730</v>
      </c>
      <c r="L47" s="94"/>
      <c r="M47" s="94"/>
      <c r="N47" s="247"/>
      <c r="O47" s="111" cm="1">
        <f t="array" ref="O47">IF(AI47=TRUE,_xlfn.IFS(M47=1,2,M47="",IF(N47="",1,2)),0)</f>
        <v>0</v>
      </c>
      <c r="P47" s="95" t="s">
        <v>255</v>
      </c>
      <c r="Q47" s="95" t="s">
        <v>255</v>
      </c>
      <c r="R47" s="95" t="s">
        <v>255</v>
      </c>
      <c r="S47" s="95" t="s">
        <v>255</v>
      </c>
      <c r="T47" s="95"/>
      <c r="U47" s="95"/>
      <c r="V47" s="95"/>
      <c r="W47" s="95"/>
      <c r="X47" s="96"/>
      <c r="Y47" s="96" t="s">
        <v>255</v>
      </c>
      <c r="Z47" s="95"/>
      <c r="AA47" s="95"/>
      <c r="AB47" s="95"/>
      <c r="AC47" s="95"/>
      <c r="AD47" s="95" t="s">
        <v>183</v>
      </c>
      <c r="AE47" s="95" t="s">
        <v>183</v>
      </c>
      <c r="AF47" s="95"/>
      <c r="AG47" s="95"/>
      <c r="AH47" s="95" t="s">
        <v>255</v>
      </c>
      <c r="AI47" s="94" t="b">
        <f>AND(OR(AND($P$6=TRUE,$P47&lt;&gt;""),AND($Q$6=TRUE,$Q47&lt;&gt;""),AND($R$6=TRUE,$R47&lt;&gt;"")),AND($S$6=TRUE,$S47&lt;&gt;""),OR(AND($T$6=TRUE,$T47&lt;&gt;""),AND($U$6=TRUE,$U47&lt;&gt;""),AND($V$6=TRUE,$V47&lt;&gt;""),AND($W$6=TRUE,$W47&lt;&gt;""),AND($X$6=TRUE,$X47&lt;&gt;""),AND($Y$6=TRUE,$Y47&lt;&gt;""),AND($Z$6=TRUE,$Z47&lt;&gt;""),AND($AA$6=TRUE,$AA47&lt;&gt;""),AND($AB$6=TRUE,$AB47&lt;&gt;""),AND($AC$6=TRUE,$AC47&lt;&gt;"")),OR(AND($AD$6=TRUE,$AD47&lt;&gt;""),AND($AE$6=TRUE,$AE47&lt;&gt;""),AND($AF$6=TRUE,$AF47&lt;&gt;""),AND($AG$6=TRUE,$AG47&lt;&gt;""),AND($AH$6=TRUE,$AH47&lt;&gt;"")))</f>
        <v>0</v>
      </c>
      <c r="AJ47" s="94"/>
      <c r="AK47" s="94" t="s">
        <v>183</v>
      </c>
      <c r="AL47" s="94"/>
      <c r="AM47" s="94"/>
      <c r="AN47" s="170" t="str">
        <f>IF(AJ47&lt;&gt;"","セキュリティ管理/","")&amp;IF(AK47&lt;&gt;"","マルウェア/","")&amp;IF(AL47&lt;&gt;"","クラウド/","")&amp;IF(AM47&lt;&gt;"","別表1,2,3","")</f>
        <v>マルウェア/</v>
      </c>
      <c r="AO47" s="94"/>
    </row>
    <row r="48" spans="1:41" ht="67.5">
      <c r="A48" s="75"/>
      <c r="B48" s="82"/>
      <c r="C48" s="71" t="s">
        <v>1505</v>
      </c>
      <c r="D48" s="90" t="s">
        <v>1453</v>
      </c>
      <c r="E48" s="98" t="str">
        <f>'運用プロセス(自社DC)'!E47</f>
        <v>構築対象の端末が不特定のインターネットアクセスや外部からのメール受信を行う場合、セキュリティ担当から連携される悪性な通信先サイトをWebフィルタリング等のブラックリストに追加し、閲覧を制限する運用を設計しているか。</v>
      </c>
      <c r="F48" s="99" t="s">
        <v>1120</v>
      </c>
      <c r="G48" s="92" t="s">
        <v>254</v>
      </c>
      <c r="H48" s="181"/>
      <c r="I48" s="181"/>
      <c r="J48" s="94" t="s">
        <v>730</v>
      </c>
      <c r="K48" s="94" t="s">
        <v>730</v>
      </c>
      <c r="L48" s="94"/>
      <c r="M48" s="94"/>
      <c r="N48" s="247"/>
      <c r="O48" s="111" cm="1">
        <f t="array" ref="O48">IF(AI48=TRUE,_xlfn.IFS(M48=1,2,M48="",IF(N48="",1,2)),0)</f>
        <v>0</v>
      </c>
      <c r="P48" s="95" t="s">
        <v>255</v>
      </c>
      <c r="Q48" s="95" t="s">
        <v>255</v>
      </c>
      <c r="R48" s="95" t="s">
        <v>255</v>
      </c>
      <c r="S48" s="95" t="s">
        <v>255</v>
      </c>
      <c r="T48" s="95"/>
      <c r="U48" s="95"/>
      <c r="V48" s="95"/>
      <c r="W48" s="95"/>
      <c r="X48" s="96"/>
      <c r="Y48" s="96" t="s">
        <v>255</v>
      </c>
      <c r="Z48" s="95"/>
      <c r="AA48" s="95"/>
      <c r="AB48" s="95"/>
      <c r="AC48" s="95"/>
      <c r="AD48" s="95" t="s">
        <v>183</v>
      </c>
      <c r="AE48" s="95" t="s">
        <v>183</v>
      </c>
      <c r="AF48" s="95"/>
      <c r="AG48" s="95"/>
      <c r="AH48" s="95" t="s">
        <v>255</v>
      </c>
      <c r="AI48" s="94" t="b">
        <f>AND(OR(AND($P$6=TRUE,$P48&lt;&gt;""),AND($Q$6=TRUE,$Q48&lt;&gt;""),AND($R$6=TRUE,$R48&lt;&gt;"")),AND($S$6=TRUE,$S48&lt;&gt;""),OR(AND($T$6=TRUE,$T48&lt;&gt;""),AND($U$6=TRUE,$U48&lt;&gt;""),AND($V$6=TRUE,$V48&lt;&gt;""),AND($W$6=TRUE,$W48&lt;&gt;""),AND($X$6=TRUE,$X48&lt;&gt;""),AND($Y$6=TRUE,$Y48&lt;&gt;""),AND($Z$6=TRUE,$Z48&lt;&gt;""),AND($AA$6=TRUE,$AA48&lt;&gt;""),AND($AB$6=TRUE,$AB48&lt;&gt;""),AND($AC$6=TRUE,$AC48&lt;&gt;"")),OR(AND($AD$6=TRUE,$AD48&lt;&gt;""),AND($AE$6=TRUE,$AE48&lt;&gt;""),AND($AF$6=TRUE,$AF48&lt;&gt;""),AND($AG$6=TRUE,$AG48&lt;&gt;""),AND($AH$6=TRUE,$AH48&lt;&gt;"")))</f>
        <v>0</v>
      </c>
      <c r="AJ48" s="94"/>
      <c r="AK48" s="94"/>
      <c r="AL48" s="94"/>
      <c r="AM48" s="94"/>
      <c r="AN48" s="170" t="str">
        <f>IF(AJ48&lt;&gt;"","セキュリティ管理/","")&amp;IF(AK48&lt;&gt;"","マルウェア/","")&amp;IF(AL48&lt;&gt;"","クラウド/","")&amp;IF(AM48&lt;&gt;"","別表1,2,3","")</f>
        <v/>
      </c>
      <c r="AO48" s="94" t="s">
        <v>1044</v>
      </c>
    </row>
    <row r="49" spans="1:41" ht="67.5">
      <c r="A49" s="75"/>
      <c r="B49" s="82"/>
      <c r="C49" s="71" t="s">
        <v>2184</v>
      </c>
      <c r="D49" s="90" t="s">
        <v>290</v>
      </c>
      <c r="E49" s="98" t="str">
        <f>'運用プロセス(自社DC)'!E48</f>
        <v>構築対象の端末が不特定のインターネットアクセスや外部からのメール受信を行う場合、悪性のハッシュ値，URL，IPアドレス等の情報を入手した際に、当該ファイルの保持状況やアクセス履歴の有無を確認する運用を設計しているか。</v>
      </c>
      <c r="F49" s="99" t="s">
        <v>1120</v>
      </c>
      <c r="G49" s="92" t="s">
        <v>254</v>
      </c>
      <c r="H49" s="181"/>
      <c r="I49" s="181"/>
      <c r="J49" s="94" t="s">
        <v>730</v>
      </c>
      <c r="K49" s="94" t="s">
        <v>730</v>
      </c>
      <c r="L49" s="94"/>
      <c r="M49" s="94"/>
      <c r="N49" s="247"/>
      <c r="O49" s="111" cm="1">
        <f t="array" ref="O49">IF(AI49=TRUE,_xlfn.IFS(M49=1,2,M49="",IF(N49="",1,2)),0)</f>
        <v>0</v>
      </c>
      <c r="P49" s="95" t="s">
        <v>255</v>
      </c>
      <c r="Q49" s="95" t="s">
        <v>255</v>
      </c>
      <c r="R49" s="95" t="s">
        <v>255</v>
      </c>
      <c r="S49" s="95" t="s">
        <v>255</v>
      </c>
      <c r="T49" s="95"/>
      <c r="U49" s="95"/>
      <c r="V49" s="95"/>
      <c r="W49" s="95"/>
      <c r="X49" s="96"/>
      <c r="Y49" s="96" t="s">
        <v>255</v>
      </c>
      <c r="Z49" s="95"/>
      <c r="AA49" s="95"/>
      <c r="AB49" s="95"/>
      <c r="AC49" s="95"/>
      <c r="AD49" s="95" t="s">
        <v>183</v>
      </c>
      <c r="AE49" s="95" t="s">
        <v>183</v>
      </c>
      <c r="AF49" s="95"/>
      <c r="AG49" s="95"/>
      <c r="AH49" s="95" t="s">
        <v>255</v>
      </c>
      <c r="AI49" s="94" t="b">
        <f>AND(OR(AND($P$6=TRUE,$P49&lt;&gt;""),AND($Q$6=TRUE,$Q49&lt;&gt;""),AND($R$6=TRUE,$R49&lt;&gt;"")),AND($S$6=TRUE,$S49&lt;&gt;""),OR(AND($T$6=TRUE,$T49&lt;&gt;""),AND($U$6=TRUE,$U49&lt;&gt;""),AND($V$6=TRUE,$V49&lt;&gt;""),AND($W$6=TRUE,$W49&lt;&gt;""),AND($X$6=TRUE,$X49&lt;&gt;""),AND($Y$6=TRUE,$Y49&lt;&gt;""),AND($Z$6=TRUE,$Z49&lt;&gt;""),AND($AA$6=TRUE,$AA49&lt;&gt;""),AND($AB$6=TRUE,$AB49&lt;&gt;""),AND($AC$6=TRUE,$AC49&lt;&gt;"")),OR(AND($AD$6=TRUE,$AD49&lt;&gt;""),AND($AE$6=TRUE,$AE49&lt;&gt;""),AND($AF$6=TRUE,$AF49&lt;&gt;""),AND($AG$6=TRUE,$AG49&lt;&gt;""),AND($AH$6=TRUE,$AH49&lt;&gt;"")))</f>
        <v>0</v>
      </c>
      <c r="AJ49" s="94"/>
      <c r="AK49" s="94"/>
      <c r="AL49" s="94"/>
      <c r="AM49" s="94"/>
      <c r="AN49" s="170" t="str">
        <f>IF(AJ49&lt;&gt;"","セキュリティ管理/","")&amp;IF(AK49&lt;&gt;"","マルウェア/","")&amp;IF(AL49&lt;&gt;"","クラウド/","")&amp;IF(AM49&lt;&gt;"","別表1,2,3","")</f>
        <v/>
      </c>
      <c r="AO49" s="94" t="s">
        <v>1044</v>
      </c>
    </row>
    <row r="50" spans="1:41" ht="67.5">
      <c r="A50" s="75"/>
      <c r="B50" s="82"/>
      <c r="C50" s="71" t="s">
        <v>2185</v>
      </c>
      <c r="D50" s="90" t="s">
        <v>293</v>
      </c>
      <c r="E50" s="98" t="str">
        <f>'運用プロセス(自社DC)'!E49</f>
        <v>構築対象の端末が不特定のインターネットアクセスや外部からのメール受信を行う場合、インターネット接続時に経由するファイアウォールの通信ログを取得し、想定した通信要件以外の通信ログ(遮断ログ)がないかを日次で確認する運用を設計しているか。</v>
      </c>
      <c r="F50" s="99" t="s">
        <v>1120</v>
      </c>
      <c r="G50" s="92" t="s">
        <v>254</v>
      </c>
      <c r="H50" s="181"/>
      <c r="I50" s="181"/>
      <c r="J50" s="94" t="s">
        <v>730</v>
      </c>
      <c r="K50" s="94" t="s">
        <v>730</v>
      </c>
      <c r="L50" s="94"/>
      <c r="M50" s="94"/>
      <c r="N50" s="247"/>
      <c r="O50" s="111" cm="1">
        <f t="array" ref="O50">IF(AI50=TRUE,_xlfn.IFS(M50=1,2,M50="",IF(N50="",1,2)),0)</f>
        <v>0</v>
      </c>
      <c r="P50" s="95" t="s">
        <v>255</v>
      </c>
      <c r="Q50" s="95" t="s">
        <v>255</v>
      </c>
      <c r="R50" s="95" t="s">
        <v>255</v>
      </c>
      <c r="S50" s="95" t="s">
        <v>255</v>
      </c>
      <c r="T50" s="95"/>
      <c r="U50" s="95"/>
      <c r="V50" s="95"/>
      <c r="W50" s="95"/>
      <c r="X50" s="96"/>
      <c r="Y50" s="96" t="s">
        <v>255</v>
      </c>
      <c r="Z50" s="95"/>
      <c r="AA50" s="95"/>
      <c r="AB50" s="95"/>
      <c r="AC50" s="95"/>
      <c r="AD50" s="95" t="s">
        <v>183</v>
      </c>
      <c r="AE50" s="95" t="s">
        <v>183</v>
      </c>
      <c r="AF50" s="95"/>
      <c r="AG50" s="95"/>
      <c r="AH50" s="95" t="s">
        <v>255</v>
      </c>
      <c r="AI50" s="94" t="b">
        <f>AND(OR(AND($P$6=TRUE,$P50&lt;&gt;""),AND($Q$6=TRUE,$Q50&lt;&gt;""),AND($R$6=TRUE,$R50&lt;&gt;"")),AND($S$6=TRUE,$S50&lt;&gt;""),OR(AND($T$6=TRUE,$T50&lt;&gt;""),AND($U$6=TRUE,$U50&lt;&gt;""),AND($V$6=TRUE,$V50&lt;&gt;""),AND($W$6=TRUE,$W50&lt;&gt;""),AND($X$6=TRUE,$X50&lt;&gt;""),AND($Y$6=TRUE,$Y50&lt;&gt;""),AND($Z$6=TRUE,$Z50&lt;&gt;""),AND($AA$6=TRUE,$AA50&lt;&gt;""),AND($AB$6=TRUE,$AB50&lt;&gt;""),AND($AC$6=TRUE,$AC50&lt;&gt;"")),OR(AND($AD$6=TRUE,$AD50&lt;&gt;""),AND($AE$6=TRUE,$AE50&lt;&gt;""),AND($AF$6=TRUE,$AF50&lt;&gt;""),AND($AG$6=TRUE,$AG50&lt;&gt;""),AND($AH$6=TRUE,$AH50&lt;&gt;"")))</f>
        <v>0</v>
      </c>
      <c r="AJ50" s="94"/>
      <c r="AK50" s="94"/>
      <c r="AL50" s="94"/>
      <c r="AM50" s="94"/>
      <c r="AN50" s="170" t="str">
        <f>IF(AJ50&lt;&gt;"","セキュリティ管理/","")&amp;IF(AK50&lt;&gt;"","マルウェア/","")&amp;IF(AL50&lt;&gt;"","クラウド/","")&amp;IF(AM50&lt;&gt;"","別表1,2,3","")</f>
        <v/>
      </c>
      <c r="AO50" s="94" t="s">
        <v>1044</v>
      </c>
    </row>
    <row r="51" spans="1:41" ht="409.5">
      <c r="A51" s="75"/>
      <c r="B51" s="82"/>
      <c r="C51" s="71" t="s">
        <v>2186</v>
      </c>
      <c r="D51" s="90" t="s">
        <v>296</v>
      </c>
      <c r="E51" s="98" t="str">
        <f>'運用プロセス(自社DC)'!E53</f>
        <v xml:space="preserve">構築対象のプロキシサーバの通信ログおよび認証ログを取得し、以下の観点で分析する運用を設計しているか。以下の観点で監視および定期的に分析しているか。
＜通信ログ＞
・規則的に再接続を試みるアクセスの有無を確認し、接続元と接続先のIPアドレスの調査から、コネクトバック通信を行っている端末がないか。(推奨)
・CONNECTメソッドを使用して、許可されていないポート番号で接続しようとしている通信ログ（遮断ログ）がないか。(必須)
＜認証ログ＞
・特定のユーザIDに対するブルートフォースによる認証の試行が無いか(必須)
・パスワードを固定してユーザIDを変化させる認証の試行が無いか(必須)
・同一の時間帯に同一ＩＤによるログインが複数端末から発生していないか(必須)
・深夜等の業務時間外に特定端末から定期的に認証ログが発生していないか(必須)
（アウトソースシステムの場合、回答で「YES」を選択した場合は、下記のうち該当する番号を全て備考欄に記入する。）
1.ログの取得
2.ログの監視
3.ログの定期的な分析
</v>
      </c>
      <c r="F51" s="105" t="s">
        <v>1151</v>
      </c>
      <c r="G51" s="93" t="s">
        <v>254</v>
      </c>
      <c r="H51" s="181"/>
      <c r="I51" s="181"/>
      <c r="J51" s="94"/>
      <c r="K51" s="94"/>
      <c r="L51" s="94"/>
      <c r="M51" s="94"/>
      <c r="N51" s="247"/>
      <c r="O51" s="111" cm="1">
        <f t="array" ref="O51">IF(AI51=TRUE,_xlfn.IFS(M51=1,2,M51="",IF(N51="",1,2)),0)</f>
        <v>0</v>
      </c>
      <c r="P51" s="95" t="s">
        <v>255</v>
      </c>
      <c r="Q51" s="95" t="s">
        <v>183</v>
      </c>
      <c r="R51" s="95" t="s">
        <v>183</v>
      </c>
      <c r="S51" s="95" t="s">
        <v>183</v>
      </c>
      <c r="T51" s="96"/>
      <c r="U51" s="96"/>
      <c r="V51" s="96"/>
      <c r="W51" s="96"/>
      <c r="X51" s="96"/>
      <c r="Y51" s="95"/>
      <c r="Z51" s="96" t="s">
        <v>255</v>
      </c>
      <c r="AA51" s="95"/>
      <c r="AB51" s="95"/>
      <c r="AC51" s="95"/>
      <c r="AD51" s="95" t="s">
        <v>183</v>
      </c>
      <c r="AE51" s="95" t="s">
        <v>183</v>
      </c>
      <c r="AF51" s="95"/>
      <c r="AG51" s="95"/>
      <c r="AH51" s="95" t="s">
        <v>255</v>
      </c>
      <c r="AI51" s="94" t="b">
        <f>AND(OR(AND($P$6=TRUE,$P51&lt;&gt;""),AND($Q$6=TRUE,$Q51&lt;&gt;""),AND($R$6=TRUE,$R51&lt;&gt;"")),AND($S$6=TRUE,$S51&lt;&gt;""),OR(AND($T$6=TRUE,$T51&lt;&gt;""),AND($U$6=TRUE,$U51&lt;&gt;""),AND($V$6=TRUE,$V51&lt;&gt;""),AND($W$6=TRUE,$W51&lt;&gt;""),AND($X$6=TRUE,$X51&lt;&gt;""),AND($Y$6=TRUE,$Y51&lt;&gt;""),AND($Z$6=TRUE,$Z51&lt;&gt;""),AND($AA$6=TRUE,$AA51&lt;&gt;""),AND($AB$6=TRUE,$AB51&lt;&gt;""),AND($AC$6=TRUE,$AC51&lt;&gt;"")),OR(AND($AD$6=TRUE,$AD51&lt;&gt;""),AND($AE$6=TRUE,$AE51&lt;&gt;""),AND($AF$6=TRUE,$AF51&lt;&gt;""),AND($AG$6=TRUE,$AG51&lt;&gt;""),AND($AH$6=TRUE,$AH51&lt;&gt;"")))</f>
        <v>0</v>
      </c>
      <c r="AJ51" s="94"/>
      <c r="AK51" s="94" t="s">
        <v>183</v>
      </c>
      <c r="AL51" s="94"/>
      <c r="AM51" s="94"/>
      <c r="AN51" s="170" t="str">
        <f>IF(AJ51&lt;&gt;"","セキュリティ管理/","")&amp;IF(AK51&lt;&gt;"","マルウェア/","")&amp;IF(AL51&lt;&gt;"","クラウド/","")&amp;IF(AM51&lt;&gt;"","別表1,2,3","")</f>
        <v>マルウェア/</v>
      </c>
      <c r="AO51" s="94"/>
    </row>
    <row r="52" spans="1:41">
      <c r="H52">
        <f>COUNTA(H10:H51)</f>
        <v>0</v>
      </c>
      <c r="O52" s="24">
        <f>COUNTIF(O10:O51,2)</f>
        <v>0</v>
      </c>
      <c r="AI52" s="24">
        <f>COUNTIF(AI10:AI51,TRUE)</f>
        <v>0</v>
      </c>
      <c r="AJ52" s="24"/>
      <c r="AK52" s="24"/>
      <c r="AL52" s="24"/>
      <c r="AM52" s="24"/>
      <c r="AN52" s="24"/>
    </row>
    <row r="53" spans="1:41">
      <c r="H53">
        <f>COUNTIF(H10:H51,インデックス!CJ185)</f>
        <v>0</v>
      </c>
      <c r="O53" s="24" cm="1">
        <f t="array" ref="O53">SUMPRODUCT((O10:O51=2)*($AN10:$AN51&lt;&gt;""))</f>
        <v>0</v>
      </c>
      <c r="AI53" s="24" cm="1">
        <f t="array" ref="AI53">SUMPRODUCT((AI10:AI51=TRUE)*($AN10:$AN51&lt;&gt;""))</f>
        <v>0</v>
      </c>
    </row>
    <row r="54" spans="1:41">
      <c r="E54" s="22"/>
      <c r="F54" s="22"/>
      <c r="H54" cm="1">
        <f t="array" ref="H54">SUMPRODUCT((H10:H51&lt;&gt;"")*(AN10:AN51&lt;&gt;""))</f>
        <v>0</v>
      </c>
    </row>
    <row r="55" spans="1:41">
      <c r="H55" cm="1">
        <f t="array" ref="H55">SUMPRODUCT((H10:H51=インデックス!$CJ$185)*(AN10:AN51&lt;&gt;""))</f>
        <v>0</v>
      </c>
    </row>
  </sheetData>
  <autoFilter ref="A7:AO51" xr:uid="{00000000-0009-0000-0000-00000D000000}"/>
  <mergeCells count="1">
    <mergeCell ref="M1:N2"/>
  </mergeCells>
  <phoneticPr fontId="7"/>
  <conditionalFormatting sqref="E35">
    <cfRule type="expression" dxfId="46" priority="7">
      <formula>$AF$6=TRUE</formula>
    </cfRule>
  </conditionalFormatting>
  <conditionalFormatting sqref="E10:I51">
    <cfRule type="expression" dxfId="45" priority="396">
      <formula>$AI10=FALSE</formula>
    </cfRule>
  </conditionalFormatting>
  <dataValidations count="1">
    <dataValidation type="list" allowBlank="1" showInputMessage="1" showErrorMessage="1" sqref="M8:M51" xr:uid="{00000000-0002-0000-0D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E7349485-592C-40BC-B24A-1E277158DA71}">
            <xm:f>M$1=インデックス!$CJ$189</xm:f>
            <x14:dxf>
              <fill>
                <patternFill>
                  <bgColor theme="5"/>
                </patternFill>
              </fill>
            </x14:dxf>
          </x14:cfRule>
          <x14:cfRule type="expression" priority="2" id="{11BBABD8-0978-4CDD-9ED5-60DBF59EF4F8}">
            <xm:f>M$1=インデックス!$CJ$188</xm:f>
            <x14:dxf>
              <fill>
                <patternFill>
                  <bgColor theme="9"/>
                </patternFill>
              </fill>
            </x14:dxf>
          </x14:cfRule>
          <x14:cfRule type="expression" priority="3" id="{FED3D574-A903-4D3D-B82B-9A9E6BA79132}">
            <xm:f>M$1=インデックス!$CJ$187</xm:f>
            <x14:dxf>
              <fill>
                <patternFill>
                  <bgColor theme="4"/>
                </patternFill>
              </fill>
            </x14:dxf>
          </x14:cfRule>
          <xm:sqref>M1:N2</xm:sqref>
        </x14:conditionalFormatting>
        <x14:conditionalFormatting xmlns:xm="http://schemas.microsoft.com/office/excel/2006/main">
          <x14:cfRule type="expression" priority="1270" id="{665E003E-73AD-4692-A898-2B5613E5F9CB}">
            <xm:f>AND($AI10=TRUE,COUNTIF($H10,インデックス!$CJ$186),ISBLANK($I10))</xm:f>
            <x14:dxf>
              <fill>
                <patternFill>
                  <bgColor theme="5"/>
                </patternFill>
              </fill>
            </x14:dxf>
          </x14:cfRule>
          <x14:cfRule type="expression" priority="1271" id="{FE463FA0-C1F6-4F0A-BFA5-4F7EB45E07FA}">
            <xm:f>AND($AI10=TRUE,$H10=インデックス!$CJ$184,ISBLANK($I10))</xm:f>
            <x14:dxf>
              <fill>
                <patternFill>
                  <bgColor theme="5"/>
                </patternFill>
              </fill>
            </x14:dxf>
          </x14:cfRule>
          <xm:sqref>I10:I51</xm:sqref>
        </x14:conditionalFormatting>
        <x14:conditionalFormatting xmlns:xm="http://schemas.microsoft.com/office/excel/2006/main">
          <x14:cfRule type="expression" priority="1292" id="{406B1929-4BC9-480C-BA1E-5575BBD8C581}">
            <xm:f>AND($AI10=TRUE,OR($H10=インデックス!$CJ$183,$H10=インデックス!$CJ$184,$H10=インデックス!$CJ$185,$H10=インデックス!$CJ$186),ISBLANK($M10))</xm:f>
            <x14:dxf>
              <fill>
                <patternFill>
                  <bgColor theme="5"/>
                </patternFill>
              </fill>
            </x14:dxf>
          </x14:cfRule>
          <xm:sqref>M10:M51</xm:sqref>
        </x14:conditionalFormatting>
        <x14:conditionalFormatting xmlns:xm="http://schemas.microsoft.com/office/excel/2006/main">
          <x14:cfRule type="expression" priority="1293" id="{EEE8FD60-FB2B-4C9D-80B5-87478AD7A596}">
            <xm:f>AND($AI10=TRUE,OR($H10=インデックス!$CJ$184,$H10=インデックス!$CJ$185,$H10=インデックス!$CJ$186),ISBLANK($N10))</xm:f>
            <x14:dxf>
              <fill>
                <patternFill>
                  <bgColor theme="5"/>
                </patternFill>
              </fill>
            </x14:dxf>
          </x14:cfRule>
          <xm:sqref>N10:N51</xm:sqref>
        </x14:conditionalFormatting>
        <x14:conditionalFormatting xmlns:xm="http://schemas.microsoft.com/office/excel/2006/main">
          <x14:cfRule type="expression" priority="1304" id="{B5D042C0-9627-4C08-A0A3-C2DD372F406B}">
            <xm:f>AND($AI29=TRUE,インデックス!$AL$63=TRUE,$H29=インデックス!$CJ$183,ISBLANK($I29))</xm:f>
            <x14:dxf>
              <fill>
                <patternFill>
                  <bgColor theme="5"/>
                </patternFill>
              </fill>
            </x14:dxf>
          </x14:cfRule>
          <xm:sqref>I29 I51</xm:sqref>
        </x14:conditionalFormatting>
        <x14:conditionalFormatting xmlns:xm="http://schemas.microsoft.com/office/excel/2006/main">
          <x14:cfRule type="expression" priority="1866" id="{33E2E281-2688-408C-A96A-9DCC5F42F012}">
            <xm:f>AND($AI10=TRUE,$H10=インデックス!$CJ$184,ISBLANK($M10),インデックス!$AL$40=TRUE)</xm:f>
            <x14:dxf>
              <fill>
                <patternFill>
                  <bgColor theme="5"/>
                </patternFill>
              </fill>
            </x14:dxf>
          </x14:cfRule>
          <xm:sqref>M10:M51</xm:sqref>
        </x14:conditionalFormatting>
        <x14:conditionalFormatting xmlns:xm="http://schemas.microsoft.com/office/excel/2006/main">
          <x14:cfRule type="expression" priority="1867" id="{0C84962F-939B-4726-AA7F-B063A20D07AE}">
            <xm:f>AND($AI10=TRUE,$H10=インデックス!$CJ$184,ISBLANK($N10),インデックス!$AL$40=TRUE)</xm:f>
            <x14:dxf>
              <fill>
                <patternFill>
                  <bgColor theme="5"/>
                </patternFill>
              </fill>
            </x14:dxf>
          </x14:cfRule>
          <xm:sqref>N14:O15 N33:O33 N21:O22 N16:N20 N45:O46 N34:N44 N47:N51 N23:N32 N10:N13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1000000}">
          <x14:formula1>
            <xm:f>インデックス!$CJ$183:$CJ$186</xm:f>
          </x14:formula1>
          <xm:sqref>H23:H32 H16:H20 H34:H44 H47:H51 H10:H13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O55"/>
  <sheetViews>
    <sheetView showGridLines="0" zoomScale="70" zoomScaleNormal="70" workbookViewId="0">
      <pane ySplit="7" topLeftCell="A11" activePane="bottomLeft" state="frozen"/>
      <selection activeCell="B5" sqref="B5"/>
      <selection pane="bottomLeft"/>
    </sheetView>
  </sheetViews>
  <sheetFormatPr defaultColWidth="9" defaultRowHeight="18" outlineLevelCol="1"/>
  <cols>
    <col min="1" max="2" width="5.58203125" customWidth="1"/>
    <col min="3" max="3" width="9.08203125" bestFit="1" customWidth="1"/>
    <col min="4" max="4" width="8.58203125" customWidth="1"/>
    <col min="5" max="6" width="100.58203125" style="2" customWidth="1"/>
    <col min="7" max="7" width="16.58203125" customWidth="1"/>
    <col min="8" max="8" width="20.58203125" customWidth="1"/>
    <col min="9" max="9" width="55.58203125" customWidth="1"/>
    <col min="10" max="12" width="15.58203125" style="24" hidden="1" customWidth="1" outlineLevel="1"/>
    <col min="13" max="13" width="18.58203125" style="24" customWidth="1" collapsed="1"/>
    <col min="14" max="14" width="50.58203125" style="49" customWidth="1"/>
    <col min="15" max="15" width="17.58203125" style="49" hidden="1" customWidth="1" outlineLevel="1"/>
    <col min="16" max="35" width="15.58203125" style="24" hidden="1" customWidth="1" outlineLevel="1"/>
    <col min="36" max="39" width="15.58203125" hidden="1" customWidth="1" outlineLevel="1"/>
    <col min="40" max="40" width="40.75" customWidth="1" collapsed="1"/>
    <col min="41" max="41" width="18.75" customWidth="1"/>
  </cols>
  <sheetData>
    <row r="1" spans="1:41" ht="32.5">
      <c r="A1" s="43" t="s">
        <v>1506</v>
      </c>
      <c r="E1" s="50"/>
      <c r="H1" s="24"/>
      <c r="I1" s="24"/>
      <c r="M1" s="387" t="str" cm="1">
        <f t="array" ref="M1">IF(COUNTIF(O10:O51,1)=0,インデックス!$CJ$187,IF(AND(インデックス!$AL$63,SUMPRODUCT((O10:O51=1)*($AN10:$AN51&lt;&gt;""))=0),インデックス!$CJ$188,インデックス!$CJ$189))</f>
        <v>全件評価完了</v>
      </c>
      <c r="N1" s="387"/>
      <c r="X1"/>
      <c r="Y1"/>
      <c r="Z1"/>
      <c r="AA1"/>
      <c r="AB1"/>
      <c r="AC1"/>
      <c r="AD1"/>
      <c r="AE1"/>
      <c r="AF1"/>
      <c r="AG1"/>
      <c r="AH1"/>
      <c r="AI1"/>
    </row>
    <row r="2" spans="1:41" ht="26.5">
      <c r="B2" s="42" t="s">
        <v>1302</v>
      </c>
      <c r="E2" s="50"/>
      <c r="H2" s="24"/>
      <c r="I2" s="24"/>
      <c r="M2" s="387"/>
      <c r="N2" s="387"/>
      <c r="X2"/>
      <c r="Y2"/>
      <c r="Z2"/>
      <c r="AA2"/>
      <c r="AB2"/>
      <c r="AC2"/>
      <c r="AD2"/>
      <c r="AE2"/>
      <c r="AF2"/>
      <c r="AG2"/>
      <c r="AH2"/>
      <c r="AI2"/>
    </row>
    <row r="3" spans="1:41" ht="26.5">
      <c r="B3" s="42" t="s">
        <v>1217</v>
      </c>
      <c r="E3" s="50"/>
      <c r="H3" s="24"/>
      <c r="I3" s="24"/>
      <c r="X3"/>
      <c r="Y3"/>
      <c r="Z3"/>
      <c r="AA3"/>
      <c r="AB3"/>
      <c r="AC3"/>
      <c r="AD3"/>
      <c r="AE3"/>
      <c r="AF3"/>
      <c r="AG3"/>
      <c r="AH3"/>
      <c r="AI3"/>
    </row>
    <row r="4" spans="1:41" ht="26.5">
      <c r="B4" s="42" t="s">
        <v>1111</v>
      </c>
      <c r="E4" s="50"/>
      <c r="H4" s="24"/>
      <c r="I4" s="24"/>
      <c r="X4"/>
      <c r="Y4"/>
      <c r="Z4"/>
      <c r="AA4"/>
      <c r="AB4"/>
      <c r="AC4"/>
      <c r="AD4"/>
      <c r="AE4"/>
      <c r="AF4"/>
      <c r="AG4"/>
      <c r="AH4"/>
      <c r="AI4"/>
    </row>
    <row r="5" spans="1:41" ht="26.5">
      <c r="B5" s="42" t="s">
        <v>1112</v>
      </c>
      <c r="E5" s="50"/>
      <c r="H5" s="24"/>
      <c r="I5" s="24"/>
      <c r="X5"/>
      <c r="Y5"/>
      <c r="Z5"/>
      <c r="AA5"/>
      <c r="AB5"/>
      <c r="AC5"/>
      <c r="AD5"/>
      <c r="AE5"/>
      <c r="AF5"/>
      <c r="AG5"/>
      <c r="AH5"/>
      <c r="AI5"/>
    </row>
    <row r="6" spans="1:41">
      <c r="J6" s="160"/>
      <c r="K6" s="160"/>
      <c r="L6" s="160"/>
      <c r="M6" s="163" t="s">
        <v>229</v>
      </c>
      <c r="N6" s="161"/>
      <c r="O6" s="161"/>
      <c r="P6" s="25" t="b">
        <f>AND(インデックス!$AL$38,インデックス!$AL$63)</f>
        <v>0</v>
      </c>
      <c r="Q6" s="25" t="b">
        <f>インデックス!$AL$39</f>
        <v>0</v>
      </c>
      <c r="R6" s="25" t="b">
        <f>OR(インデックス!$AL$37,インデックス!$AL$40)</f>
        <v>0</v>
      </c>
      <c r="S6" s="32" t="b">
        <f>インデックス!AL117</f>
        <v>0</v>
      </c>
      <c r="T6" s="26" t="b">
        <f>AND(TRUE,NOT(OR(インデックス!$AL$51,インデックス!$AL$69)))</f>
        <v>1</v>
      </c>
      <c r="U6" s="26" t="b">
        <f>AND(インデックス!$AL$56,NOT(OR(インデックス!$AL$51,インデックス!$AL$69)))</f>
        <v>0</v>
      </c>
      <c r="V6" s="26" t="b">
        <f>AND(インデックス!$AL$57,NOT(OR(インデックス!$AL$51,インデックス!$AL$69)))</f>
        <v>0</v>
      </c>
      <c r="W6" s="26" t="b">
        <f>AND(インデックス!$AL$58,NOT(OR(インデックス!$AL$51,インデックス!$AL$69)))</f>
        <v>0</v>
      </c>
      <c r="X6" s="30" t="b">
        <f>AND(インデックス!$AL$63,NOT(OR(インデックス!$AL$51,インデックス!$AL$69)))</f>
        <v>0</v>
      </c>
      <c r="Y6" s="26" t="b">
        <f>インデックス!$AL$86</f>
        <v>0</v>
      </c>
      <c r="Z6" s="26" t="b">
        <f>インデックス!$AL$88</f>
        <v>0</v>
      </c>
      <c r="AA6" s="26" t="b">
        <f>インデックス!$AL$87</f>
        <v>0</v>
      </c>
      <c r="AB6" s="26" t="b">
        <f>AND(インデックス!$AL$93,NOT(OR(インデックス!$AL$51,インデックス!$AL$69)))</f>
        <v>0</v>
      </c>
      <c r="AC6" s="26" t="b">
        <f>AND(インデックス!$AL$94,NOT(OR(インデックス!$AL$51,インデックス!$AL$69)))</f>
        <v>0</v>
      </c>
      <c r="AD6" s="31" t="b">
        <f>インデックス!$AL$43</f>
        <v>0</v>
      </c>
      <c r="AE6" s="31" t="b">
        <f>OR(インデックス!$AL$48,インデックス!$AL$49)</f>
        <v>0</v>
      </c>
      <c r="AF6" s="31" t="b">
        <f>AND(インデックス!AL50,インデックス!AL43)</f>
        <v>0</v>
      </c>
      <c r="AG6" s="31" t="b">
        <f>インデックス!$AL$63</f>
        <v>0</v>
      </c>
      <c r="AH6" s="31" t="b">
        <f>インデックス!$AL$44</f>
        <v>0</v>
      </c>
      <c r="AI6" s="160"/>
      <c r="AJ6" s="162"/>
      <c r="AK6" s="162"/>
      <c r="AL6" s="162"/>
      <c r="AM6" s="162"/>
      <c r="AN6" s="162"/>
      <c r="AO6" s="162"/>
    </row>
    <row r="7" spans="1:41" ht="67.5">
      <c r="A7" s="293"/>
      <c r="B7" s="293"/>
      <c r="C7" s="293" t="s">
        <v>230</v>
      </c>
      <c r="D7" s="293" t="s">
        <v>155</v>
      </c>
      <c r="E7" s="292" t="s">
        <v>1984</v>
      </c>
      <c r="F7" s="292" t="s">
        <v>1218</v>
      </c>
      <c r="G7" s="294" t="s">
        <v>232</v>
      </c>
      <c r="H7" s="64" t="s">
        <v>233</v>
      </c>
      <c r="I7" s="291" t="s">
        <v>1985</v>
      </c>
      <c r="J7" s="64" t="s">
        <v>234</v>
      </c>
      <c r="K7" s="64" t="s">
        <v>235</v>
      </c>
      <c r="L7" s="64" t="s">
        <v>236</v>
      </c>
      <c r="M7" s="159" t="s">
        <v>2001</v>
      </c>
      <c r="N7" s="73" t="s">
        <v>237</v>
      </c>
      <c r="O7" s="290" t="s">
        <v>1989</v>
      </c>
      <c r="P7" s="64" t="s">
        <v>238</v>
      </c>
      <c r="Q7" s="64" t="s">
        <v>239</v>
      </c>
      <c r="R7" s="159" t="s">
        <v>240</v>
      </c>
      <c r="S7" s="64" t="s">
        <v>1219</v>
      </c>
      <c r="T7" s="74" t="s">
        <v>241</v>
      </c>
      <c r="U7" s="74" t="s">
        <v>716</v>
      </c>
      <c r="V7" s="112" t="s">
        <v>717</v>
      </c>
      <c r="W7" s="112" t="s">
        <v>718</v>
      </c>
      <c r="X7" s="74" t="s">
        <v>195</v>
      </c>
      <c r="Y7" s="74" t="s">
        <v>82</v>
      </c>
      <c r="Z7" s="74" t="s">
        <v>84</v>
      </c>
      <c r="AA7" s="74" t="s">
        <v>469</v>
      </c>
      <c r="AB7" s="74" t="s">
        <v>242</v>
      </c>
      <c r="AC7" s="74" t="s">
        <v>466</v>
      </c>
      <c r="AD7" s="74" t="s">
        <v>470</v>
      </c>
      <c r="AE7" s="112" t="s">
        <v>467</v>
      </c>
      <c r="AF7" s="312" t="s">
        <v>2076</v>
      </c>
      <c r="AG7" s="112" t="s">
        <v>195</v>
      </c>
      <c r="AH7" s="74" t="s">
        <v>719</v>
      </c>
      <c r="AI7" s="74" t="s">
        <v>243</v>
      </c>
      <c r="AJ7" s="74" t="s">
        <v>244</v>
      </c>
      <c r="AK7" s="74" t="s">
        <v>245</v>
      </c>
      <c r="AL7" s="74" t="s">
        <v>246</v>
      </c>
      <c r="AM7" s="74" t="s">
        <v>247</v>
      </c>
      <c r="AN7" s="74" t="s">
        <v>248</v>
      </c>
      <c r="AO7" s="74" t="s">
        <v>249</v>
      </c>
    </row>
    <row r="8" spans="1:41" ht="22.5">
      <c r="A8" s="75" t="s">
        <v>1303</v>
      </c>
      <c r="B8" s="75"/>
      <c r="C8" s="76"/>
      <c r="D8" s="76"/>
      <c r="E8" s="77"/>
      <c r="F8" s="77"/>
      <c r="G8" s="78"/>
      <c r="H8" s="79"/>
      <c r="I8" s="79"/>
      <c r="J8" s="80"/>
      <c r="K8" s="80"/>
      <c r="L8" s="80"/>
      <c r="M8" s="80"/>
      <c r="N8" s="81"/>
      <c r="O8" s="81"/>
      <c r="P8" s="80"/>
      <c r="Q8" s="80"/>
      <c r="R8" s="80"/>
      <c r="S8" s="80"/>
      <c r="T8" s="80"/>
      <c r="U8" s="80"/>
      <c r="V8" s="80"/>
      <c r="W8" s="80"/>
      <c r="X8" s="80"/>
      <c r="Y8" s="80"/>
      <c r="Z8" s="80"/>
      <c r="AA8" s="80"/>
      <c r="AB8" s="80"/>
      <c r="AC8" s="80"/>
      <c r="AD8" s="80"/>
      <c r="AE8" s="80"/>
      <c r="AF8" s="80"/>
      <c r="AG8" s="80"/>
      <c r="AH8" s="80"/>
      <c r="AI8" s="80"/>
      <c r="AJ8" s="80"/>
      <c r="AK8" s="80"/>
      <c r="AL8" s="80"/>
      <c r="AM8" s="80"/>
      <c r="AN8" s="80"/>
      <c r="AO8" s="80"/>
    </row>
    <row r="9" spans="1:41" ht="22.5">
      <c r="A9" s="75"/>
      <c r="B9" s="82"/>
      <c r="C9" s="83"/>
      <c r="D9" s="83"/>
      <c r="E9" s="84"/>
      <c r="F9" s="84"/>
      <c r="G9" s="85"/>
      <c r="H9" s="86"/>
      <c r="I9" s="86"/>
      <c r="J9" s="87"/>
      <c r="K9" s="87"/>
      <c r="L9" s="87"/>
      <c r="M9" s="87"/>
      <c r="N9" s="88"/>
      <c r="O9" s="88"/>
      <c r="P9" s="87"/>
      <c r="Q9" s="87"/>
      <c r="R9" s="87"/>
      <c r="S9" s="87"/>
      <c r="T9" s="89"/>
      <c r="U9" s="89"/>
      <c r="V9" s="89"/>
      <c r="W9" s="89"/>
      <c r="X9" s="89"/>
      <c r="Y9" s="89"/>
      <c r="Z9" s="89"/>
      <c r="AA9" s="89"/>
      <c r="AB9" s="89"/>
      <c r="AC9" s="89"/>
      <c r="AD9" s="89"/>
      <c r="AE9" s="89"/>
      <c r="AF9" s="89"/>
      <c r="AG9" s="89"/>
      <c r="AH9" s="89"/>
      <c r="AI9" s="89"/>
      <c r="AJ9" s="89"/>
      <c r="AK9" s="89"/>
      <c r="AL9" s="89"/>
      <c r="AM9" s="89"/>
      <c r="AN9" s="89"/>
      <c r="AO9" s="89"/>
    </row>
    <row r="10" spans="1:41" ht="67.5">
      <c r="A10" s="75"/>
      <c r="B10" s="82"/>
      <c r="C10" s="71" t="s">
        <v>1507</v>
      </c>
      <c r="D10" s="90" t="s">
        <v>252</v>
      </c>
      <c r="E10" s="91" t="str">
        <f>'運用プロセス(自社DC)'!E9</f>
        <v>保管期限を超過したデータを削除する設計としているか。</v>
      </c>
      <c r="F10" s="91" t="s">
        <v>1508</v>
      </c>
      <c r="G10" s="92" t="s">
        <v>254</v>
      </c>
      <c r="H10" s="181"/>
      <c r="I10" s="181"/>
      <c r="J10" s="94"/>
      <c r="K10" s="94"/>
      <c r="L10" s="94"/>
      <c r="M10" s="94"/>
      <c r="N10" s="247"/>
      <c r="O10" s="111" cm="1">
        <f t="array" ref="O10">IF(AI10=TRUE,_xlfn.IFS(M10=1,2,M10="",IF(N10="",1,2)),0)</f>
        <v>0</v>
      </c>
      <c r="P10" s="95" t="s">
        <v>255</v>
      </c>
      <c r="Q10" s="95" t="s">
        <v>183</v>
      </c>
      <c r="R10" s="95" t="s">
        <v>183</v>
      </c>
      <c r="S10" s="95" t="s">
        <v>183</v>
      </c>
      <c r="T10" s="96" t="s">
        <v>183</v>
      </c>
      <c r="U10" s="96"/>
      <c r="V10" s="96"/>
      <c r="W10" s="96"/>
      <c r="X10" s="96" t="s">
        <v>448</v>
      </c>
      <c r="Y10" s="95"/>
      <c r="Z10" s="95"/>
      <c r="AA10" s="95"/>
      <c r="AB10" s="95"/>
      <c r="AC10" s="95"/>
      <c r="AD10" s="95" t="s">
        <v>183</v>
      </c>
      <c r="AE10" s="95" t="s">
        <v>183</v>
      </c>
      <c r="AF10" s="95"/>
      <c r="AG10" s="95"/>
      <c r="AH10" s="95"/>
      <c r="AI10" s="94" t="b">
        <f>AND(OR(AND($P$6=TRUE,$P10&lt;&gt;""),AND($Q$6=TRUE,$Q10&lt;&gt;""),AND($R$6=TRUE,$R10&lt;&gt;"")),AND($S$6=TRUE,$S10&lt;&gt;""),OR(AND($T$6=TRUE,$T10&lt;&gt;""),AND($U$6=TRUE,$U10&lt;&gt;""),AND($V$6=TRUE,$V10&lt;&gt;""),AND($W$6=TRUE,$W10&lt;&gt;""),AND($X$6=TRUE,$X10&lt;&gt;""),AND($Y$6=TRUE,$Y10&lt;&gt;""),AND($Z$6=TRUE,$Z10&lt;&gt;""),AND($AA$6=TRUE,$AA10&lt;&gt;""),AND($AB$6=TRUE,$AB10&lt;&gt;""),AND($AC$6=TRUE,$AC10&lt;&gt;"")),OR(AND($AD$6=TRUE,$AD10&lt;&gt;""),AND($AE$6=TRUE,$AE10&lt;&gt;""),AND($AF$6=TRUE,$AF10&lt;&gt;""),AND($AG$6=TRUE,$AG10&lt;&gt;""),AND($AH$6=TRUE,$AH10&lt;&gt;"")))</f>
        <v>0</v>
      </c>
      <c r="AJ10" s="94"/>
      <c r="AK10" s="94"/>
      <c r="AL10" s="94"/>
      <c r="AM10" s="94"/>
      <c r="AN10" s="170" t="str">
        <f>IF(AJ10&lt;&gt;"","セキュリティ管理/","")&amp;IF(AK10&lt;&gt;"","マルウェア/","")&amp;IF(AL10&lt;&gt;"","クラウド/","")&amp;IF(AM10&lt;&gt;"","別表1,2,3","")</f>
        <v/>
      </c>
      <c r="AO10" s="94"/>
    </row>
    <row r="11" spans="1:41" ht="202.5">
      <c r="A11" s="75"/>
      <c r="B11" s="82"/>
      <c r="C11" s="71" t="s">
        <v>1509</v>
      </c>
      <c r="D11" s="90" t="s">
        <v>478</v>
      </c>
      <c r="E11" s="91" t="str">
        <f>'運用プロセス(自社DC)'!E10</f>
        <v>システムで利用するハードウェアや記憶媒体を廃棄、または、リース会社へ機器を返却する場合のデータ消去※の確実な実施、記録、記録の保管についての運用が設計されているか。
※データ消去は第三者に廃棄を委託する場合も含め、以下のような復元不可能な方法で実施すること
　・消磁等の物理的消去　
　・データの上書き等の論理的消去　
　なお、消去にあたっては記憶媒体の特性を踏まえて選択する必要がある。
　例えばSSDは消磁が出来ないので注意すること。</v>
      </c>
      <c r="F11" s="91" t="s">
        <v>1510</v>
      </c>
      <c r="G11" s="92" t="s">
        <v>254</v>
      </c>
      <c r="H11" s="181"/>
      <c r="I11" s="181"/>
      <c r="J11" s="94"/>
      <c r="K11" s="94"/>
      <c r="L11" s="94"/>
      <c r="M11" s="94"/>
      <c r="N11" s="247"/>
      <c r="O11" s="111" cm="1">
        <f t="array" ref="O11">IF(AI11=TRUE,_xlfn.IFS(M11=1,2,M11="",IF(N11="",1,2)),0)</f>
        <v>0</v>
      </c>
      <c r="P11" s="95" t="s">
        <v>255</v>
      </c>
      <c r="Q11" s="95" t="s">
        <v>183</v>
      </c>
      <c r="R11" s="95" t="s">
        <v>183</v>
      </c>
      <c r="S11" s="95" t="s">
        <v>183</v>
      </c>
      <c r="T11" s="96" t="s">
        <v>183</v>
      </c>
      <c r="U11" s="96"/>
      <c r="V11" s="96"/>
      <c r="W11" s="96"/>
      <c r="X11" s="96" t="s">
        <v>448</v>
      </c>
      <c r="Y11" s="95"/>
      <c r="Z11" s="95"/>
      <c r="AA11" s="95"/>
      <c r="AB11" s="95"/>
      <c r="AC11" s="95"/>
      <c r="AD11" s="95" t="s">
        <v>183</v>
      </c>
      <c r="AE11" s="95" t="s">
        <v>183</v>
      </c>
      <c r="AF11" s="95"/>
      <c r="AG11" s="95"/>
      <c r="AH11" s="95"/>
      <c r="AI11" s="94" t="b">
        <f>AND(OR(AND($P$6=TRUE,$P11&lt;&gt;""),AND($Q$6=TRUE,$Q11&lt;&gt;""),AND($R$6=TRUE,$R11&lt;&gt;"")),AND($S$6=TRUE,$S11&lt;&gt;""),OR(AND($T$6=TRUE,$T11&lt;&gt;""),AND($U$6=TRUE,$U11&lt;&gt;""),AND($V$6=TRUE,$V11&lt;&gt;""),AND($W$6=TRUE,$W11&lt;&gt;""),AND($X$6=TRUE,$X11&lt;&gt;""),AND($Y$6=TRUE,$Y11&lt;&gt;""),AND($Z$6=TRUE,$Z11&lt;&gt;""),AND($AA$6=TRUE,$AA11&lt;&gt;""),AND($AB$6=TRUE,$AB11&lt;&gt;""),AND($AC$6=TRUE,$AC11&lt;&gt;"")),OR(AND($AD$6=TRUE,$AD11&lt;&gt;""),AND($AE$6=TRUE,$AE11&lt;&gt;""),AND($AF$6=TRUE,$AF11&lt;&gt;""),AND($AG$6=TRUE,$AG11&lt;&gt;""),AND($AH$6=TRUE,$AH11&lt;&gt;"")))</f>
        <v>0</v>
      </c>
      <c r="AJ11" s="94"/>
      <c r="AK11" s="94"/>
      <c r="AL11" s="94"/>
      <c r="AM11" s="94"/>
      <c r="AN11" s="170" t="str">
        <f>IF(AJ11&lt;&gt;"","セキュリティ管理/","")&amp;IF(AK11&lt;&gt;"","マルウェア/","")&amp;IF(AL11&lt;&gt;"","クラウド/","")&amp;IF(AM11&lt;&gt;"","別表1,2,3","")</f>
        <v/>
      </c>
      <c r="AO11" s="94"/>
    </row>
    <row r="12" spans="1:41" ht="67.5">
      <c r="A12" s="75"/>
      <c r="B12" s="82"/>
      <c r="C12" s="71" t="s">
        <v>1511</v>
      </c>
      <c r="D12" s="90" t="s">
        <v>259</v>
      </c>
      <c r="E12" s="91" t="str">
        <f>'運用プロセス(自社DC)'!E11</f>
        <v>システムで利用するハードウェアや記憶媒体を廃棄、または、リース会社へ機器を返却する場合のデータ消去を他社に委託する場合、委託先との間での秘密保持契約を締結する運用としているか。</v>
      </c>
      <c r="F12" s="91" t="s">
        <v>1399</v>
      </c>
      <c r="G12" s="92" t="s">
        <v>254</v>
      </c>
      <c r="H12" s="181"/>
      <c r="I12" s="181"/>
      <c r="J12" s="94"/>
      <c r="K12" s="94"/>
      <c r="L12" s="94"/>
      <c r="M12" s="94"/>
      <c r="N12" s="247"/>
      <c r="O12" s="111" cm="1">
        <f t="array" ref="O12">IF(AI12=TRUE,_xlfn.IFS(M12=1,2,M12="",IF(N12="",1,2)),0)</f>
        <v>0</v>
      </c>
      <c r="P12" s="95" t="s">
        <v>255</v>
      </c>
      <c r="Q12" s="95" t="s">
        <v>183</v>
      </c>
      <c r="R12" s="95" t="s">
        <v>183</v>
      </c>
      <c r="S12" s="95" t="s">
        <v>183</v>
      </c>
      <c r="T12" s="96" t="s">
        <v>183</v>
      </c>
      <c r="U12" s="96"/>
      <c r="V12" s="96"/>
      <c r="W12" s="96"/>
      <c r="X12" s="96" t="s">
        <v>448</v>
      </c>
      <c r="Y12" s="95"/>
      <c r="Z12" s="95"/>
      <c r="AA12" s="95"/>
      <c r="AB12" s="95"/>
      <c r="AC12" s="95"/>
      <c r="AD12" s="95" t="s">
        <v>183</v>
      </c>
      <c r="AE12" s="95" t="s">
        <v>183</v>
      </c>
      <c r="AF12" s="95"/>
      <c r="AG12" s="95"/>
      <c r="AH12" s="95"/>
      <c r="AI12" s="94" t="b">
        <f>AND(OR(AND($P$6=TRUE,$P12&lt;&gt;""),AND($Q$6=TRUE,$Q12&lt;&gt;""),AND($R$6=TRUE,$R12&lt;&gt;"")),AND($S$6=TRUE,$S12&lt;&gt;""),OR(AND($T$6=TRUE,$T12&lt;&gt;""),AND($U$6=TRUE,$U12&lt;&gt;""),AND($V$6=TRUE,$V12&lt;&gt;""),AND($W$6=TRUE,$W12&lt;&gt;""),AND($X$6=TRUE,$X12&lt;&gt;""),AND($Y$6=TRUE,$Y12&lt;&gt;""),AND($Z$6=TRUE,$Z12&lt;&gt;""),AND($AA$6=TRUE,$AA12&lt;&gt;""),AND($AB$6=TRUE,$AB12&lt;&gt;""),AND($AC$6=TRUE,$AC12&lt;&gt;"")),OR(AND($AD$6=TRUE,$AD12&lt;&gt;""),AND($AE$6=TRUE,$AE12&lt;&gt;""),AND($AF$6=TRUE,$AF12&lt;&gt;""),AND($AG$6=TRUE,$AG12&lt;&gt;""),AND($AH$6=TRUE,$AH12&lt;&gt;"")))</f>
        <v>0</v>
      </c>
      <c r="AJ12" s="94"/>
      <c r="AK12" s="94"/>
      <c r="AL12" s="94"/>
      <c r="AM12" s="94"/>
      <c r="AN12" s="170" t="str">
        <f>IF(AJ12&lt;&gt;"","セキュリティ管理/","")&amp;IF(AK12&lt;&gt;"","マルウェア/","")&amp;IF(AL12&lt;&gt;"","クラウド/","")&amp;IF(AM12&lt;&gt;"","別表1,2,3","")</f>
        <v/>
      </c>
      <c r="AO12" s="94"/>
    </row>
    <row r="13" spans="1:41" ht="67.5">
      <c r="A13" s="75"/>
      <c r="B13" s="82"/>
      <c r="C13" s="196" t="s">
        <v>2267</v>
      </c>
      <c r="D13" s="196" t="s">
        <v>262</v>
      </c>
      <c r="E13" s="91" t="str">
        <f>'運用プロセス(自社DC)'!E12</f>
        <v>ドメインを新規に取得する場合、あるいは既に利用しているドメインについては、そのドメインが将来的に不要になった場合でも悪意ある第三者による再利用（ドロップキャッチ）を防ぐ観点から解放せず保持し続ける前提で計画しているか。</v>
      </c>
      <c r="F13" s="91" t="s">
        <v>1151</v>
      </c>
      <c r="G13" s="92" t="s">
        <v>254</v>
      </c>
      <c r="H13" s="181"/>
      <c r="I13" s="181"/>
      <c r="J13" s="94"/>
      <c r="K13" s="94"/>
      <c r="L13" s="94"/>
      <c r="M13" s="94"/>
      <c r="N13" s="247"/>
      <c r="O13" s="111" cm="1">
        <f t="array" ref="O13">IF(AI13=TRUE,_xlfn.IFS(M13=1,2,M13="",IF(N13="",1,2)),0)</f>
        <v>0</v>
      </c>
      <c r="P13" s="95" t="s">
        <v>255</v>
      </c>
      <c r="Q13" s="95" t="s">
        <v>183</v>
      </c>
      <c r="R13" s="95" t="s">
        <v>183</v>
      </c>
      <c r="S13" s="95" t="s">
        <v>183</v>
      </c>
      <c r="T13" s="96" t="s">
        <v>183</v>
      </c>
      <c r="U13" s="96"/>
      <c r="V13" s="96"/>
      <c r="W13" s="96"/>
      <c r="X13" s="96" t="s">
        <v>448</v>
      </c>
      <c r="Y13" s="95"/>
      <c r="Z13" s="95"/>
      <c r="AA13" s="95"/>
      <c r="AB13" s="95"/>
      <c r="AC13" s="95"/>
      <c r="AD13" s="95" t="s">
        <v>183</v>
      </c>
      <c r="AE13" s="95" t="s">
        <v>183</v>
      </c>
      <c r="AF13" s="95"/>
      <c r="AG13" s="95"/>
      <c r="AH13" s="95"/>
      <c r="AI13" s="94" t="b">
        <f>AND(OR(AND($P$6=TRUE,$P13&lt;&gt;""),AND($Q$6=TRUE,$Q13&lt;&gt;""),AND($R$6=TRUE,$R13&lt;&gt;"")),AND($S$6=TRUE,$S13&lt;&gt;""),OR(AND($T$6=TRUE,$T13&lt;&gt;""),AND($U$6=TRUE,$U13&lt;&gt;""),AND($V$6=TRUE,$V13&lt;&gt;""),AND($W$6=TRUE,$W13&lt;&gt;""),AND($X$6=TRUE,$X13&lt;&gt;""),AND($Y$6=TRUE,$Y13&lt;&gt;""),AND($Z$6=TRUE,$Z13&lt;&gt;""),AND($AA$6=TRUE,$AA13&lt;&gt;""),AND($AB$6=TRUE,$AB13&lt;&gt;""),AND($AC$6=TRUE,$AC13&lt;&gt;"")),OR(AND($AD$6=TRUE,$AD13&lt;&gt;""),AND($AE$6=TRUE,$AE13&lt;&gt;""),AND($AF$6=TRUE,$AF13&lt;&gt;""),AND($AG$6=TRUE,$AG13&lt;&gt;""),AND($AH$6=TRUE,$AH13&lt;&gt;"")))</f>
        <v>0</v>
      </c>
      <c r="AJ13" s="94"/>
      <c r="AK13" s="94"/>
      <c r="AL13" s="94"/>
      <c r="AM13" s="94"/>
      <c r="AN13" s="170" t="str">
        <f>IF(AJ13&lt;&gt;"","セキュリティ管理/","")&amp;IF(AK13&lt;&gt;"","マルウェア/","")&amp;IF(AL13&lt;&gt;"","クラウド/","")&amp;IF(AM13&lt;&gt;"","別表1,2,3","")</f>
        <v/>
      </c>
      <c r="AO13" s="94" t="s">
        <v>2261</v>
      </c>
    </row>
    <row r="14" spans="1:41" ht="22.5">
      <c r="A14" s="75" t="s">
        <v>1309</v>
      </c>
      <c r="B14" s="75"/>
      <c r="C14" s="113"/>
      <c r="D14" s="76"/>
      <c r="E14" s="77"/>
      <c r="F14" s="77"/>
      <c r="G14" s="78"/>
      <c r="H14" s="79"/>
      <c r="I14" s="79"/>
      <c r="J14" s="80"/>
      <c r="K14" s="80"/>
      <c r="L14" s="80"/>
      <c r="M14" s="80"/>
      <c r="N14" s="245"/>
      <c r="O14" s="245"/>
      <c r="P14" s="80"/>
      <c r="Q14" s="80"/>
      <c r="R14" s="80"/>
      <c r="S14" s="80"/>
      <c r="T14" s="80"/>
      <c r="U14" s="80"/>
      <c r="V14" s="80"/>
      <c r="W14" s="80"/>
      <c r="X14" s="80"/>
      <c r="Y14" s="80"/>
      <c r="Z14" s="80"/>
      <c r="AA14" s="80"/>
      <c r="AB14" s="80"/>
      <c r="AC14" s="80"/>
      <c r="AD14" s="80"/>
      <c r="AE14" s="80"/>
      <c r="AF14" s="80"/>
      <c r="AG14" s="80"/>
      <c r="AH14" s="80"/>
      <c r="AI14" s="80" t="s">
        <v>728</v>
      </c>
      <c r="AJ14" s="80"/>
      <c r="AK14" s="80"/>
      <c r="AL14" s="80"/>
      <c r="AM14" s="80"/>
      <c r="AN14" s="80"/>
      <c r="AO14" s="80"/>
    </row>
    <row r="15" spans="1:41" ht="22.5">
      <c r="A15" s="75"/>
      <c r="B15" s="82"/>
      <c r="C15" s="115"/>
      <c r="D15" s="83"/>
      <c r="E15" s="84"/>
      <c r="F15" s="84"/>
      <c r="G15" s="85"/>
      <c r="H15" s="86"/>
      <c r="I15" s="86"/>
      <c r="J15" s="87"/>
      <c r="K15" s="87"/>
      <c r="L15" s="87"/>
      <c r="M15" s="87"/>
      <c r="N15" s="246"/>
      <c r="O15" s="246"/>
      <c r="P15" s="87"/>
      <c r="Q15" s="87"/>
      <c r="R15" s="87"/>
      <c r="S15" s="87"/>
      <c r="T15" s="89"/>
      <c r="U15" s="89"/>
      <c r="V15" s="89"/>
      <c r="W15" s="89"/>
      <c r="X15" s="89"/>
      <c r="Y15" s="89"/>
      <c r="Z15" s="89"/>
      <c r="AA15" s="89"/>
      <c r="AB15" s="89"/>
      <c r="AC15" s="89"/>
      <c r="AD15" s="89"/>
      <c r="AE15" s="89"/>
      <c r="AF15" s="89"/>
      <c r="AG15" s="89"/>
      <c r="AH15" s="89"/>
      <c r="AI15" s="89" t="s">
        <v>728</v>
      </c>
      <c r="AJ15" s="89"/>
      <c r="AK15" s="89"/>
      <c r="AL15" s="89"/>
      <c r="AM15" s="89"/>
      <c r="AN15" s="89"/>
      <c r="AO15" s="89"/>
    </row>
    <row r="16" spans="1:41" ht="201.65" customHeight="1">
      <c r="A16" s="75"/>
      <c r="B16" s="82"/>
      <c r="C16" s="71" t="s">
        <v>1512</v>
      </c>
      <c r="D16" s="90" t="s">
        <v>270</v>
      </c>
      <c r="E16" s="91" t="str">
        <f>'運用プロセス(自社DC)'!E15</f>
        <v>システムのユーザ、運用担当者のIDの発行管理（ID申請・登録・変更・削除など）に係わるルール・手順が文書で定められているか
また、以下のことがルール・手順として定められているか。
・運用担当者のIDの発行、変更、削除は管理者の承認がなければ実施できない
・本番データにアクセス可能なＩＤをシステム運用者に付与する場合の基準・対象者を明確にしている
・ユーザおよび運用担当者のIDの発行履歴（ID申請・登録・変更・削除など）を３年間保存する</v>
      </c>
      <c r="F16" s="91" t="s">
        <v>1513</v>
      </c>
      <c r="G16" s="92" t="s">
        <v>254</v>
      </c>
      <c r="H16" s="181"/>
      <c r="I16" s="181"/>
      <c r="J16" s="94"/>
      <c r="K16" s="94"/>
      <c r="L16" s="94"/>
      <c r="M16" s="94"/>
      <c r="N16" s="247"/>
      <c r="O16" s="111" cm="1">
        <f t="array" ref="O16">IF(AI16=TRUE,_xlfn.IFS(M16=1,2,M16="",IF(N16="",1,2)),0)</f>
        <v>0</v>
      </c>
      <c r="P16" s="95" t="s">
        <v>255</v>
      </c>
      <c r="Q16" s="95" t="s">
        <v>183</v>
      </c>
      <c r="R16" s="95" t="s">
        <v>183</v>
      </c>
      <c r="S16" s="95" t="s">
        <v>183</v>
      </c>
      <c r="T16" s="96" t="s">
        <v>183</v>
      </c>
      <c r="U16" s="96"/>
      <c r="V16" s="96"/>
      <c r="W16" s="96"/>
      <c r="X16" s="96" t="s">
        <v>448</v>
      </c>
      <c r="Y16" s="95"/>
      <c r="Z16" s="95"/>
      <c r="AA16" s="95"/>
      <c r="AB16" s="95"/>
      <c r="AC16" s="95"/>
      <c r="AD16" s="95" t="s">
        <v>183</v>
      </c>
      <c r="AE16" s="95" t="s">
        <v>183</v>
      </c>
      <c r="AF16" s="95"/>
      <c r="AG16" s="95" t="s">
        <v>255</v>
      </c>
      <c r="AH16" s="95"/>
      <c r="AI16" s="94" t="b">
        <f>AND(OR(AND($P$6=TRUE,$P16&lt;&gt;""),AND($Q$6=TRUE,$Q16&lt;&gt;""),AND($R$6=TRUE,$R16&lt;&gt;"")),AND($S$6=TRUE,$S16&lt;&gt;""),OR(AND($T$6=TRUE,$T16&lt;&gt;""),AND($U$6=TRUE,$U16&lt;&gt;""),AND($V$6=TRUE,$V16&lt;&gt;""),AND($W$6=TRUE,$W16&lt;&gt;""),AND($X$6=TRUE,$X16&lt;&gt;""),AND($Y$6=TRUE,$Y16&lt;&gt;""),AND($Z$6=TRUE,$Z16&lt;&gt;""),AND($AA$6=TRUE,$AA16&lt;&gt;""),AND($AB$6=TRUE,$AB16&lt;&gt;""),AND($AC$6=TRUE,$AC16&lt;&gt;"")),OR(AND($AD$6=TRUE,$AD16&lt;&gt;""),AND($AE$6=TRUE,$AE16&lt;&gt;""),AND($AF$6=TRUE,$AF16&lt;&gt;""),AND($AG$6=TRUE,$AG16&lt;&gt;""),AND($AH$6=TRUE,$AH16&lt;&gt;"")))</f>
        <v>0</v>
      </c>
      <c r="AJ16" s="94" t="s">
        <v>183</v>
      </c>
      <c r="AK16" s="94"/>
      <c r="AL16" s="94"/>
      <c r="AM16" s="94" t="s">
        <v>183</v>
      </c>
      <c r="AN16" s="170" t="str">
        <f>IF(AJ16&lt;&gt;"","セキュリティ管理/","")&amp;IF(AK16&lt;&gt;"","マルウェア/","")&amp;IF(AL16&lt;&gt;"","クラウド/","")&amp;IF(AM16&lt;&gt;"","別表1,2,3","")</f>
        <v>セキュリティ管理/別表1,2,3</v>
      </c>
      <c r="AO16" s="94"/>
    </row>
    <row r="17" spans="1:41" ht="112.5">
      <c r="A17" s="75"/>
      <c r="B17" s="82"/>
      <c r="C17" s="71" t="s">
        <v>1514</v>
      </c>
      <c r="D17" s="90" t="s">
        <v>562</v>
      </c>
      <c r="E17" s="91" t="str">
        <f>'運用プロセス(自社DC)'!E16</f>
        <v xml:space="preserve">不要もしくは一定期間利用されていない運用担当者アカウントの棚卸を定期的に実施する運用を設計しているか。
また、IDの有効期間を経過した場合は、期間終了時に利用不可とし、
人事異動に伴う事象では人事システムと連動することで不要な権限の剥奪を自動化しているか
</v>
      </c>
      <c r="F17" s="91" t="s">
        <v>1515</v>
      </c>
      <c r="G17" s="92" t="s">
        <v>254</v>
      </c>
      <c r="H17" s="181"/>
      <c r="I17" s="181"/>
      <c r="J17" s="97" t="s">
        <v>1314</v>
      </c>
      <c r="K17" s="94"/>
      <c r="L17" s="94"/>
      <c r="M17" s="94"/>
      <c r="N17" s="247"/>
      <c r="O17" s="111" cm="1">
        <f t="array" ref="O17">IF(AI17=TRUE,_xlfn.IFS(M17=1,2,M17="",IF(N17="",1,2)),0)</f>
        <v>0</v>
      </c>
      <c r="P17" s="95" t="s">
        <v>255</v>
      </c>
      <c r="Q17" s="95" t="s">
        <v>183</v>
      </c>
      <c r="R17" s="95" t="s">
        <v>183</v>
      </c>
      <c r="S17" s="95" t="s">
        <v>183</v>
      </c>
      <c r="T17" s="96" t="s">
        <v>183</v>
      </c>
      <c r="U17" s="96"/>
      <c r="V17" s="96"/>
      <c r="W17" s="96"/>
      <c r="X17" s="96" t="s">
        <v>448</v>
      </c>
      <c r="Y17" s="95"/>
      <c r="Z17" s="95"/>
      <c r="AA17" s="95"/>
      <c r="AB17" s="95"/>
      <c r="AC17" s="95"/>
      <c r="AD17" s="95" t="s">
        <v>183</v>
      </c>
      <c r="AE17" s="95" t="s">
        <v>183</v>
      </c>
      <c r="AF17" s="95"/>
      <c r="AG17" s="95" t="s">
        <v>255</v>
      </c>
      <c r="AH17" s="95"/>
      <c r="AI17" s="94" t="b">
        <f>AND(OR(AND($P$6=TRUE,$P17&lt;&gt;""),AND($Q$6=TRUE,$Q17&lt;&gt;""),AND($R$6=TRUE,$R17&lt;&gt;"")),AND($S$6=TRUE,$S17&lt;&gt;""),OR(AND($T$6=TRUE,$T17&lt;&gt;""),AND($U$6=TRUE,$U17&lt;&gt;""),AND($V$6=TRUE,$V17&lt;&gt;""),AND($W$6=TRUE,$W17&lt;&gt;""),AND($X$6=TRUE,$X17&lt;&gt;""),AND($Y$6=TRUE,$Y17&lt;&gt;""),AND($Z$6=TRUE,$Z17&lt;&gt;""),AND($AA$6=TRUE,$AA17&lt;&gt;""),AND($AB$6=TRUE,$AB17&lt;&gt;""),AND($AC$6=TRUE,$AC17&lt;&gt;"")),OR(AND($AD$6=TRUE,$AD17&lt;&gt;""),AND($AE$6=TRUE,$AE17&lt;&gt;""),AND($AF$6=TRUE,$AF17&lt;&gt;""),AND($AG$6=TRUE,$AG17&lt;&gt;""),AND($AH$6=TRUE,$AH17&lt;&gt;"")))</f>
        <v>0</v>
      </c>
      <c r="AJ17" s="94" t="s">
        <v>183</v>
      </c>
      <c r="AK17" s="94"/>
      <c r="AL17" s="94"/>
      <c r="AM17" s="94" t="s">
        <v>183</v>
      </c>
      <c r="AN17" s="170" t="str">
        <f>IF(AJ17&lt;&gt;"","セキュリティ管理/","")&amp;IF(AK17&lt;&gt;"","マルウェア/","")&amp;IF(AL17&lt;&gt;"","クラウド/","")&amp;IF(AM17&lt;&gt;"","別表1,2,3","")</f>
        <v>セキュリティ管理/別表1,2,3</v>
      </c>
      <c r="AO17" s="94"/>
    </row>
    <row r="18" spans="1:41" ht="45">
      <c r="A18" s="75"/>
      <c r="B18" s="82"/>
      <c r="C18" s="71" t="s">
        <v>1516</v>
      </c>
      <c r="D18" s="90" t="s">
        <v>565</v>
      </c>
      <c r="E18" s="91" t="str">
        <f>'運用プロセス(自社DC)'!E17</f>
        <v>オーナ部門用ＩＤを発行するシステムの場合は、ＩＤの使用要否をＩＤ所有者へ定期的に確認する運用を設計しているか。</v>
      </c>
      <c r="F18" s="91" t="s">
        <v>1465</v>
      </c>
      <c r="G18" s="92" t="s">
        <v>254</v>
      </c>
      <c r="H18" s="181"/>
      <c r="I18" s="181"/>
      <c r="J18" s="94"/>
      <c r="K18" s="94"/>
      <c r="L18" s="94"/>
      <c r="M18" s="94"/>
      <c r="N18" s="247"/>
      <c r="O18" s="111" cm="1">
        <f t="array" ref="O18">IF(AI18=TRUE,_xlfn.IFS(M18=1,2,M18="",IF(N18="",1,2)),0)</f>
        <v>0</v>
      </c>
      <c r="P18" s="95" t="s">
        <v>255</v>
      </c>
      <c r="Q18" s="95" t="s">
        <v>183</v>
      </c>
      <c r="R18" s="95" t="s">
        <v>183</v>
      </c>
      <c r="S18" s="95" t="s">
        <v>183</v>
      </c>
      <c r="T18" s="95" t="s">
        <v>183</v>
      </c>
      <c r="U18" s="95"/>
      <c r="V18" s="95"/>
      <c r="W18" s="95"/>
      <c r="X18" s="96" t="s">
        <v>448</v>
      </c>
      <c r="Y18" s="95"/>
      <c r="Z18" s="95"/>
      <c r="AA18" s="95"/>
      <c r="AB18" s="95"/>
      <c r="AC18" s="95"/>
      <c r="AD18" s="95" t="s">
        <v>183</v>
      </c>
      <c r="AE18" s="95" t="s">
        <v>183</v>
      </c>
      <c r="AF18" s="95"/>
      <c r="AG18" s="95"/>
      <c r="AH18" s="95"/>
      <c r="AI18" s="94" t="b">
        <f>AND(OR(AND($P$6=TRUE,$P18&lt;&gt;""),AND($Q$6=TRUE,$Q18&lt;&gt;""),AND($R$6=TRUE,$R18&lt;&gt;"")),AND($S$6=TRUE,$S18&lt;&gt;""),OR(AND($T$6=TRUE,$T18&lt;&gt;""),AND($U$6=TRUE,$U18&lt;&gt;""),AND($V$6=TRUE,$V18&lt;&gt;""),AND($W$6=TRUE,$W18&lt;&gt;""),AND($X$6=TRUE,$X18&lt;&gt;""),AND($Y$6=TRUE,$Y18&lt;&gt;""),AND($Z$6=TRUE,$Z18&lt;&gt;""),AND($AA$6=TRUE,$AA18&lt;&gt;""),AND($AB$6=TRUE,$AB18&lt;&gt;""),AND($AC$6=TRUE,$AC18&lt;&gt;"")),OR(AND($AD$6=TRUE,$AD18&lt;&gt;""),AND($AE$6=TRUE,$AE18&lt;&gt;""),AND($AF$6=TRUE,$AF18&lt;&gt;""),AND($AG$6=TRUE,$AG18&lt;&gt;""),AND($AH$6=TRUE,$AH18&lt;&gt;"")))</f>
        <v>0</v>
      </c>
      <c r="AJ18" s="94"/>
      <c r="AK18" s="94"/>
      <c r="AL18" s="94"/>
      <c r="AM18" s="94"/>
      <c r="AN18" s="170" t="str">
        <f>IF(AJ18&lt;&gt;"","セキュリティ管理/","")&amp;IF(AK18&lt;&gt;"","マルウェア/","")&amp;IF(AL18&lt;&gt;"","クラウド/","")&amp;IF(AM18&lt;&gt;"","別表1,2,3","")</f>
        <v/>
      </c>
      <c r="AO18" s="94"/>
    </row>
    <row r="19" spans="1:41" ht="112.5">
      <c r="A19" s="75"/>
      <c r="B19" s="82"/>
      <c r="C19" s="71" t="s">
        <v>1517</v>
      </c>
      <c r="D19" s="90" t="s">
        <v>756</v>
      </c>
      <c r="E19" s="98" t="str">
        <f>'運用プロセス(自社DC)'!E18</f>
        <v>特権IDの作成権限をもつIDや、マイナンバー(法人番号は含まない)・クレカ情報へのアクセス権をもつIDの管理業務(※)は、ID管理部門(当社においてはITサ支援部)が行う運用としているか。
※管理業務とは、IDの新規作成、貸出、廃止、PW変更、PWロック解除、棚卸を指す。</v>
      </c>
      <c r="F19" s="98" t="s">
        <v>1518</v>
      </c>
      <c r="G19" s="92" t="s">
        <v>254</v>
      </c>
      <c r="H19" s="181"/>
      <c r="I19" s="181"/>
      <c r="J19" s="94"/>
      <c r="K19" s="94"/>
      <c r="L19" s="94"/>
      <c r="M19" s="94"/>
      <c r="N19" s="247"/>
      <c r="O19" s="111" cm="1">
        <f t="array" ref="O19">IF(AI19=TRUE,_xlfn.IFS(M19=1,2,M19="",IF(N19="",1,2)),0)</f>
        <v>0</v>
      </c>
      <c r="P19" s="95" t="s">
        <v>255</v>
      </c>
      <c r="Q19" s="95" t="s">
        <v>183</v>
      </c>
      <c r="R19" s="95" t="s">
        <v>183</v>
      </c>
      <c r="S19" s="95" t="s">
        <v>183</v>
      </c>
      <c r="T19" s="96" t="s">
        <v>183</v>
      </c>
      <c r="U19" s="96"/>
      <c r="V19" s="96"/>
      <c r="W19" s="96"/>
      <c r="X19" s="96" t="s">
        <v>448</v>
      </c>
      <c r="Y19" s="95"/>
      <c r="Z19" s="95"/>
      <c r="AA19" s="95"/>
      <c r="AB19" s="95"/>
      <c r="AC19" s="95" t="s">
        <v>183</v>
      </c>
      <c r="AD19" s="95" t="s">
        <v>183</v>
      </c>
      <c r="AE19" s="95" t="s">
        <v>183</v>
      </c>
      <c r="AF19" s="95"/>
      <c r="AG19" s="95" t="s">
        <v>255</v>
      </c>
      <c r="AH19" s="95"/>
      <c r="AI19" s="94" t="b">
        <f>AND(OR(AND($P$6=TRUE,$P19&lt;&gt;""),AND($Q$6=TRUE,$Q19&lt;&gt;""),AND($R$6=TRUE,$R19&lt;&gt;"")),AND($S$6=TRUE,$S19&lt;&gt;""),OR(AND($T$6=TRUE,$T19&lt;&gt;""),AND($U$6=TRUE,$U19&lt;&gt;""),AND($V$6=TRUE,$V19&lt;&gt;""),AND($W$6=TRUE,$W19&lt;&gt;""),AND($X$6=TRUE,$X19&lt;&gt;""),AND($Y$6=TRUE,$Y19&lt;&gt;""),AND($Z$6=TRUE,$Z19&lt;&gt;""),AND($AA$6=TRUE,$AA19&lt;&gt;""),AND($AB$6=TRUE,$AB19&lt;&gt;""),AND($AC$6=TRUE,$AC19&lt;&gt;"")),OR(AND($AD$6=TRUE,$AD19&lt;&gt;""),AND($AE$6=TRUE,$AE19&lt;&gt;""),AND($AF$6=TRUE,$AF19&lt;&gt;""),AND($AG$6=TRUE,$AG19&lt;&gt;""),AND($AH$6=TRUE,$AH19&lt;&gt;"")))</f>
        <v>0</v>
      </c>
      <c r="AJ19" s="94" t="s">
        <v>183</v>
      </c>
      <c r="AK19" s="94"/>
      <c r="AL19" s="94"/>
      <c r="AM19" s="94"/>
      <c r="AN19" s="170" t="str">
        <f>IF(AJ19&lt;&gt;"","セキュリティ管理/","")&amp;IF(AK19&lt;&gt;"","マルウェア/","")&amp;IF(AL19&lt;&gt;"","クラウド/","")&amp;IF(AM19&lt;&gt;"","別表1,2,3","")</f>
        <v>セキュリティ管理/</v>
      </c>
      <c r="AO19" s="94"/>
    </row>
    <row r="20" spans="1:41" ht="135">
      <c r="A20" s="75"/>
      <c r="B20" s="82"/>
      <c r="C20" s="71" t="s">
        <v>1519</v>
      </c>
      <c r="D20" s="90" t="s">
        <v>758</v>
      </c>
      <c r="E20" s="91" t="str">
        <f>'運用プロセス(自社DC)'!E19</f>
        <v xml:space="preserve">特権IDを保有しない要員へ障害対応などにより一時的に特権IDを払い出す時は、その申請ルール（運用部門への申請を必要とする）を定めているか。
また、上記の目的で貸し出された特権IＤや強い権限のパーミッション等は使用期間を経過したら使用できない仕組み(実装や運用)になっているか。
</v>
      </c>
      <c r="F20" s="99" t="s">
        <v>1120</v>
      </c>
      <c r="G20" s="92" t="s">
        <v>254</v>
      </c>
      <c r="H20" s="181"/>
      <c r="I20" s="181"/>
      <c r="J20" s="94"/>
      <c r="K20" s="94"/>
      <c r="L20" s="94"/>
      <c r="M20" s="94"/>
      <c r="N20" s="247"/>
      <c r="O20" s="111" cm="1">
        <f t="array" ref="O20">IF(AI20=TRUE,_xlfn.IFS(M20=1,2,M20="",IF(N20="",1,2)),0)</f>
        <v>0</v>
      </c>
      <c r="P20" s="95" t="s">
        <v>255</v>
      </c>
      <c r="Q20" s="95" t="s">
        <v>183</v>
      </c>
      <c r="R20" s="95" t="s">
        <v>183</v>
      </c>
      <c r="S20" s="95" t="s">
        <v>183</v>
      </c>
      <c r="T20" s="96" t="s">
        <v>183</v>
      </c>
      <c r="U20" s="96"/>
      <c r="V20" s="96"/>
      <c r="W20" s="96"/>
      <c r="X20" s="96" t="s">
        <v>448</v>
      </c>
      <c r="Y20" s="95"/>
      <c r="Z20" s="95"/>
      <c r="AA20" s="95"/>
      <c r="AB20" s="95"/>
      <c r="AC20" s="95"/>
      <c r="AD20" s="95" t="s">
        <v>183</v>
      </c>
      <c r="AE20" s="95" t="s">
        <v>183</v>
      </c>
      <c r="AF20" s="95"/>
      <c r="AG20" s="95" t="s">
        <v>255</v>
      </c>
      <c r="AH20" s="95"/>
      <c r="AI20" s="94" t="b">
        <f>AND(OR(AND($P$6=TRUE,$P20&lt;&gt;""),AND($Q$6=TRUE,$Q20&lt;&gt;""),AND($R$6=TRUE,$R20&lt;&gt;"")),AND($S$6=TRUE,$S20&lt;&gt;""),OR(AND($T$6=TRUE,$T20&lt;&gt;""),AND($U$6=TRUE,$U20&lt;&gt;""),AND($V$6=TRUE,$V20&lt;&gt;""),AND($W$6=TRUE,$W20&lt;&gt;""),AND($X$6=TRUE,$X20&lt;&gt;""),AND($Y$6=TRUE,$Y20&lt;&gt;""),AND($Z$6=TRUE,$Z20&lt;&gt;""),AND($AA$6=TRUE,$AA20&lt;&gt;""),AND($AB$6=TRUE,$AB20&lt;&gt;""),AND($AC$6=TRUE,$AC20&lt;&gt;"")),OR(AND($AD$6=TRUE,$AD20&lt;&gt;""),AND($AE$6=TRUE,$AE20&lt;&gt;""),AND($AF$6=TRUE,$AF20&lt;&gt;""),AND($AG$6=TRUE,$AG20&lt;&gt;""),AND($AH$6=TRUE,$AH20&lt;&gt;"")))</f>
        <v>0</v>
      </c>
      <c r="AJ20" s="94" t="s">
        <v>183</v>
      </c>
      <c r="AK20" s="94"/>
      <c r="AL20" s="94"/>
      <c r="AM20" s="94" t="s">
        <v>183</v>
      </c>
      <c r="AN20" s="170" t="str">
        <f>IF(AJ20&lt;&gt;"","セキュリティ管理/","")&amp;IF(AK20&lt;&gt;"","マルウェア/","")&amp;IF(AL20&lt;&gt;"","クラウド/","")&amp;IF(AM20&lt;&gt;"","別表1,2,3","")</f>
        <v>セキュリティ管理/別表1,2,3</v>
      </c>
      <c r="AO20" s="94"/>
    </row>
    <row r="21" spans="1:41" ht="22.5">
      <c r="A21" s="75" t="s">
        <v>1321</v>
      </c>
      <c r="B21" s="75"/>
      <c r="C21" s="113"/>
      <c r="D21" s="76"/>
      <c r="E21" s="77"/>
      <c r="F21" s="77"/>
      <c r="G21" s="78"/>
      <c r="H21" s="79"/>
      <c r="I21" s="79"/>
      <c r="J21" s="80"/>
      <c r="K21" s="80"/>
      <c r="L21" s="80"/>
      <c r="M21" s="80"/>
      <c r="N21" s="245"/>
      <c r="O21" s="245"/>
      <c r="P21" s="80"/>
      <c r="Q21" s="80"/>
      <c r="R21" s="80"/>
      <c r="S21" s="80"/>
      <c r="T21" s="80"/>
      <c r="U21" s="80"/>
      <c r="V21" s="80"/>
      <c r="W21" s="80"/>
      <c r="X21" s="80"/>
      <c r="Y21" s="80"/>
      <c r="Z21" s="80"/>
      <c r="AA21" s="80"/>
      <c r="AB21" s="80"/>
      <c r="AC21" s="80"/>
      <c r="AD21" s="80"/>
      <c r="AE21" s="80"/>
      <c r="AF21" s="80"/>
      <c r="AG21" s="80"/>
      <c r="AH21" s="80"/>
      <c r="AI21" s="80" t="s">
        <v>728</v>
      </c>
      <c r="AJ21" s="80"/>
      <c r="AK21" s="80"/>
      <c r="AL21" s="80"/>
      <c r="AM21" s="80"/>
      <c r="AN21" s="80"/>
      <c r="AO21" s="80"/>
    </row>
    <row r="22" spans="1:41" ht="22.5">
      <c r="A22" s="75"/>
      <c r="B22" s="82" t="s">
        <v>1322</v>
      </c>
      <c r="C22" s="115"/>
      <c r="D22" s="83"/>
      <c r="E22" s="84"/>
      <c r="F22" s="84"/>
      <c r="G22" s="85"/>
      <c r="H22" s="86"/>
      <c r="I22" s="86"/>
      <c r="J22" s="87"/>
      <c r="K22" s="87"/>
      <c r="L22" s="87"/>
      <c r="M22" s="87"/>
      <c r="N22" s="246"/>
      <c r="O22" s="246"/>
      <c r="P22" s="87"/>
      <c r="Q22" s="87"/>
      <c r="R22" s="87"/>
      <c r="S22" s="87"/>
      <c r="T22" s="87"/>
      <c r="U22" s="87"/>
      <c r="V22" s="87"/>
      <c r="W22" s="87"/>
      <c r="X22" s="87"/>
      <c r="Y22" s="87"/>
      <c r="Z22" s="87"/>
      <c r="AA22" s="87"/>
      <c r="AB22" s="87"/>
      <c r="AC22" s="87"/>
      <c r="AD22" s="87"/>
      <c r="AE22" s="87"/>
      <c r="AF22" s="87"/>
      <c r="AG22" s="87"/>
      <c r="AH22" s="87"/>
      <c r="AI22" s="87" t="s">
        <v>728</v>
      </c>
      <c r="AJ22" s="87"/>
      <c r="AK22" s="87"/>
      <c r="AL22" s="87"/>
      <c r="AM22" s="87"/>
      <c r="AN22" s="87"/>
      <c r="AO22" s="87"/>
    </row>
    <row r="23" spans="1:41" ht="45">
      <c r="A23" s="75"/>
      <c r="B23" s="82"/>
      <c r="C23" s="71" t="s">
        <v>1520</v>
      </c>
      <c r="D23" s="90" t="s">
        <v>274</v>
      </c>
      <c r="E23" s="91" t="str">
        <f>'運用プロセス(自社DC)'!E22</f>
        <v>開発担当者による定例的な作業や、特権IDの使用を前提とした定例運用を行わないよう設計しているか。</v>
      </c>
      <c r="F23" s="91" t="s">
        <v>1521</v>
      </c>
      <c r="G23" s="92" t="s">
        <v>254</v>
      </c>
      <c r="H23" s="181"/>
      <c r="I23" s="181"/>
      <c r="J23" s="94"/>
      <c r="K23" s="94"/>
      <c r="L23" s="94"/>
      <c r="M23" s="94"/>
      <c r="N23" s="247"/>
      <c r="O23" s="111" cm="1">
        <f t="array" ref="O23">IF(AI23=TRUE,_xlfn.IFS(M23=1,2,M23="",IF(N23="",1,2)),0)</f>
        <v>0</v>
      </c>
      <c r="P23" s="95" t="s">
        <v>255</v>
      </c>
      <c r="Q23" s="95" t="s">
        <v>183</v>
      </c>
      <c r="R23" s="95" t="s">
        <v>183</v>
      </c>
      <c r="S23" s="95" t="s">
        <v>183</v>
      </c>
      <c r="T23" s="96" t="s">
        <v>183</v>
      </c>
      <c r="U23" s="96"/>
      <c r="V23" s="96"/>
      <c r="W23" s="96"/>
      <c r="X23" s="96" t="s">
        <v>448</v>
      </c>
      <c r="Y23" s="95"/>
      <c r="Z23" s="95"/>
      <c r="AA23" s="95"/>
      <c r="AB23" s="95" t="s">
        <v>448</v>
      </c>
      <c r="AC23" s="95" t="s">
        <v>448</v>
      </c>
      <c r="AD23" s="95" t="s">
        <v>183</v>
      </c>
      <c r="AE23" s="95" t="s">
        <v>183</v>
      </c>
      <c r="AF23" s="95"/>
      <c r="AG23" s="95"/>
      <c r="AH23" s="95"/>
      <c r="AI23" s="94" t="b">
        <f t="shared" ref="AI23:AI32" si="0">AND(OR(AND($P$6=TRUE,$P23&lt;&gt;""),AND($Q$6=TRUE,$Q23&lt;&gt;""),AND($R$6=TRUE,$R23&lt;&gt;"")),AND($S$6=TRUE,$S23&lt;&gt;""),OR(AND($T$6=TRUE,$T23&lt;&gt;""),AND($U$6=TRUE,$U23&lt;&gt;""),AND($V$6=TRUE,$V23&lt;&gt;""),AND($W$6=TRUE,$W23&lt;&gt;""),AND($X$6=TRUE,$X23&lt;&gt;""),AND($Y$6=TRUE,$Y23&lt;&gt;""),AND($Z$6=TRUE,$Z23&lt;&gt;""),AND($AA$6=TRUE,$AA23&lt;&gt;""),AND($AB$6=TRUE,$AB23&lt;&gt;""),AND($AC$6=TRUE,$AC23&lt;&gt;"")),OR(AND($AD$6=TRUE,$AD23&lt;&gt;""),AND($AE$6=TRUE,$AE23&lt;&gt;""),AND($AF$6=TRUE,$AF23&lt;&gt;""),AND($AG$6=TRUE,$AG23&lt;&gt;""),AND($AH$6=TRUE,$AH23&lt;&gt;"")))</f>
        <v>0</v>
      </c>
      <c r="AJ23" s="94"/>
      <c r="AK23" s="94"/>
      <c r="AL23" s="94"/>
      <c r="AM23" s="94"/>
      <c r="AN23" s="170" t="str">
        <f t="shared" ref="AN23:AN31" si="1">IF(AJ23&lt;&gt;"","セキュリティ管理/","")&amp;IF(AK23&lt;&gt;"","マルウェア/","")&amp;IF(AL23&lt;&gt;"","クラウド/","")&amp;IF(AM23&lt;&gt;"","別表1,2,3","")</f>
        <v/>
      </c>
      <c r="AO23" s="94"/>
    </row>
    <row r="24" spans="1:41" ht="90">
      <c r="A24" s="75"/>
      <c r="B24" s="82"/>
      <c r="C24" s="71" t="s">
        <v>1522</v>
      </c>
      <c r="D24" s="90" t="s">
        <v>277</v>
      </c>
      <c r="E24" s="91" t="str">
        <f>'運用プロセス(自社DC)'!E23</f>
        <v>システムで利用しているコンポーネントのVerなどの構成情報を取得し、常に最新の情報となるよう管理すること。また、収集した構成情報はITサービス管理部と共有できる体制を整備すること。
なお、当社内環境に構築したシステムにおいては、SAM基盤による構成管理が標準である。</v>
      </c>
      <c r="F24" s="91" t="s">
        <v>1191</v>
      </c>
      <c r="G24" s="92" t="s">
        <v>254</v>
      </c>
      <c r="H24" s="181"/>
      <c r="I24" s="181"/>
      <c r="J24" s="94"/>
      <c r="K24" s="94"/>
      <c r="L24" s="94"/>
      <c r="M24" s="94"/>
      <c r="N24" s="247"/>
      <c r="O24" s="111" cm="1">
        <f t="array" ref="O24">IF(AI24=TRUE,_xlfn.IFS(M24=1,2,M24="",IF(N24="",1,2)),0)</f>
        <v>0</v>
      </c>
      <c r="P24" s="95" t="s">
        <v>255</v>
      </c>
      <c r="Q24" s="95" t="s">
        <v>183</v>
      </c>
      <c r="R24" s="95" t="s">
        <v>183</v>
      </c>
      <c r="S24" s="95" t="s">
        <v>183</v>
      </c>
      <c r="T24" s="96" t="s">
        <v>183</v>
      </c>
      <c r="U24" s="96"/>
      <c r="V24" s="96"/>
      <c r="W24" s="96"/>
      <c r="X24" s="96" t="s">
        <v>448</v>
      </c>
      <c r="Y24" s="95"/>
      <c r="Z24" s="95"/>
      <c r="AA24" s="95"/>
      <c r="AB24" s="95" t="s">
        <v>448</v>
      </c>
      <c r="AC24" s="95" t="s">
        <v>448</v>
      </c>
      <c r="AD24" s="95" t="s">
        <v>183</v>
      </c>
      <c r="AE24" s="95" t="s">
        <v>183</v>
      </c>
      <c r="AF24" s="95"/>
      <c r="AG24" s="95"/>
      <c r="AH24" s="95"/>
      <c r="AI24" s="94" t="b">
        <f t="shared" si="0"/>
        <v>0</v>
      </c>
      <c r="AJ24" s="94"/>
      <c r="AK24" s="94"/>
      <c r="AL24" s="94"/>
      <c r="AM24" s="94"/>
      <c r="AN24" s="170" t="str">
        <f t="shared" si="1"/>
        <v/>
      </c>
      <c r="AO24" s="94"/>
    </row>
    <row r="25" spans="1:41" ht="112.5">
      <c r="A25" s="75"/>
      <c r="B25" s="82"/>
      <c r="C25" s="71" t="s">
        <v>1523</v>
      </c>
      <c r="D25" s="90" t="s">
        <v>573</v>
      </c>
      <c r="E25" s="91" t="str">
        <f>'運用プロセス(自社DC)'!E24</f>
        <v>利用しているコンポーネントで脆弱性が公表された場合は影響を受けるかどうか確認し、影響がある場合はITサービス管理部へ共有する運用を設計しているか。
なお、当社内環境に構築したセキュリティ対応ランクA、セキュリティ対応ランクＢ－１、ひとり一台端末からの直接通信要件のあるシステムについては、Rapid7による脆弱性管理が標準である。</v>
      </c>
      <c r="F25" s="91" t="s">
        <v>1271</v>
      </c>
      <c r="G25" s="92" t="s">
        <v>254</v>
      </c>
      <c r="H25" s="181"/>
      <c r="I25" s="181"/>
      <c r="J25" s="94"/>
      <c r="K25" s="94"/>
      <c r="L25" s="94"/>
      <c r="M25" s="94"/>
      <c r="N25" s="247"/>
      <c r="O25" s="111" cm="1">
        <f t="array" ref="O25">IF(AI25=TRUE,_xlfn.IFS(M25=1,2,M25="",IF(N25="",1,2)),0)</f>
        <v>0</v>
      </c>
      <c r="P25" s="95" t="s">
        <v>255</v>
      </c>
      <c r="Q25" s="95" t="s">
        <v>183</v>
      </c>
      <c r="R25" s="95" t="s">
        <v>183</v>
      </c>
      <c r="S25" s="95" t="s">
        <v>183</v>
      </c>
      <c r="T25" s="96" t="s">
        <v>183</v>
      </c>
      <c r="U25" s="96"/>
      <c r="V25" s="96"/>
      <c r="W25" s="96"/>
      <c r="X25" s="96" t="s">
        <v>448</v>
      </c>
      <c r="Y25" s="95"/>
      <c r="Z25" s="95"/>
      <c r="AA25" s="95"/>
      <c r="AB25" s="95" t="s">
        <v>448</v>
      </c>
      <c r="AC25" s="95" t="s">
        <v>448</v>
      </c>
      <c r="AD25" s="95" t="s">
        <v>183</v>
      </c>
      <c r="AE25" s="95" t="s">
        <v>183</v>
      </c>
      <c r="AF25" s="95"/>
      <c r="AG25" s="95"/>
      <c r="AH25" s="95"/>
      <c r="AI25" s="94" t="b">
        <f t="shared" si="0"/>
        <v>0</v>
      </c>
      <c r="AJ25" s="94"/>
      <c r="AK25" s="94"/>
      <c r="AL25" s="94"/>
      <c r="AM25" s="94"/>
      <c r="AN25" s="170" t="str">
        <f>IF(AJ25&lt;&gt;"","セキュリティ管理/","")&amp;IF(AK25&lt;&gt;"","マルウェア/","")&amp;IF(AL25&lt;&gt;"","クラウド/","")&amp;IF(AM25&lt;&gt;"","別表1,2,3","")</f>
        <v/>
      </c>
      <c r="AO25" s="94" t="s">
        <v>768</v>
      </c>
    </row>
    <row r="26" spans="1:41" ht="112.5">
      <c r="A26" s="75"/>
      <c r="B26" s="82"/>
      <c r="C26" s="71" t="s">
        <v>1524</v>
      </c>
      <c r="D26" s="90" t="s">
        <v>577</v>
      </c>
      <c r="E26" s="100" t="str">
        <f>'運用プロセス(自社DC)'!E25</f>
        <v xml:space="preserve">システムの開発、運用、管理に用いる端末にソフトウェアを導入する場合、管理部門に申請が必要となるルールとしているか。
また、許可なく導入したソフトウェア（不正ソフトウェア）を検知する機能を実装し、検知・報告を行っているか
</v>
      </c>
      <c r="F26" s="200" t="s">
        <v>1525</v>
      </c>
      <c r="G26" s="92" t="s">
        <v>254</v>
      </c>
      <c r="H26" s="181"/>
      <c r="I26" s="181"/>
      <c r="J26" s="94"/>
      <c r="K26" s="94"/>
      <c r="L26" s="94"/>
      <c r="M26" s="94"/>
      <c r="N26" s="247"/>
      <c r="O26" s="111" cm="1">
        <f t="array" ref="O26">IF(AI26=TRUE,_xlfn.IFS(M26=1,2,M26="",IF(N26="",1,2)),0)</f>
        <v>0</v>
      </c>
      <c r="P26" s="95" t="s">
        <v>255</v>
      </c>
      <c r="Q26" s="95" t="s">
        <v>183</v>
      </c>
      <c r="R26" s="95" t="s">
        <v>183</v>
      </c>
      <c r="S26" s="95" t="s">
        <v>183</v>
      </c>
      <c r="T26" s="96" t="s">
        <v>183</v>
      </c>
      <c r="U26" s="96"/>
      <c r="V26" s="96"/>
      <c r="W26" s="96"/>
      <c r="X26" s="96" t="s">
        <v>448</v>
      </c>
      <c r="Y26" s="95"/>
      <c r="Z26" s="95"/>
      <c r="AA26" s="95"/>
      <c r="AB26" s="95" t="s">
        <v>448</v>
      </c>
      <c r="AC26" s="95" t="s">
        <v>448</v>
      </c>
      <c r="AD26" s="95" t="s">
        <v>183</v>
      </c>
      <c r="AE26" s="95" t="s">
        <v>183</v>
      </c>
      <c r="AF26" s="95"/>
      <c r="AG26" s="95"/>
      <c r="AH26" s="95"/>
      <c r="AI26" s="94" t="b">
        <f t="shared" si="0"/>
        <v>0</v>
      </c>
      <c r="AJ26" s="94"/>
      <c r="AK26" s="94"/>
      <c r="AL26" s="94"/>
      <c r="AM26" s="94"/>
      <c r="AN26" s="170" t="str">
        <f t="shared" si="1"/>
        <v/>
      </c>
      <c r="AO26" s="94"/>
    </row>
    <row r="27" spans="1:41" ht="337.5">
      <c r="A27" s="75"/>
      <c r="B27" s="82"/>
      <c r="C27" s="71" t="s">
        <v>1526</v>
      </c>
      <c r="D27" s="90" t="s">
        <v>581</v>
      </c>
      <c r="E27" s="91" t="str">
        <f>'運用プロセス(自社DC)'!E26</f>
        <v xml:space="preserve">システムで稼動するOSやソフトウエアにおいて、脆弱性が判明した場合は、速やかにパッチ適用することとしているか
・ベンダー(加えてシステムズITサ管理およびTMNFリスク管理G)にて「緊急」と判定された場合、速やかにセキュリティパッチを適用すること。直ちにセキュリティパ ッチを適用することが難しい場合は、設定変更等による緩和策の実施や、WAF/IPS の仮想パッチによる攻撃の防御を検討する。 
・緊急性が高いとは判断されなかった脆弱性についても、定期的なパッチ適用プロセスに従い適用する。 （以下の場合は要件を満たすように設計すること。）
　・対応ランクAのWindowsサーバ、もしくは不特定からのメール受信や任意のサイトアクセスができる端末：毎月
　・対応ランクB1以下のWindowsサーバ、もしくは対応ランクAのRHELサーバ、もしくは上記以外の端末：年2回以上
</v>
      </c>
      <c r="F27" s="91" t="s">
        <v>1191</v>
      </c>
      <c r="G27" s="92" t="s">
        <v>254</v>
      </c>
      <c r="H27" s="181"/>
      <c r="I27" s="181"/>
      <c r="J27" s="94"/>
      <c r="K27" s="94"/>
      <c r="L27" s="94"/>
      <c r="M27" s="94"/>
      <c r="N27" s="247"/>
      <c r="O27" s="111" cm="1">
        <f t="array" ref="O27">IF(AI27=TRUE,_xlfn.IFS(M27=1,2,M27="",IF(N27="",1,2)),0)</f>
        <v>0</v>
      </c>
      <c r="P27" s="95" t="s">
        <v>255</v>
      </c>
      <c r="Q27" s="95" t="s">
        <v>183</v>
      </c>
      <c r="R27" s="95" t="s">
        <v>183</v>
      </c>
      <c r="S27" s="95" t="s">
        <v>183</v>
      </c>
      <c r="T27" s="96" t="s">
        <v>183</v>
      </c>
      <c r="U27" s="96"/>
      <c r="V27" s="96"/>
      <c r="W27" s="96"/>
      <c r="X27" s="96" t="s">
        <v>448</v>
      </c>
      <c r="Y27" s="95"/>
      <c r="Z27" s="95"/>
      <c r="AA27" s="95"/>
      <c r="AB27" s="95"/>
      <c r="AC27" s="95"/>
      <c r="AD27" s="95" t="s">
        <v>183</v>
      </c>
      <c r="AE27" s="95" t="s">
        <v>183</v>
      </c>
      <c r="AF27" s="95"/>
      <c r="AG27" s="95" t="s">
        <v>255</v>
      </c>
      <c r="AH27" s="95"/>
      <c r="AI27" s="94" t="b">
        <f t="shared" si="0"/>
        <v>0</v>
      </c>
      <c r="AJ27" s="94" t="s">
        <v>183</v>
      </c>
      <c r="AK27" s="94"/>
      <c r="AL27" s="94"/>
      <c r="AM27" s="94"/>
      <c r="AN27" s="170" t="str">
        <f t="shared" si="1"/>
        <v>セキュリティ管理/</v>
      </c>
      <c r="AO27" s="94"/>
    </row>
    <row r="28" spans="1:41" ht="45">
      <c r="A28" s="75"/>
      <c r="B28" s="82"/>
      <c r="C28" s="71" t="s">
        <v>1527</v>
      </c>
      <c r="D28" s="90" t="s">
        <v>1478</v>
      </c>
      <c r="E28" s="91" t="str">
        <f>'運用プロセス(自社DC)'!E27</f>
        <v>Windowsサーバ、端末については、OS、ブラウザ（IEやEdge)、Officeのセキュリティパッチを定期的に適用する運用となっているか</v>
      </c>
      <c r="F28" s="91" t="s">
        <v>1191</v>
      </c>
      <c r="G28" s="92" t="s">
        <v>254</v>
      </c>
      <c r="H28" s="181"/>
      <c r="I28" s="181"/>
      <c r="J28" s="94"/>
      <c r="K28" s="94"/>
      <c r="L28" s="94"/>
      <c r="M28" s="94"/>
      <c r="N28" s="247"/>
      <c r="O28" s="111" cm="1">
        <f t="array" ref="O28">IF(AI28=TRUE,_xlfn.IFS(M28=1,2,M28="",IF(N28="",1,2)),0)</f>
        <v>0</v>
      </c>
      <c r="P28" s="95" t="s">
        <v>255</v>
      </c>
      <c r="Q28" s="95" t="s">
        <v>183</v>
      </c>
      <c r="R28" s="95" t="s">
        <v>183</v>
      </c>
      <c r="S28" s="95" t="s">
        <v>183</v>
      </c>
      <c r="T28" s="96" t="s">
        <v>183</v>
      </c>
      <c r="U28" s="96"/>
      <c r="V28" s="96"/>
      <c r="W28" s="96"/>
      <c r="X28" s="96" t="s">
        <v>448</v>
      </c>
      <c r="Y28" s="95"/>
      <c r="Z28" s="95"/>
      <c r="AA28" s="95"/>
      <c r="AB28" s="95"/>
      <c r="AC28" s="95"/>
      <c r="AD28" s="95" t="s">
        <v>183</v>
      </c>
      <c r="AE28" s="95" t="s">
        <v>183</v>
      </c>
      <c r="AF28" s="95"/>
      <c r="AG28" s="95"/>
      <c r="AH28" s="95"/>
      <c r="AI28" s="94" t="b">
        <f t="shared" si="0"/>
        <v>0</v>
      </c>
      <c r="AJ28" s="94"/>
      <c r="AK28" s="94"/>
      <c r="AL28" s="94"/>
      <c r="AM28" s="94"/>
      <c r="AN28" s="170" t="str">
        <f t="shared" si="1"/>
        <v/>
      </c>
      <c r="AO28" s="94"/>
    </row>
    <row r="29" spans="1:41" ht="315">
      <c r="A29" s="75"/>
      <c r="B29" s="82"/>
      <c r="C29" s="71" t="s">
        <v>1528</v>
      </c>
      <c r="D29" s="90" t="s">
        <v>1480</v>
      </c>
      <c r="E29" s="107" t="str">
        <f>'運用プロセス(自社DC)'!E28</f>
        <v>リリース前に脆弱性診断を実施する計画とし、リリース後は以下脆弱性診断を行う運用としているか。
・プラットフォーム診断：月1回（※）
・Webアプリ診断：対応ランクAシステムは年1回
加えて、アウトソースシステムは定期的にペネトレーションテスト（侵入テスト）を行う運用としているか。
（※）月1回のプラットフォーム診断が難しい場合は、緊急性の高い脆弱性が公表された際に実施するITサービス管理部からの確認依頼の際に、脆弱性の影響調査が行える態勢を設備し、脆弱性の影響を受ける場合には迅速に対応できる運用としているか。
（アウトソースシステムは、回答で「YES」を選択した場合でも、診断・評価の頻度を備考欄に記入する。）</v>
      </c>
      <c r="F29" s="99" t="s">
        <v>1120</v>
      </c>
      <c r="G29" s="92" t="s">
        <v>254</v>
      </c>
      <c r="H29" s="181"/>
      <c r="I29" s="181"/>
      <c r="J29" s="94"/>
      <c r="K29" s="94"/>
      <c r="L29" s="94"/>
      <c r="M29" s="94"/>
      <c r="N29" s="247"/>
      <c r="O29" s="111" cm="1">
        <f t="array" ref="O29">IF(AI29=TRUE,_xlfn.IFS(M29=1,2,M29="",IF(N29="",1,2)),0)</f>
        <v>0</v>
      </c>
      <c r="P29" s="95" t="s">
        <v>255</v>
      </c>
      <c r="Q29" s="95" t="s">
        <v>183</v>
      </c>
      <c r="R29" s="95" t="s">
        <v>183</v>
      </c>
      <c r="S29" s="95" t="s">
        <v>183</v>
      </c>
      <c r="T29" s="95" t="s">
        <v>183</v>
      </c>
      <c r="U29" s="95"/>
      <c r="V29" s="95"/>
      <c r="W29" s="95"/>
      <c r="X29" s="96" t="s">
        <v>448</v>
      </c>
      <c r="Y29" s="95"/>
      <c r="Z29" s="95"/>
      <c r="AA29" s="95"/>
      <c r="AB29" s="95"/>
      <c r="AC29" s="95"/>
      <c r="AD29" s="95" t="s">
        <v>183</v>
      </c>
      <c r="AE29" s="95" t="s">
        <v>183</v>
      </c>
      <c r="AF29" s="95"/>
      <c r="AG29" s="95" t="s">
        <v>255</v>
      </c>
      <c r="AH29" s="95"/>
      <c r="AI29" s="94" t="b">
        <f t="shared" si="0"/>
        <v>0</v>
      </c>
      <c r="AJ29" s="94" t="s">
        <v>183</v>
      </c>
      <c r="AK29" s="94"/>
      <c r="AL29" s="94"/>
      <c r="AM29" s="94"/>
      <c r="AN29" s="170" t="str">
        <f t="shared" si="1"/>
        <v>セキュリティ管理/</v>
      </c>
      <c r="AO29" s="94" t="s">
        <v>359</v>
      </c>
    </row>
    <row r="30" spans="1:41" ht="157.5">
      <c r="A30" s="75"/>
      <c r="B30" s="101"/>
      <c r="C30" s="71" t="s">
        <v>1529</v>
      </c>
      <c r="D30" s="90" t="s">
        <v>1483</v>
      </c>
      <c r="E30" s="91" t="str">
        <f>'運用プロセス(自社DC)'!E29</f>
        <v>構築対象の各種通信機器や要件において、以下の棚卸しを定期的に実施する運用としているか。
・不要なファイアウォールのフィルタリングルールがないか確認
・不要なプロキシサーバの通信設定がないか確認（ログを定期的に確認）
・業務仕様の変更やシステムの改廃に合わせて、各セグメント間のアクセス制御設計およびネットワーク機器のACLの見直し</v>
      </c>
      <c r="F30" s="91" t="s">
        <v>1191</v>
      </c>
      <c r="G30" s="92" t="s">
        <v>254</v>
      </c>
      <c r="H30" s="181"/>
      <c r="I30" s="181"/>
      <c r="J30" s="94"/>
      <c r="K30" s="94"/>
      <c r="L30" s="94"/>
      <c r="M30" s="94"/>
      <c r="N30" s="247"/>
      <c r="O30" s="111" cm="1">
        <f t="array" ref="O30">IF(AI30=TRUE,_xlfn.IFS(M30=1,2,M30="",IF(N30="",1,2)),0)</f>
        <v>0</v>
      </c>
      <c r="P30" s="95" t="s">
        <v>255</v>
      </c>
      <c r="Q30" s="95" t="s">
        <v>183</v>
      </c>
      <c r="R30" s="95" t="s">
        <v>183</v>
      </c>
      <c r="S30" s="95" t="s">
        <v>183</v>
      </c>
      <c r="T30" s="95" t="s">
        <v>183</v>
      </c>
      <c r="U30" s="95"/>
      <c r="V30" s="95"/>
      <c r="W30" s="95"/>
      <c r="X30" s="96" t="s">
        <v>448</v>
      </c>
      <c r="Y30" s="95"/>
      <c r="Z30" s="95"/>
      <c r="AA30" s="95"/>
      <c r="AB30" s="95"/>
      <c r="AC30" s="95"/>
      <c r="AD30" s="95" t="s">
        <v>183</v>
      </c>
      <c r="AE30" s="95" t="s">
        <v>183</v>
      </c>
      <c r="AF30" s="95"/>
      <c r="AG30" s="95"/>
      <c r="AH30" s="95"/>
      <c r="AI30" s="94" t="b">
        <f t="shared" si="0"/>
        <v>0</v>
      </c>
      <c r="AJ30" s="94"/>
      <c r="AK30" s="94" t="s">
        <v>183</v>
      </c>
      <c r="AL30" s="94"/>
      <c r="AM30" s="94"/>
      <c r="AN30" s="170" t="str">
        <f t="shared" si="1"/>
        <v>マルウェア/</v>
      </c>
      <c r="AO30" s="94"/>
    </row>
    <row r="31" spans="1:41" ht="135">
      <c r="A31" s="75"/>
      <c r="B31" s="101"/>
      <c r="C31" s="71" t="s">
        <v>1530</v>
      </c>
      <c r="D31" s="90" t="s">
        <v>1486</v>
      </c>
      <c r="E31" s="91" t="str">
        <f>'運用プロセス(自社DC)'!E30</f>
        <v>ランサムウェア感染時の対策として、ランサムウェア対応分類A,Bのシステムについては、システム構築時にバックアップデータからのリストア手順を整備するとともに、システム構築時および改定時にリストアテストを実施する計画としているか。
また、ランサムウェア対応分類Aのシステムについては、リストアの成否やRTO,RPOに大きな影響が出るレベルのシステム改定が発生した場合にもリストアテストを実施する計画としているか。</v>
      </c>
      <c r="F31" s="91" t="s">
        <v>1224</v>
      </c>
      <c r="G31" s="92" t="s">
        <v>254</v>
      </c>
      <c r="H31" s="181"/>
      <c r="I31" s="181"/>
      <c r="J31" s="94"/>
      <c r="K31" s="94"/>
      <c r="L31" s="94"/>
      <c r="M31" s="94"/>
      <c r="N31" s="247"/>
      <c r="O31" s="111" cm="1">
        <f t="array" ref="O31">IF(AI31=TRUE,_xlfn.IFS(M31=1,2,M31="",IF(N31="",1,2)),0)</f>
        <v>0</v>
      </c>
      <c r="P31" s="95" t="s">
        <v>255</v>
      </c>
      <c r="Q31" s="95" t="s">
        <v>183</v>
      </c>
      <c r="R31" s="95" t="s">
        <v>183</v>
      </c>
      <c r="S31" s="95" t="s">
        <v>183</v>
      </c>
      <c r="T31" s="197"/>
      <c r="U31" s="197" t="s">
        <v>183</v>
      </c>
      <c r="V31" s="199" t="s">
        <v>183</v>
      </c>
      <c r="W31" s="95"/>
      <c r="X31" s="96" t="s">
        <v>448</v>
      </c>
      <c r="Y31" s="95"/>
      <c r="Z31" s="95"/>
      <c r="AA31" s="95"/>
      <c r="AB31" s="95"/>
      <c r="AC31" s="95"/>
      <c r="AD31" s="95" t="s">
        <v>183</v>
      </c>
      <c r="AE31" s="95" t="s">
        <v>183</v>
      </c>
      <c r="AF31" s="95"/>
      <c r="AG31" s="95"/>
      <c r="AH31" s="95"/>
      <c r="AI31" s="94" t="b">
        <f t="shared" si="0"/>
        <v>0</v>
      </c>
      <c r="AJ31" s="94"/>
      <c r="AK31" s="94"/>
      <c r="AL31" s="94"/>
      <c r="AM31" s="94"/>
      <c r="AN31" s="170" t="str">
        <f t="shared" si="1"/>
        <v/>
      </c>
      <c r="AO31" s="94" t="s">
        <v>487</v>
      </c>
    </row>
    <row r="32" spans="1:41" ht="67.5">
      <c r="A32" s="75"/>
      <c r="B32" s="101"/>
      <c r="C32" s="71" t="s">
        <v>1531</v>
      </c>
      <c r="D32" s="71" t="s">
        <v>1426</v>
      </c>
      <c r="E32" s="107" t="s">
        <v>1042</v>
      </c>
      <c r="F32" s="107" t="s">
        <v>1427</v>
      </c>
      <c r="G32" s="92" t="s">
        <v>254</v>
      </c>
      <c r="H32" s="181"/>
      <c r="I32" s="181"/>
      <c r="J32" s="94"/>
      <c r="K32" s="94"/>
      <c r="L32" s="94"/>
      <c r="M32" s="94"/>
      <c r="N32" s="247"/>
      <c r="O32" s="111" cm="1">
        <f t="array" ref="O32">IF(AI32=TRUE,_xlfn.IFS(M32=1,2,M32="",IF(N32="",1,2)),0)</f>
        <v>0</v>
      </c>
      <c r="P32" s="95" t="s">
        <v>255</v>
      </c>
      <c r="Q32" s="95" t="s">
        <v>183</v>
      </c>
      <c r="R32" s="95" t="s">
        <v>183</v>
      </c>
      <c r="S32" s="95" t="s">
        <v>183</v>
      </c>
      <c r="T32" s="95" t="s">
        <v>183</v>
      </c>
      <c r="U32" s="197"/>
      <c r="V32" s="199"/>
      <c r="W32" s="95"/>
      <c r="X32" s="96" t="s">
        <v>448</v>
      </c>
      <c r="Y32" s="95"/>
      <c r="Z32" s="95"/>
      <c r="AA32" s="95"/>
      <c r="AB32" s="95"/>
      <c r="AC32" s="95"/>
      <c r="AD32" s="95" t="s">
        <v>183</v>
      </c>
      <c r="AE32" s="95" t="s">
        <v>183</v>
      </c>
      <c r="AF32" s="95"/>
      <c r="AG32" s="95"/>
      <c r="AH32" s="95"/>
      <c r="AI32" s="94" t="b">
        <f t="shared" si="0"/>
        <v>0</v>
      </c>
      <c r="AJ32" s="94"/>
      <c r="AK32" s="94"/>
      <c r="AL32" s="94"/>
      <c r="AM32" s="94"/>
      <c r="AN32" s="170" t="str">
        <f t="shared" ref="AN32" si="2">IF(AJ32&lt;&gt;"","セキュリティ管理/","")&amp;IF(AK32&lt;&gt;"","マルウェア/","")&amp;IF(AL32&lt;&gt;"","クラウド/","")&amp;IF(AM32&lt;&gt;"","別表1,2,3","")</f>
        <v/>
      </c>
      <c r="AO32" s="263" t="s">
        <v>575</v>
      </c>
    </row>
    <row r="33" spans="1:41" ht="22.5">
      <c r="A33" s="75"/>
      <c r="B33" s="82" t="s">
        <v>1347</v>
      </c>
      <c r="C33" s="115"/>
      <c r="D33" s="83"/>
      <c r="E33" s="84"/>
      <c r="F33" s="84"/>
      <c r="G33" s="85"/>
      <c r="H33" s="85"/>
      <c r="I33" s="85"/>
      <c r="J33" s="87"/>
      <c r="K33" s="87"/>
      <c r="L33" s="87"/>
      <c r="M33" s="87"/>
      <c r="N33" s="246"/>
      <c r="O33" s="246"/>
      <c r="P33" s="87"/>
      <c r="Q33" s="87"/>
      <c r="R33" s="87"/>
      <c r="S33" s="87"/>
      <c r="T33" s="87"/>
      <c r="U33" s="87"/>
      <c r="V33" s="87"/>
      <c r="W33" s="87"/>
      <c r="X33" s="87"/>
      <c r="Y33" s="87"/>
      <c r="Z33" s="87"/>
      <c r="AA33" s="87"/>
      <c r="AB33" s="87" t="s">
        <v>448</v>
      </c>
      <c r="AC33" s="87" t="s">
        <v>448</v>
      </c>
      <c r="AD33" s="87"/>
      <c r="AE33" s="87"/>
      <c r="AF33" s="87"/>
      <c r="AG33" s="87"/>
      <c r="AH33" s="87"/>
      <c r="AI33" s="87" t="s">
        <v>728</v>
      </c>
      <c r="AJ33" s="87"/>
      <c r="AK33" s="87"/>
      <c r="AL33" s="87"/>
      <c r="AM33" s="87"/>
      <c r="AN33" s="87"/>
      <c r="AO33" s="87"/>
    </row>
    <row r="34" spans="1:41" ht="112.5">
      <c r="A34" s="75"/>
      <c r="B34" s="82"/>
      <c r="C34" s="71" t="s">
        <v>1532</v>
      </c>
      <c r="D34" s="90" t="s">
        <v>772</v>
      </c>
      <c r="E34" s="98" t="s">
        <v>1042</v>
      </c>
      <c r="F34" s="98" t="s">
        <v>1533</v>
      </c>
      <c r="G34" s="93" t="s">
        <v>254</v>
      </c>
      <c r="H34" s="181"/>
      <c r="I34" s="181"/>
      <c r="J34" s="94"/>
      <c r="K34" s="94"/>
      <c r="L34" s="94"/>
      <c r="M34" s="94"/>
      <c r="N34" s="247"/>
      <c r="O34" s="111" cm="1">
        <f t="array" ref="O34">IF(AI34=TRUE,_xlfn.IFS(M34=1,2,M34="",IF(N34="",1,2)),0)</f>
        <v>0</v>
      </c>
      <c r="P34" s="95" t="s">
        <v>255</v>
      </c>
      <c r="Q34" s="95" t="s">
        <v>255</v>
      </c>
      <c r="R34" s="95" t="s">
        <v>255</v>
      </c>
      <c r="S34" s="95" t="s">
        <v>183</v>
      </c>
      <c r="T34" s="95" t="s">
        <v>255</v>
      </c>
      <c r="U34" s="95"/>
      <c r="V34" s="95"/>
      <c r="W34" s="95"/>
      <c r="X34" s="96"/>
      <c r="Y34" s="95"/>
      <c r="Z34" s="95"/>
      <c r="AA34" s="95"/>
      <c r="AB34" s="95"/>
      <c r="AC34" s="95"/>
      <c r="AD34" s="95" t="s">
        <v>183</v>
      </c>
      <c r="AE34" s="95" t="s">
        <v>183</v>
      </c>
      <c r="AF34" s="95"/>
      <c r="AG34" s="95"/>
      <c r="AH34" s="95"/>
      <c r="AI34" s="94" t="b">
        <f t="shared" ref="AI34:AI44" si="3">AND(OR(AND($P$6=TRUE,$P34&lt;&gt;""),AND($Q$6=TRUE,$Q34&lt;&gt;""),AND($R$6=TRUE,$R34&lt;&gt;"")),AND($S$6=TRUE,$S34&lt;&gt;""),OR(AND($T$6=TRUE,$T34&lt;&gt;""),AND($U$6=TRUE,$U34&lt;&gt;""),AND($V$6=TRUE,$V34&lt;&gt;""),AND($W$6=TRUE,$W34&lt;&gt;""),AND($X$6=TRUE,$X34&lt;&gt;""),AND($Y$6=TRUE,$Y34&lt;&gt;""),AND($Z$6=TRUE,$Z34&lt;&gt;""),AND($AA$6=TRUE,$AA34&lt;&gt;""),AND($AB$6=TRUE,$AB34&lt;&gt;""),AND($AC$6=TRUE,$AC34&lt;&gt;"")),OR(AND($AD$6=TRUE,$AD34&lt;&gt;""),AND($AE$6=TRUE,$AE34&lt;&gt;""),AND($AF$6=TRUE,$AF34&lt;&gt;""),AND($AG$6=TRUE,$AG34&lt;&gt;""),AND($AH$6=TRUE,$AH34&lt;&gt;"")))</f>
        <v>0</v>
      </c>
      <c r="AJ34" s="94"/>
      <c r="AK34" s="94"/>
      <c r="AL34" s="94"/>
      <c r="AM34" s="94"/>
      <c r="AN34" s="170" t="str">
        <f t="shared" ref="AN34:AN44" si="4">IF(AJ34&lt;&gt;"","セキュリティ管理/","")&amp;IF(AK34&lt;&gt;"","マルウェア/","")&amp;IF(AL34&lt;&gt;"","クラウド/","")&amp;IF(AM34&lt;&gt;"","別表1,2,3","")</f>
        <v/>
      </c>
      <c r="AO34" s="94"/>
    </row>
    <row r="35" spans="1:41" ht="180">
      <c r="A35" s="75"/>
      <c r="B35" s="82"/>
      <c r="C35" s="71" t="s">
        <v>1535</v>
      </c>
      <c r="D35" s="90" t="s">
        <v>1349</v>
      </c>
      <c r="E35" s="98" t="str">
        <f>'運用プロセス(自社DC)'!E32</f>
        <v>インターネットからアクセスされるサーバ、通信回線装置、通信回線やアプリケーションについて、不正アクセス等の監視を行うよう設計しているか。
特に、認証機能を持つシステムについては、アクセス元IPアドレスや認証成功・失敗状況を確認することで、ブルートフォース攻撃やリスト型アカウントハッキング攻撃等の不正なログインを監視する設計としているか。</v>
      </c>
      <c r="F35" s="98" t="s">
        <v>1534</v>
      </c>
      <c r="G35" s="93" t="s">
        <v>254</v>
      </c>
      <c r="H35" s="181"/>
      <c r="I35" s="181"/>
      <c r="J35" s="94"/>
      <c r="K35" s="94"/>
      <c r="L35" s="94"/>
      <c r="M35" s="94"/>
      <c r="N35" s="247"/>
      <c r="O35" s="111" cm="1">
        <f t="array" ref="O35">IF(AI35=TRUE,_xlfn.IFS(M35=1,2,M35="",IF(N35="",1,2)),0)</f>
        <v>0</v>
      </c>
      <c r="P35" s="95" t="s">
        <v>255</v>
      </c>
      <c r="Q35" s="95" t="s">
        <v>255</v>
      </c>
      <c r="R35" s="95" t="s">
        <v>255</v>
      </c>
      <c r="S35" s="95" t="s">
        <v>183</v>
      </c>
      <c r="T35" s="95" t="s">
        <v>255</v>
      </c>
      <c r="U35" s="95"/>
      <c r="V35" s="95"/>
      <c r="W35" s="95"/>
      <c r="X35" s="96" t="s">
        <v>448</v>
      </c>
      <c r="Y35" s="95"/>
      <c r="Z35" s="95"/>
      <c r="AA35" s="95"/>
      <c r="AB35" s="95"/>
      <c r="AC35" s="95"/>
      <c r="AD35" s="95"/>
      <c r="AE35" s="95" t="s">
        <v>183</v>
      </c>
      <c r="AF35" s="95" t="s">
        <v>183</v>
      </c>
      <c r="AG35" s="95"/>
      <c r="AH35" s="95"/>
      <c r="AI35" s="94" t="b">
        <f t="shared" si="3"/>
        <v>0</v>
      </c>
      <c r="AJ35" s="94"/>
      <c r="AK35" s="94"/>
      <c r="AL35" s="94"/>
      <c r="AM35" s="94"/>
      <c r="AN35" s="170" t="str">
        <f t="shared" si="4"/>
        <v/>
      </c>
      <c r="AO35" s="94"/>
    </row>
    <row r="36" spans="1:41" ht="382.5">
      <c r="A36" s="75"/>
      <c r="B36" s="82"/>
      <c r="C36" s="71" t="s">
        <v>1536</v>
      </c>
      <c r="D36" s="90" t="s">
        <v>1492</v>
      </c>
      <c r="E36" s="98" t="str">
        <f>'運用プロセス(自社DC)'!E33</f>
        <v>セキュリティインシデント発生時の調査を可能とするために、管理・運用している機器、アプリケーションを対象に、システム上の制限や扱う情報の重要度を考慮して、取得するログの種類、取得方法、取得頻度を定めているか。
また、取得するログの種類には、原則として以下を含め「いつ」「だれ・どこから」「どこに」「何をしたか(要求したか)」「その結果」が判断できるログを取得する設計としているか。
　a. サーバー、ネットワーク、アプリケーションのアクセスログ
　　(例：時刻、アクセス元情報※、接続先情報、リクエストの内容、レスポンス結果など）
　b. イベントログ
　c. ファイアウォールの通信ログ(遮断ログ)
　d. WAF、IPS、IDS、認証ログ等のセキュリティログ
　e.エンドポイント、M365、メール、ADなどの監査ログ
なお、本要件は開発環境に設置されたシステムであっても同様である。
※Webサーバのログに通信元のIPアドレスを取得する場合は以下の点に注意すること。
　・セキュアドGW経由の場合、htmlの「X-Forwarded-For」が通信元IPに該当する
　・Akamai KONA経由の場合、htmlの「True-Client-IP」が通信元IPに該当する</v>
      </c>
      <c r="F36" s="91" t="s">
        <v>1191</v>
      </c>
      <c r="G36" s="93" t="s">
        <v>254</v>
      </c>
      <c r="H36" s="181"/>
      <c r="I36" s="181"/>
      <c r="J36" s="94"/>
      <c r="K36" s="94"/>
      <c r="L36" s="94"/>
      <c r="M36" s="94"/>
      <c r="N36" s="247"/>
      <c r="O36" s="111" cm="1">
        <f t="array" ref="O36">IF(AI36=TRUE,_xlfn.IFS(M36=1,2,M36="",IF(N36="",1,2)),0)</f>
        <v>0</v>
      </c>
      <c r="P36" s="95" t="s">
        <v>255</v>
      </c>
      <c r="Q36" s="95" t="s">
        <v>183</v>
      </c>
      <c r="R36" s="95" t="s">
        <v>183</v>
      </c>
      <c r="S36" s="95" t="s">
        <v>183</v>
      </c>
      <c r="T36" s="95" t="s">
        <v>183</v>
      </c>
      <c r="U36" s="95"/>
      <c r="V36" s="95"/>
      <c r="W36" s="95"/>
      <c r="X36" s="96" t="s">
        <v>448</v>
      </c>
      <c r="Y36" s="95"/>
      <c r="Z36" s="95"/>
      <c r="AA36" s="95"/>
      <c r="AB36" s="95"/>
      <c r="AC36" s="95"/>
      <c r="AD36" s="95" t="s">
        <v>183</v>
      </c>
      <c r="AE36" s="95" t="s">
        <v>183</v>
      </c>
      <c r="AF36" s="95"/>
      <c r="AG36" s="95"/>
      <c r="AH36" s="95"/>
      <c r="AI36" s="94" t="b">
        <f t="shared" si="3"/>
        <v>0</v>
      </c>
      <c r="AJ36" s="94"/>
      <c r="AK36" s="94"/>
      <c r="AL36" s="94"/>
      <c r="AM36" s="94"/>
      <c r="AN36" s="170" t="str">
        <f t="shared" si="4"/>
        <v/>
      </c>
      <c r="AO36" s="94"/>
    </row>
    <row r="37" spans="1:41" ht="292.5">
      <c r="A37" s="75"/>
      <c r="B37" s="82"/>
      <c r="C37" s="71" t="s">
        <v>1537</v>
      </c>
      <c r="D37" s="90" t="s">
        <v>1354</v>
      </c>
      <c r="E37" s="98" t="str">
        <f>'運用プロセス(自社DC)'!E34</f>
        <v>マイナンバー（法人番号は含まない）に関する下記のログを取得しているか。
　・オンライントランザクションログ 
　・バッチトランザクションログ 
　・システム管理者等ＤＢサーバへのアクセス者による操作ログ
　・外部委託先等へデータ伝送を行ったログ
また、ログには「いつ」「誰が」「どの番号」を利用したかが調査可能な項目を取得する設計を施し、以下に例示するような安全に保管する対策を施しているか。
　保管例）
　・ログ取得対象の機器類とは論理的又は物理的に分離したストレージやサーバなどで保管
　・ログを改ざんできない形式で保管
　・ログを暗号化し保管する場合、暗号鍵はデータとは別場所で耐タンパー性を有する暗号
　　モジュールへ格納し、管理者以外アクセス不可能な保存媒体及び保存場所へ格納する。
　・ログの変更権限を持つアカウントは特権IDに限定し、特権ＩＤの利用をモニタリングする</v>
      </c>
      <c r="F37" s="91" t="s">
        <v>1271</v>
      </c>
      <c r="G37" s="93" t="s">
        <v>361</v>
      </c>
      <c r="H37" s="181"/>
      <c r="I37" s="181"/>
      <c r="J37" s="94"/>
      <c r="K37" s="94"/>
      <c r="L37" s="94"/>
      <c r="M37" s="94"/>
      <c r="N37" s="247"/>
      <c r="O37" s="111" cm="1">
        <f t="array" ref="O37">IF(AI37=TRUE,_xlfn.IFS(M37=1,2,M37="",IF(N37="",1,2)),0)</f>
        <v>0</v>
      </c>
      <c r="P37" s="95" t="s">
        <v>255</v>
      </c>
      <c r="Q37" s="95" t="s">
        <v>183</v>
      </c>
      <c r="R37" s="95" t="s">
        <v>183</v>
      </c>
      <c r="S37" s="95" t="s">
        <v>183</v>
      </c>
      <c r="U37" s="95"/>
      <c r="V37" s="95"/>
      <c r="W37" s="95"/>
      <c r="X37" s="96" t="s">
        <v>448</v>
      </c>
      <c r="Y37" s="95"/>
      <c r="Z37" s="95"/>
      <c r="AA37" s="95"/>
      <c r="AB37" s="95"/>
      <c r="AC37" s="95" t="s">
        <v>183</v>
      </c>
      <c r="AD37" s="95" t="s">
        <v>183</v>
      </c>
      <c r="AE37" s="95" t="s">
        <v>183</v>
      </c>
      <c r="AF37" s="95"/>
      <c r="AG37" s="95"/>
      <c r="AH37" s="95"/>
      <c r="AI37" s="94" t="b">
        <f t="shared" si="3"/>
        <v>0</v>
      </c>
      <c r="AJ37" s="94"/>
      <c r="AK37" s="94"/>
      <c r="AL37" s="94"/>
      <c r="AM37" s="94"/>
      <c r="AN37" s="170" t="str">
        <f>IF(AJ37&lt;&gt;"","セキュリティ管理/","")&amp;IF(AK37&lt;&gt;"","マルウェア/","")&amp;IF(AL37&lt;&gt;"","クラウド/","")&amp;IF(AM37&lt;&gt;"","別表1,2,3","")</f>
        <v/>
      </c>
      <c r="AO37" s="94" t="s">
        <v>768</v>
      </c>
    </row>
    <row r="38" spans="1:41" ht="157.5">
      <c r="A38" s="75"/>
      <c r="B38" s="82"/>
      <c r="C38" s="71" t="s">
        <v>1538</v>
      </c>
      <c r="D38" s="90" t="s">
        <v>1357</v>
      </c>
      <c r="E38" s="98" t="str">
        <f>'運用プロセス(自社DC)'!E35</f>
        <v>マイナンバー(法人番号は含まない)を保管する場合は、情報漏えい防止の観点から、以下の観点で定期的に第三者モニタリング（※）を行う。
　　a.システム管理者等ＤＢサーバアクセス者による操作 
　　b.マイナンバーおよび復号鍵、並びに復号プログラムに対する操作 
　　c.ＤＢサーバ内もしくはログ保管専用サーバに保持しているアクセスログに対する操作
　　d.データのダウンロード操作
※当社の場合、GRC支援部のモニタリングが標準である。</v>
      </c>
      <c r="F38" s="91" t="s">
        <v>1271</v>
      </c>
      <c r="G38" s="93" t="s">
        <v>254</v>
      </c>
      <c r="H38" s="181"/>
      <c r="I38" s="181"/>
      <c r="J38" s="94"/>
      <c r="K38" s="94"/>
      <c r="L38" s="94"/>
      <c r="M38" s="94"/>
      <c r="N38" s="247"/>
      <c r="O38" s="111" cm="1">
        <f t="array" ref="O38">IF(AI38=TRUE,_xlfn.IFS(M38=1,2,M38="",IF(N38="",1,2)),0)</f>
        <v>0</v>
      </c>
      <c r="P38" s="95" t="s">
        <v>255</v>
      </c>
      <c r="Q38" s="95" t="s">
        <v>183</v>
      </c>
      <c r="R38" s="95" t="s">
        <v>183</v>
      </c>
      <c r="S38" s="95" t="s">
        <v>183</v>
      </c>
      <c r="U38" s="95"/>
      <c r="V38" s="95"/>
      <c r="W38" s="95"/>
      <c r="X38" s="96" t="s">
        <v>448</v>
      </c>
      <c r="Y38" s="95"/>
      <c r="Z38" s="95"/>
      <c r="AA38" s="95"/>
      <c r="AB38" s="95"/>
      <c r="AC38" s="95" t="s">
        <v>183</v>
      </c>
      <c r="AD38" s="95" t="s">
        <v>183</v>
      </c>
      <c r="AE38" s="95" t="s">
        <v>183</v>
      </c>
      <c r="AF38" s="95"/>
      <c r="AG38" s="95"/>
      <c r="AH38" s="95"/>
      <c r="AI38" s="94" t="b">
        <f t="shared" si="3"/>
        <v>0</v>
      </c>
      <c r="AJ38" s="94"/>
      <c r="AK38" s="94"/>
      <c r="AL38" s="94"/>
      <c r="AM38" s="94"/>
      <c r="AN38" s="170" t="str">
        <f>IF(AJ38&lt;&gt;"","セキュリティ管理/","")&amp;IF(AK38&lt;&gt;"","マルウェア/","")&amp;IF(AL38&lt;&gt;"","クラウド/","")&amp;IF(AM38&lt;&gt;"","別表1,2,3","")</f>
        <v/>
      </c>
      <c r="AO38" s="94" t="s">
        <v>768</v>
      </c>
    </row>
    <row r="39" spans="1:41" ht="90">
      <c r="A39" s="75"/>
      <c r="B39" s="82"/>
      <c r="C39" s="71" t="s">
        <v>1540</v>
      </c>
      <c r="D39" s="90" t="s">
        <v>1361</v>
      </c>
      <c r="E39" s="98" t="str">
        <f>'運用プロセス(自社DC)'!E36</f>
        <v>取得した監査ログおよび監視記録は、３年保存する設計としているか。
（ただし、マイナンバー（法人番号は含まない）に関する監査ログは７年保存し、直近３カ月間分はすぐに調査できる状態で保管すること）
また、必要なログ量を確認できるだけのディスク容量等を設計しているか。</v>
      </c>
      <c r="F39" s="98" t="s">
        <v>1539</v>
      </c>
      <c r="G39" s="93" t="s">
        <v>254</v>
      </c>
      <c r="H39" s="181"/>
      <c r="I39" s="181"/>
      <c r="J39" s="94" t="s">
        <v>730</v>
      </c>
      <c r="K39" s="94" t="s">
        <v>730</v>
      </c>
      <c r="L39" s="94"/>
      <c r="M39" s="94"/>
      <c r="N39" s="247"/>
      <c r="O39" s="111" cm="1">
        <f t="array" ref="O39">IF(AI39=TRUE,_xlfn.IFS(M39=1,2,M39="",IF(N39="",1,2)),0)</f>
        <v>0</v>
      </c>
      <c r="P39" s="95" t="s">
        <v>255</v>
      </c>
      <c r="Q39" s="95" t="s">
        <v>183</v>
      </c>
      <c r="R39" s="95" t="s">
        <v>183</v>
      </c>
      <c r="S39" s="95" t="s">
        <v>183</v>
      </c>
      <c r="T39" s="95" t="s">
        <v>183</v>
      </c>
      <c r="U39" s="95"/>
      <c r="V39" s="95"/>
      <c r="W39" s="95"/>
      <c r="X39" s="96" t="s">
        <v>448</v>
      </c>
      <c r="Y39" s="95"/>
      <c r="Z39" s="95"/>
      <c r="AA39" s="95"/>
      <c r="AB39" s="95"/>
      <c r="AC39" s="95" t="s">
        <v>183</v>
      </c>
      <c r="AD39" s="95" t="s">
        <v>183</v>
      </c>
      <c r="AE39" s="95" t="s">
        <v>183</v>
      </c>
      <c r="AF39" s="95"/>
      <c r="AG39" s="95"/>
      <c r="AH39" s="95"/>
      <c r="AI39" s="94" t="b">
        <f t="shared" si="3"/>
        <v>0</v>
      </c>
      <c r="AJ39" s="94"/>
      <c r="AK39" s="94"/>
      <c r="AL39" s="94"/>
      <c r="AM39" s="94"/>
      <c r="AN39" s="170" t="str">
        <f t="shared" si="4"/>
        <v/>
      </c>
      <c r="AO39" s="94"/>
    </row>
    <row r="40" spans="1:41" ht="67.5">
      <c r="A40" s="75"/>
      <c r="B40" s="82"/>
      <c r="C40" s="71" t="s">
        <v>1541</v>
      </c>
      <c r="D40" s="90" t="s">
        <v>1364</v>
      </c>
      <c r="E40" s="98" t="str">
        <f>'運用プロセス(自社DC)'!E37</f>
        <v>送信した電子メールは、３年保存する設計としているか。</v>
      </c>
      <c r="F40" s="98" t="s">
        <v>1539</v>
      </c>
      <c r="G40" s="92" t="s">
        <v>254</v>
      </c>
      <c r="H40" s="181"/>
      <c r="I40" s="181"/>
      <c r="J40" s="94"/>
      <c r="K40" s="94"/>
      <c r="L40" s="94"/>
      <c r="M40" s="94"/>
      <c r="N40" s="247"/>
      <c r="O40" s="111" cm="1">
        <f t="array" ref="O40">IF(AI40=TRUE,_xlfn.IFS(M40=1,2,M40="",IF(N40="",1,2)),0)</f>
        <v>0</v>
      </c>
      <c r="P40" s="95" t="s">
        <v>255</v>
      </c>
      <c r="Q40" s="95" t="s">
        <v>183</v>
      </c>
      <c r="R40" s="95" t="s">
        <v>183</v>
      </c>
      <c r="S40" s="95" t="s">
        <v>183</v>
      </c>
      <c r="T40" s="95"/>
      <c r="U40" s="95"/>
      <c r="V40" s="95"/>
      <c r="W40" s="95"/>
      <c r="X40" s="96" t="s">
        <v>448</v>
      </c>
      <c r="Y40" s="95"/>
      <c r="Z40" s="95"/>
      <c r="AA40" s="95" t="s">
        <v>183</v>
      </c>
      <c r="AB40" s="95"/>
      <c r="AC40" s="95"/>
      <c r="AD40" s="95" t="s">
        <v>183</v>
      </c>
      <c r="AE40" s="95" t="s">
        <v>183</v>
      </c>
      <c r="AF40" s="95"/>
      <c r="AG40" s="95"/>
      <c r="AH40" s="95"/>
      <c r="AI40" s="94" t="b">
        <f t="shared" si="3"/>
        <v>0</v>
      </c>
      <c r="AJ40" s="94"/>
      <c r="AK40" s="94"/>
      <c r="AL40" s="94"/>
      <c r="AM40" s="94"/>
      <c r="AN40" s="170" t="str">
        <f t="shared" si="4"/>
        <v/>
      </c>
      <c r="AO40" s="94"/>
    </row>
    <row r="41" spans="1:41" ht="90">
      <c r="A41" s="75"/>
      <c r="B41" s="82"/>
      <c r="C41" s="71" t="s">
        <v>1543</v>
      </c>
      <c r="D41" s="90" t="s">
        <v>1367</v>
      </c>
      <c r="E41" s="98" t="str">
        <f>'運用プロセス(自社DC)'!E38</f>
        <v>通信回線装置上での証跡（通信回線の不正利用、電子計算機または通信回線装置への不正アクセス、送受信される情報の盗聴、改ざん、破壊）を取得／保存する設計としているか。</v>
      </c>
      <c r="F41" s="91" t="s">
        <v>1542</v>
      </c>
      <c r="G41" s="93" t="s">
        <v>254</v>
      </c>
      <c r="H41" s="181"/>
      <c r="I41" s="181"/>
      <c r="J41" s="94"/>
      <c r="K41" s="94"/>
      <c r="L41" s="94"/>
      <c r="M41" s="94"/>
      <c r="N41" s="247"/>
      <c r="O41" s="111" cm="1">
        <f t="array" ref="O41">IF(AI41=TRUE,_xlfn.IFS(M41=1,2,M41="",IF(N41="",1,2)),0)</f>
        <v>0</v>
      </c>
      <c r="P41" s="95" t="s">
        <v>255</v>
      </c>
      <c r="Q41" s="95" t="s">
        <v>183</v>
      </c>
      <c r="R41" s="95" t="s">
        <v>183</v>
      </c>
      <c r="S41" s="95" t="s">
        <v>183</v>
      </c>
      <c r="T41" s="95" t="s">
        <v>183</v>
      </c>
      <c r="U41" s="95"/>
      <c r="V41" s="95"/>
      <c r="W41" s="95"/>
      <c r="X41" s="96" t="s">
        <v>448</v>
      </c>
      <c r="Y41" s="95"/>
      <c r="Z41" s="95"/>
      <c r="AA41" s="95"/>
      <c r="AB41" s="95"/>
      <c r="AC41" s="95"/>
      <c r="AD41" s="95" t="s">
        <v>183</v>
      </c>
      <c r="AE41" s="95" t="s">
        <v>183</v>
      </c>
      <c r="AF41" s="95"/>
      <c r="AG41" s="95"/>
      <c r="AH41" s="95"/>
      <c r="AI41" s="94" t="b">
        <f t="shared" si="3"/>
        <v>0</v>
      </c>
      <c r="AJ41" s="94"/>
      <c r="AK41" s="94"/>
      <c r="AL41" s="94"/>
      <c r="AM41" s="94"/>
      <c r="AN41" s="170" t="str">
        <f t="shared" si="4"/>
        <v/>
      </c>
      <c r="AO41" s="94"/>
    </row>
    <row r="42" spans="1:41" ht="135">
      <c r="A42" s="75"/>
      <c r="B42" s="82"/>
      <c r="C42" s="71" t="s">
        <v>1545</v>
      </c>
      <c r="D42" s="90" t="s">
        <v>1370</v>
      </c>
      <c r="E42" s="98" t="str">
        <f>'運用プロセス(自社DC)'!E39</f>
        <v>ホスト、サーバ単位でシステムの操作記録（アクセス者、アクセス先、時刻など）を取得／保存する設計としているか。
さらに、業務的な調査のために、操作内容（ホストはＩＭＳログの画面上り・下り情報。サーバーでは重要なＤＢのＳＱＬパラメータ情報。）を取得しているか。</v>
      </c>
      <c r="F42" s="98" t="s">
        <v>1544</v>
      </c>
      <c r="G42" s="93" t="s">
        <v>254</v>
      </c>
      <c r="H42" s="181"/>
      <c r="I42" s="181"/>
      <c r="J42" s="94"/>
      <c r="K42" s="94"/>
      <c r="L42" s="94"/>
      <c r="M42" s="94"/>
      <c r="N42" s="247"/>
      <c r="O42" s="111" cm="1">
        <f t="array" ref="O42">IF(AI42=TRUE,_xlfn.IFS(M42=1,2,M42="",IF(N42="",1,2)),0)</f>
        <v>0</v>
      </c>
      <c r="P42" s="95" t="s">
        <v>255</v>
      </c>
      <c r="Q42" s="95" t="s">
        <v>183</v>
      </c>
      <c r="R42" s="95" t="s">
        <v>183</v>
      </c>
      <c r="S42" s="95" t="s">
        <v>183</v>
      </c>
      <c r="T42" s="95" t="s">
        <v>183</v>
      </c>
      <c r="U42" s="95"/>
      <c r="V42" s="95"/>
      <c r="W42" s="95"/>
      <c r="X42" s="96" t="s">
        <v>448</v>
      </c>
      <c r="Y42" s="95"/>
      <c r="Z42" s="95"/>
      <c r="AA42" s="95"/>
      <c r="AB42" s="95"/>
      <c r="AC42" s="95"/>
      <c r="AD42" s="95" t="s">
        <v>183</v>
      </c>
      <c r="AE42" s="95" t="s">
        <v>183</v>
      </c>
      <c r="AF42" s="95"/>
      <c r="AG42" s="95"/>
      <c r="AH42" s="95"/>
      <c r="AI42" s="94" t="b">
        <f t="shared" si="3"/>
        <v>0</v>
      </c>
      <c r="AJ42" s="94"/>
      <c r="AK42" s="94"/>
      <c r="AL42" s="94"/>
      <c r="AM42" s="94"/>
      <c r="AN42" s="170" t="str">
        <f t="shared" si="4"/>
        <v/>
      </c>
      <c r="AO42" s="94"/>
    </row>
    <row r="43" spans="1:41" ht="45">
      <c r="A43" s="75"/>
      <c r="B43" s="82"/>
      <c r="C43" s="71" t="s">
        <v>1546</v>
      </c>
      <c r="D43" s="90" t="s">
        <v>1373</v>
      </c>
      <c r="E43" s="98" t="str">
        <f>'運用プロセス(自社DC)'!E40</f>
        <v>システム、サーバ、通信回線装置、通信回線の稼動／負荷状況、メモリやディスクの逼迫、障害の発生／種別　をリアルタイムに検知し、報告、取得、保存する設計としているか。</v>
      </c>
      <c r="F43" s="91" t="s">
        <v>1191</v>
      </c>
      <c r="G43" s="93" t="s">
        <v>254</v>
      </c>
      <c r="H43" s="181"/>
      <c r="I43" s="181"/>
      <c r="J43" s="94"/>
      <c r="K43" s="94"/>
      <c r="L43" s="94"/>
      <c r="M43" s="94"/>
      <c r="N43" s="247"/>
      <c r="O43" s="111" cm="1">
        <f t="array" ref="O43">IF(AI43=TRUE,_xlfn.IFS(M43=1,2,M43="",IF(N43="",1,2)),0)</f>
        <v>0</v>
      </c>
      <c r="P43" s="95" t="s">
        <v>255</v>
      </c>
      <c r="Q43" s="95" t="s">
        <v>183</v>
      </c>
      <c r="R43" s="95" t="s">
        <v>183</v>
      </c>
      <c r="S43" s="95" t="s">
        <v>183</v>
      </c>
      <c r="T43" s="95" t="s">
        <v>183</v>
      </c>
      <c r="U43" s="95"/>
      <c r="V43" s="95"/>
      <c r="W43" s="95"/>
      <c r="X43" s="96" t="s">
        <v>448</v>
      </c>
      <c r="Y43" s="95"/>
      <c r="Z43" s="95"/>
      <c r="AA43" s="95"/>
      <c r="AB43" s="95"/>
      <c r="AC43" s="95"/>
      <c r="AD43" s="95" t="s">
        <v>183</v>
      </c>
      <c r="AE43" s="95" t="s">
        <v>183</v>
      </c>
      <c r="AF43" s="95"/>
      <c r="AG43" s="95"/>
      <c r="AH43" s="95"/>
      <c r="AI43" s="94" t="b">
        <f t="shared" si="3"/>
        <v>0</v>
      </c>
      <c r="AJ43" s="94"/>
      <c r="AK43" s="94"/>
      <c r="AL43" s="94"/>
      <c r="AM43" s="94"/>
      <c r="AN43" s="170" t="str">
        <f t="shared" si="4"/>
        <v/>
      </c>
      <c r="AO43" s="94"/>
    </row>
    <row r="44" spans="1:41" ht="67.5">
      <c r="A44" s="75"/>
      <c r="B44" s="82"/>
      <c r="C44" s="71" t="s">
        <v>2187</v>
      </c>
      <c r="D44" s="90" t="s">
        <v>1448</v>
      </c>
      <c r="E44" s="98" t="s">
        <v>1452</v>
      </c>
      <c r="F44" s="91" t="s">
        <v>1224</v>
      </c>
      <c r="G44" s="93" t="s">
        <v>254</v>
      </c>
      <c r="H44" s="181"/>
      <c r="I44" s="181"/>
      <c r="J44" s="94"/>
      <c r="K44" s="94"/>
      <c r="L44" s="94"/>
      <c r="M44" s="94"/>
      <c r="N44" s="247"/>
      <c r="O44" s="111" cm="1">
        <f t="array" ref="O44">IF(AI44=TRUE,_xlfn.IFS(M44=1,2,M44="",IF(N44="",1,2)),0)</f>
        <v>0</v>
      </c>
      <c r="P44" s="95" t="s">
        <v>255</v>
      </c>
      <c r="Q44" s="95" t="s">
        <v>183</v>
      </c>
      <c r="R44" s="95" t="s">
        <v>183</v>
      </c>
      <c r="S44" s="95" t="s">
        <v>183</v>
      </c>
      <c r="T44" s="95" t="s">
        <v>183</v>
      </c>
      <c r="U44" s="95"/>
      <c r="V44" s="95"/>
      <c r="W44" s="95"/>
      <c r="X44" s="96"/>
      <c r="Y44" s="95"/>
      <c r="Z44" s="95"/>
      <c r="AA44" s="95"/>
      <c r="AB44" s="95"/>
      <c r="AC44" s="95"/>
      <c r="AD44" s="95" t="s">
        <v>183</v>
      </c>
      <c r="AE44" s="95" t="s">
        <v>183</v>
      </c>
      <c r="AF44" s="95"/>
      <c r="AG44" s="95"/>
      <c r="AH44" s="95"/>
      <c r="AI44" s="94" t="b">
        <f t="shared" si="3"/>
        <v>0</v>
      </c>
      <c r="AJ44" s="94"/>
      <c r="AK44" s="94"/>
      <c r="AL44" s="94"/>
      <c r="AM44" s="94"/>
      <c r="AN44" s="170" t="str">
        <f t="shared" si="4"/>
        <v/>
      </c>
      <c r="AO44" s="94"/>
    </row>
    <row r="45" spans="1:41" ht="22.5">
      <c r="A45" s="75" t="s">
        <v>1375</v>
      </c>
      <c r="B45" s="75"/>
      <c r="C45" s="113"/>
      <c r="D45" s="76"/>
      <c r="E45" s="77"/>
      <c r="F45" s="77"/>
      <c r="G45" s="78"/>
      <c r="H45" s="79"/>
      <c r="I45" s="79"/>
      <c r="J45" s="80"/>
      <c r="K45" s="80"/>
      <c r="L45" s="80"/>
      <c r="M45" s="80"/>
      <c r="N45" s="245"/>
      <c r="O45" s="245"/>
      <c r="P45" s="80"/>
      <c r="Q45" s="80"/>
      <c r="R45" s="80"/>
      <c r="S45" s="80"/>
      <c r="T45" s="80"/>
      <c r="U45" s="80"/>
      <c r="V45" s="80"/>
      <c r="W45" s="80"/>
      <c r="X45" s="80"/>
      <c r="Y45" s="80"/>
      <c r="Z45" s="80"/>
      <c r="AA45" s="80"/>
      <c r="AB45" s="80"/>
      <c r="AC45" s="80"/>
      <c r="AD45" s="80"/>
      <c r="AE45" s="80"/>
      <c r="AF45" s="80"/>
      <c r="AG45" s="80"/>
      <c r="AH45" s="80"/>
      <c r="AI45" s="80" t="s">
        <v>728</v>
      </c>
      <c r="AJ45" s="80"/>
      <c r="AK45" s="80"/>
      <c r="AL45" s="80"/>
      <c r="AM45" s="80"/>
      <c r="AN45" s="80"/>
      <c r="AO45" s="80"/>
    </row>
    <row r="46" spans="1:41" ht="22.5">
      <c r="A46" s="75"/>
      <c r="B46" s="82"/>
      <c r="C46" s="115"/>
      <c r="D46" s="83"/>
      <c r="E46" s="84"/>
      <c r="F46" s="84"/>
      <c r="G46" s="85"/>
      <c r="H46" s="86"/>
      <c r="I46" s="86"/>
      <c r="J46" s="87"/>
      <c r="K46" s="87"/>
      <c r="L46" s="87"/>
      <c r="M46" s="87"/>
      <c r="N46" s="246"/>
      <c r="O46" s="246"/>
      <c r="P46" s="87"/>
      <c r="Q46" s="87"/>
      <c r="R46" s="87"/>
      <c r="S46" s="87"/>
      <c r="T46" s="87"/>
      <c r="U46" s="87"/>
      <c r="V46" s="87"/>
      <c r="W46" s="87"/>
      <c r="X46" s="87"/>
      <c r="Y46" s="87"/>
      <c r="Z46" s="87"/>
      <c r="AA46" s="87"/>
      <c r="AB46" s="87"/>
      <c r="AC46" s="87"/>
      <c r="AD46" s="87"/>
      <c r="AE46" s="87"/>
      <c r="AF46" s="87"/>
      <c r="AG46" s="87"/>
      <c r="AH46" s="87"/>
      <c r="AI46" s="87" t="s">
        <v>728</v>
      </c>
      <c r="AJ46" s="87"/>
      <c r="AK46" s="87"/>
      <c r="AL46" s="87"/>
      <c r="AM46" s="87"/>
      <c r="AN46" s="87"/>
      <c r="AO46" s="87"/>
    </row>
    <row r="47" spans="1:41" ht="157.5">
      <c r="A47" s="75"/>
      <c r="B47" s="82"/>
      <c r="C47" s="71" t="s">
        <v>1547</v>
      </c>
      <c r="D47" s="90" t="s">
        <v>284</v>
      </c>
      <c r="E47" s="98" t="str">
        <f>'運用プロセス(自社DC)'!E46</f>
        <v>構築対象の環境のActive Directoryの認証ログを取得し、以下のような観点で分析する運用を設計しているか。
・ドメインの管理者アカウントの利用は運用記録をとり、認証ログと突合せ、記録に無いログイン履歴が無いことを確認する。
・認証成功および認証失敗のログを取得する設定する。（Active Directoryのデフォルト設定は成功ログのみ取得なので注意）。</v>
      </c>
      <c r="F47" s="99" t="s">
        <v>1120</v>
      </c>
      <c r="G47" s="92" t="s">
        <v>254</v>
      </c>
      <c r="H47" s="181"/>
      <c r="I47" s="181"/>
      <c r="J47" s="94" t="s">
        <v>730</v>
      </c>
      <c r="K47" s="94" t="s">
        <v>730</v>
      </c>
      <c r="L47" s="94"/>
      <c r="M47" s="94"/>
      <c r="N47" s="247"/>
      <c r="O47" s="111" cm="1">
        <f t="array" ref="O47">IF(AI47=TRUE,_xlfn.IFS(M47=1,2,M47="",IF(N47="",1,2)),0)</f>
        <v>0</v>
      </c>
      <c r="P47" s="95" t="s">
        <v>255</v>
      </c>
      <c r="Q47" s="95" t="s">
        <v>255</v>
      </c>
      <c r="R47" s="95" t="s">
        <v>255</v>
      </c>
      <c r="S47" s="95" t="s">
        <v>255</v>
      </c>
      <c r="T47" s="95"/>
      <c r="U47" s="95"/>
      <c r="V47" s="95"/>
      <c r="W47" s="95"/>
      <c r="X47" s="96"/>
      <c r="Y47" s="96" t="s">
        <v>255</v>
      </c>
      <c r="Z47" s="95"/>
      <c r="AA47" s="95"/>
      <c r="AB47" s="95"/>
      <c r="AC47" s="95"/>
      <c r="AD47" s="95" t="s">
        <v>183</v>
      </c>
      <c r="AE47" s="95" t="s">
        <v>183</v>
      </c>
      <c r="AF47" s="95"/>
      <c r="AG47" s="95"/>
      <c r="AH47" s="95" t="s">
        <v>255</v>
      </c>
      <c r="AI47" s="94" t="b">
        <f>AND(OR(AND($P$6=TRUE,$P47&lt;&gt;""),AND($Q$6=TRUE,$Q47&lt;&gt;""),AND($R$6=TRUE,$R47&lt;&gt;"")),AND($S$6=TRUE,$S47&lt;&gt;""),OR(AND($T$6=TRUE,$T47&lt;&gt;""),AND($U$6=TRUE,$U47&lt;&gt;""),AND($V$6=TRUE,$V47&lt;&gt;""),AND($W$6=TRUE,$W47&lt;&gt;""),AND($X$6=TRUE,$X47&lt;&gt;""),AND($Y$6=TRUE,$Y47&lt;&gt;""),AND($Z$6=TRUE,$Z47&lt;&gt;""),AND($AA$6=TRUE,$AA47&lt;&gt;""),AND($AB$6=TRUE,$AB47&lt;&gt;""),AND($AC$6=TRUE,$AC47&lt;&gt;"")),OR(AND($AD$6=TRUE,$AD47&lt;&gt;""),AND($AE$6=TRUE,$AE47&lt;&gt;""),AND($AF$6=TRUE,$AF47&lt;&gt;""),AND($AG$6=TRUE,$AG47&lt;&gt;""),AND($AH$6=TRUE,$AH47&lt;&gt;"")))</f>
        <v>0</v>
      </c>
      <c r="AJ47" s="94"/>
      <c r="AK47" s="94" t="s">
        <v>183</v>
      </c>
      <c r="AL47" s="94"/>
      <c r="AM47" s="94"/>
      <c r="AN47" s="170" t="str">
        <f>IF(AJ47&lt;&gt;"","セキュリティ管理/","")&amp;IF(AK47&lt;&gt;"","マルウェア/","")&amp;IF(AL47&lt;&gt;"","クラウド/","")&amp;IF(AM47&lt;&gt;"","別表1,2,3","")</f>
        <v>マルウェア/</v>
      </c>
      <c r="AO47" s="94"/>
    </row>
    <row r="48" spans="1:41" ht="67.5">
      <c r="A48" s="75"/>
      <c r="B48" s="82"/>
      <c r="C48" s="71" t="s">
        <v>1548</v>
      </c>
      <c r="D48" s="90" t="s">
        <v>1453</v>
      </c>
      <c r="E48" s="98" t="str">
        <f>'運用プロセス(自社DC)'!E47</f>
        <v>構築対象の端末が不特定のインターネットアクセスや外部からのメール受信を行う場合、セキュリティ担当から連携される悪性な通信先サイトをWebフィルタリング等のブラックリストに追加し、閲覧を制限する運用を設計しているか。</v>
      </c>
      <c r="F48" s="99" t="s">
        <v>1120</v>
      </c>
      <c r="G48" s="92" t="s">
        <v>254</v>
      </c>
      <c r="H48" s="181"/>
      <c r="I48" s="181"/>
      <c r="J48" s="94" t="s">
        <v>730</v>
      </c>
      <c r="K48" s="94" t="s">
        <v>730</v>
      </c>
      <c r="L48" s="94"/>
      <c r="M48" s="94"/>
      <c r="N48" s="247"/>
      <c r="O48" s="111" cm="1">
        <f t="array" ref="O48">IF(AI48=TRUE,_xlfn.IFS(M48=1,2,M48="",IF(N48="",1,2)),0)</f>
        <v>0</v>
      </c>
      <c r="P48" s="95" t="s">
        <v>255</v>
      </c>
      <c r="Q48" s="95" t="s">
        <v>255</v>
      </c>
      <c r="R48" s="95" t="s">
        <v>255</v>
      </c>
      <c r="S48" s="95" t="s">
        <v>255</v>
      </c>
      <c r="T48" s="95"/>
      <c r="U48" s="95"/>
      <c r="V48" s="95"/>
      <c r="W48" s="95"/>
      <c r="X48" s="96"/>
      <c r="Y48" s="96" t="s">
        <v>255</v>
      </c>
      <c r="Z48" s="95"/>
      <c r="AA48" s="95"/>
      <c r="AB48" s="95"/>
      <c r="AC48" s="95"/>
      <c r="AD48" s="95" t="s">
        <v>183</v>
      </c>
      <c r="AE48" s="95" t="s">
        <v>183</v>
      </c>
      <c r="AF48" s="95"/>
      <c r="AG48" s="95"/>
      <c r="AH48" s="95" t="s">
        <v>255</v>
      </c>
      <c r="AI48" s="94" t="b">
        <f>AND(OR(AND($P$6=TRUE,$P48&lt;&gt;""),AND($Q$6=TRUE,$Q48&lt;&gt;""),AND($R$6=TRUE,$R48&lt;&gt;"")),AND($S$6=TRUE,$S48&lt;&gt;""),OR(AND($T$6=TRUE,$T48&lt;&gt;""),AND($U$6=TRUE,$U48&lt;&gt;""),AND($V$6=TRUE,$V48&lt;&gt;""),AND($W$6=TRUE,$W48&lt;&gt;""),AND($X$6=TRUE,$X48&lt;&gt;""),AND($Y$6=TRUE,$Y48&lt;&gt;""),AND($Z$6=TRUE,$Z48&lt;&gt;""),AND($AA$6=TRUE,$AA48&lt;&gt;""),AND($AB$6=TRUE,$AB48&lt;&gt;""),AND($AC$6=TRUE,$AC48&lt;&gt;"")),OR(AND($AD$6=TRUE,$AD48&lt;&gt;""),AND($AE$6=TRUE,$AE48&lt;&gt;""),AND($AF$6=TRUE,$AF48&lt;&gt;""),AND($AG$6=TRUE,$AG48&lt;&gt;""),AND($AH$6=TRUE,$AH48&lt;&gt;"")))</f>
        <v>0</v>
      </c>
      <c r="AJ48" s="94"/>
      <c r="AK48" s="94"/>
      <c r="AL48" s="94"/>
      <c r="AM48" s="94"/>
      <c r="AN48" s="170" t="str">
        <f>IF(AJ48&lt;&gt;"","セキュリティ管理/","")&amp;IF(AK48&lt;&gt;"","マルウェア/","")&amp;IF(AL48&lt;&gt;"","クラウド/","")&amp;IF(AM48&lt;&gt;"","別表1,2,3","")</f>
        <v/>
      </c>
      <c r="AO48" s="94" t="s">
        <v>1044</v>
      </c>
    </row>
    <row r="49" spans="1:41" ht="67.5">
      <c r="A49" s="75"/>
      <c r="B49" s="82"/>
      <c r="C49" s="71" t="s">
        <v>2188</v>
      </c>
      <c r="D49" s="90" t="s">
        <v>290</v>
      </c>
      <c r="E49" s="98" t="str">
        <f>'運用プロセス(自社DC)'!E48</f>
        <v>構築対象の端末が不特定のインターネットアクセスや外部からのメール受信を行う場合、悪性のハッシュ値，URL，IPアドレス等の情報を入手した際に、当該ファイルの保持状況やアクセス履歴の有無を確認する運用を設計しているか。</v>
      </c>
      <c r="F49" s="99" t="s">
        <v>1120</v>
      </c>
      <c r="G49" s="92" t="s">
        <v>254</v>
      </c>
      <c r="H49" s="181"/>
      <c r="I49" s="181"/>
      <c r="J49" s="94" t="s">
        <v>730</v>
      </c>
      <c r="K49" s="94" t="s">
        <v>730</v>
      </c>
      <c r="L49" s="94"/>
      <c r="M49" s="94"/>
      <c r="N49" s="247"/>
      <c r="O49" s="111" cm="1">
        <f t="array" ref="O49">IF(AI49=TRUE,_xlfn.IFS(M49=1,2,M49="",IF(N49="",1,2)),0)</f>
        <v>0</v>
      </c>
      <c r="P49" s="95" t="s">
        <v>255</v>
      </c>
      <c r="Q49" s="95" t="s">
        <v>255</v>
      </c>
      <c r="R49" s="95" t="s">
        <v>255</v>
      </c>
      <c r="S49" s="95" t="s">
        <v>255</v>
      </c>
      <c r="T49" s="95"/>
      <c r="U49" s="95"/>
      <c r="V49" s="95"/>
      <c r="W49" s="95"/>
      <c r="X49" s="96"/>
      <c r="Y49" s="96" t="s">
        <v>255</v>
      </c>
      <c r="Z49" s="95"/>
      <c r="AA49" s="95"/>
      <c r="AB49" s="95"/>
      <c r="AC49" s="95"/>
      <c r="AD49" s="95" t="s">
        <v>183</v>
      </c>
      <c r="AE49" s="95" t="s">
        <v>183</v>
      </c>
      <c r="AF49" s="95"/>
      <c r="AG49" s="95"/>
      <c r="AH49" s="95" t="s">
        <v>255</v>
      </c>
      <c r="AI49" s="94" t="b">
        <f>AND(OR(AND($P$6=TRUE,$P49&lt;&gt;""),AND($Q$6=TRUE,$Q49&lt;&gt;""),AND($R$6=TRUE,$R49&lt;&gt;"")),AND($S$6=TRUE,$S49&lt;&gt;""),OR(AND($T$6=TRUE,$T49&lt;&gt;""),AND($U$6=TRUE,$U49&lt;&gt;""),AND($V$6=TRUE,$V49&lt;&gt;""),AND($W$6=TRUE,$W49&lt;&gt;""),AND($X$6=TRUE,$X49&lt;&gt;""),AND($Y$6=TRUE,$Y49&lt;&gt;""),AND($Z$6=TRUE,$Z49&lt;&gt;""),AND($AA$6=TRUE,$AA49&lt;&gt;""),AND($AB$6=TRUE,$AB49&lt;&gt;""),AND($AC$6=TRUE,$AC49&lt;&gt;"")),OR(AND($AD$6=TRUE,$AD49&lt;&gt;""),AND($AE$6=TRUE,$AE49&lt;&gt;""),AND($AF$6=TRUE,$AF49&lt;&gt;""),AND($AG$6=TRUE,$AG49&lt;&gt;""),AND($AH$6=TRUE,$AH49&lt;&gt;"")))</f>
        <v>0</v>
      </c>
      <c r="AJ49" s="94"/>
      <c r="AK49" s="94"/>
      <c r="AL49" s="94"/>
      <c r="AM49" s="94"/>
      <c r="AN49" s="170" t="str">
        <f>IF(AJ49&lt;&gt;"","セキュリティ管理/","")&amp;IF(AK49&lt;&gt;"","マルウェア/","")&amp;IF(AL49&lt;&gt;"","クラウド/","")&amp;IF(AM49&lt;&gt;"","別表1,2,3","")</f>
        <v/>
      </c>
      <c r="AO49" s="94" t="s">
        <v>1044</v>
      </c>
    </row>
    <row r="50" spans="1:41" ht="67.5">
      <c r="A50" s="75"/>
      <c r="B50" s="82"/>
      <c r="C50" s="71" t="s">
        <v>2189</v>
      </c>
      <c r="D50" s="90" t="s">
        <v>293</v>
      </c>
      <c r="E50" s="98" t="str">
        <f>'運用プロセス(自社DC)'!E49</f>
        <v>構築対象の端末が不特定のインターネットアクセスや外部からのメール受信を行う場合、インターネット接続時に経由するファイアウォールの通信ログを取得し、想定した通信要件以外の通信ログ(遮断ログ)がないかを日次で確認する運用を設計しているか。</v>
      </c>
      <c r="F50" s="99" t="s">
        <v>1120</v>
      </c>
      <c r="G50" s="92" t="s">
        <v>254</v>
      </c>
      <c r="H50" s="181"/>
      <c r="I50" s="181"/>
      <c r="J50" s="94" t="s">
        <v>730</v>
      </c>
      <c r="K50" s="94" t="s">
        <v>730</v>
      </c>
      <c r="L50" s="94"/>
      <c r="M50" s="94"/>
      <c r="N50" s="247"/>
      <c r="O50" s="111" cm="1">
        <f t="array" ref="O50">IF(AI50=TRUE,_xlfn.IFS(M50=1,2,M50="",IF(N50="",1,2)),0)</f>
        <v>0</v>
      </c>
      <c r="P50" s="95" t="s">
        <v>255</v>
      </c>
      <c r="Q50" s="95" t="s">
        <v>255</v>
      </c>
      <c r="R50" s="95" t="s">
        <v>255</v>
      </c>
      <c r="S50" s="95" t="s">
        <v>255</v>
      </c>
      <c r="T50" s="95"/>
      <c r="U50" s="95"/>
      <c r="V50" s="95"/>
      <c r="W50" s="95"/>
      <c r="X50" s="96"/>
      <c r="Y50" s="96" t="s">
        <v>255</v>
      </c>
      <c r="Z50" s="95"/>
      <c r="AA50" s="95"/>
      <c r="AB50" s="95"/>
      <c r="AC50" s="95"/>
      <c r="AD50" s="95" t="s">
        <v>183</v>
      </c>
      <c r="AE50" s="95" t="s">
        <v>183</v>
      </c>
      <c r="AF50" s="95"/>
      <c r="AG50" s="95"/>
      <c r="AH50" s="95" t="s">
        <v>255</v>
      </c>
      <c r="AI50" s="94" t="b">
        <f>AND(OR(AND($P$6=TRUE,$P50&lt;&gt;""),AND($Q$6=TRUE,$Q50&lt;&gt;""),AND($R$6=TRUE,$R50&lt;&gt;"")),AND($S$6=TRUE,$S50&lt;&gt;""),OR(AND($T$6=TRUE,$T50&lt;&gt;""),AND($U$6=TRUE,$U50&lt;&gt;""),AND($V$6=TRUE,$V50&lt;&gt;""),AND($W$6=TRUE,$W50&lt;&gt;""),AND($X$6=TRUE,$X50&lt;&gt;""),AND($Y$6=TRUE,$Y50&lt;&gt;""),AND($Z$6=TRUE,$Z50&lt;&gt;""),AND($AA$6=TRUE,$AA50&lt;&gt;""),AND($AB$6=TRUE,$AB50&lt;&gt;""),AND($AC$6=TRUE,$AC50&lt;&gt;"")),OR(AND($AD$6=TRUE,$AD50&lt;&gt;""),AND($AE$6=TRUE,$AE50&lt;&gt;""),AND($AF$6=TRUE,$AF50&lt;&gt;""),AND($AG$6=TRUE,$AG50&lt;&gt;""),AND($AH$6=TRUE,$AH50&lt;&gt;"")))</f>
        <v>0</v>
      </c>
      <c r="AJ50" s="94"/>
      <c r="AK50" s="94"/>
      <c r="AL50" s="94"/>
      <c r="AM50" s="94"/>
      <c r="AN50" s="170" t="str">
        <f>IF(AJ50&lt;&gt;"","セキュリティ管理/","")&amp;IF(AK50&lt;&gt;"","マルウェア/","")&amp;IF(AL50&lt;&gt;"","クラウド/","")&amp;IF(AM50&lt;&gt;"","別表1,2,3","")</f>
        <v/>
      </c>
      <c r="AO50" s="94" t="s">
        <v>1044</v>
      </c>
    </row>
    <row r="51" spans="1:41" ht="409.5">
      <c r="A51" s="75"/>
      <c r="B51" s="82"/>
      <c r="C51" s="71" t="s">
        <v>2190</v>
      </c>
      <c r="D51" s="90" t="s">
        <v>296</v>
      </c>
      <c r="E51" s="98" t="str">
        <f>'運用プロセス(自社DC)'!E53</f>
        <v xml:space="preserve">構築対象のプロキシサーバの通信ログおよび認証ログを取得し、以下の観点で分析する運用を設計しているか。以下の観点で監視および定期的に分析しているか。
＜通信ログ＞
・規則的に再接続を試みるアクセスの有無を確認し、接続元と接続先のIPアドレスの調査から、コネクトバック通信を行っている端末がないか。(推奨)
・CONNECTメソッドを使用して、許可されていないポート番号で接続しようとしている通信ログ（遮断ログ）がないか。(必須)
＜認証ログ＞
・特定のユーザIDに対するブルートフォースによる認証の試行が無いか(必須)
・パスワードを固定してユーザIDを変化させる認証の試行が無いか(必須)
・同一の時間帯に同一ＩＤによるログインが複数端末から発生していないか(必須)
・深夜等の業務時間外に特定端末から定期的に認証ログが発生していないか(必須)
（アウトソースシステムの場合、回答で「YES」を選択した場合は、下記のうち該当する番号を全て備考欄に記入する。）
1.ログの取得
2.ログの監視
3.ログの定期的な分析
</v>
      </c>
      <c r="F51" s="91" t="s">
        <v>1191</v>
      </c>
      <c r="G51" s="93" t="s">
        <v>254</v>
      </c>
      <c r="H51" s="181"/>
      <c r="I51" s="181"/>
      <c r="J51" s="94"/>
      <c r="K51" s="94"/>
      <c r="L51" s="94"/>
      <c r="M51" s="94"/>
      <c r="N51" s="247"/>
      <c r="O51" s="111" cm="1">
        <f t="array" ref="O51">IF(AI51=TRUE,_xlfn.IFS(M51=1,2,M51="",IF(N51="",1,2)),0)</f>
        <v>0</v>
      </c>
      <c r="P51" s="95" t="s">
        <v>255</v>
      </c>
      <c r="Q51" s="95" t="s">
        <v>183</v>
      </c>
      <c r="R51" s="95" t="s">
        <v>183</v>
      </c>
      <c r="S51" s="95" t="s">
        <v>183</v>
      </c>
      <c r="T51" s="96"/>
      <c r="U51" s="96"/>
      <c r="V51" s="96"/>
      <c r="W51" s="96"/>
      <c r="X51" s="96"/>
      <c r="Y51" s="95"/>
      <c r="Z51" s="96" t="s">
        <v>255</v>
      </c>
      <c r="AA51" s="95"/>
      <c r="AB51" s="95"/>
      <c r="AC51" s="95"/>
      <c r="AD51" s="95" t="s">
        <v>183</v>
      </c>
      <c r="AE51" s="95" t="s">
        <v>183</v>
      </c>
      <c r="AF51" s="95"/>
      <c r="AG51" s="95"/>
      <c r="AH51" s="95" t="s">
        <v>255</v>
      </c>
      <c r="AI51" s="94" t="b">
        <f>AND(OR(AND($P$6=TRUE,$P51&lt;&gt;""),AND($Q$6=TRUE,$Q51&lt;&gt;""),AND($R$6=TRUE,$R51&lt;&gt;"")),AND($S$6=TRUE,$S51&lt;&gt;""),OR(AND($T$6=TRUE,$T51&lt;&gt;""),AND($U$6=TRUE,$U51&lt;&gt;""),AND($V$6=TRUE,$V51&lt;&gt;""),AND($W$6=TRUE,$W51&lt;&gt;""),AND($X$6=TRUE,$X51&lt;&gt;""),AND($Y$6=TRUE,$Y51&lt;&gt;""),AND($Z$6=TRUE,$Z51&lt;&gt;""),AND($AA$6=TRUE,$AA51&lt;&gt;""),AND($AB$6=TRUE,$AB51&lt;&gt;""),AND($AC$6=TRUE,$AC51&lt;&gt;"")),OR(AND($AD$6=TRUE,$AD51&lt;&gt;""),AND($AE$6=TRUE,$AE51&lt;&gt;""),AND($AF$6=TRUE,$AF51&lt;&gt;""),AND($AG$6=TRUE,$AG51&lt;&gt;""),AND($AH$6=TRUE,$AH51&lt;&gt;"")))</f>
        <v>0</v>
      </c>
      <c r="AJ51" s="94"/>
      <c r="AK51" s="94" t="s">
        <v>183</v>
      </c>
      <c r="AL51" s="94"/>
      <c r="AM51" s="94"/>
      <c r="AN51" s="170" t="str">
        <f>IF(AJ51&lt;&gt;"","セキュリティ管理/","")&amp;IF(AK51&lt;&gt;"","マルウェア/","")&amp;IF(AL51&lt;&gt;"","クラウド/","")&amp;IF(AM51&lt;&gt;"","別表1,2,3","")</f>
        <v>マルウェア/</v>
      </c>
      <c r="AO51" s="94"/>
    </row>
    <row r="52" spans="1:41">
      <c r="H52">
        <f>COUNTA(H10:H51)</f>
        <v>0</v>
      </c>
      <c r="O52" s="24">
        <f>COUNTIF(O10:O51,2)</f>
        <v>0</v>
      </c>
      <c r="AI52" s="24">
        <f>COUNTIF(AI10:AI51,TRUE)</f>
        <v>0</v>
      </c>
      <c r="AJ52" s="24"/>
      <c r="AK52" s="24"/>
      <c r="AL52" s="24"/>
      <c r="AM52" s="24"/>
      <c r="AN52" s="24"/>
    </row>
    <row r="53" spans="1:41">
      <c r="H53">
        <f>COUNTIF(H10:H51,インデックス!CJ185)</f>
        <v>0</v>
      </c>
      <c r="O53" s="24" cm="1">
        <f t="array" ref="O53">SUMPRODUCT((O10:O51=2)*($AN10:$AN51&lt;&gt;""))</f>
        <v>0</v>
      </c>
      <c r="AI53" s="24" cm="1">
        <f t="array" ref="AI53">SUMPRODUCT((AI10:AI51=TRUE)*($AN10:$AN51&lt;&gt;""))</f>
        <v>0</v>
      </c>
    </row>
    <row r="54" spans="1:41">
      <c r="E54" s="22"/>
      <c r="F54" s="22"/>
      <c r="H54" cm="1">
        <f t="array" ref="H54">SUMPRODUCT((H10:H51&lt;&gt;"")*(AN10:AN51&lt;&gt;""))</f>
        <v>0</v>
      </c>
    </row>
    <row r="55" spans="1:41">
      <c r="H55" cm="1">
        <f t="array" ref="H55">SUMPRODUCT((H10:H51=インデックス!$CJ$185)*(AN10:AN51&lt;&gt;""))</f>
        <v>0</v>
      </c>
    </row>
  </sheetData>
  <autoFilter ref="A7:AO51" xr:uid="{00000000-0009-0000-0000-00000E000000}"/>
  <mergeCells count="1">
    <mergeCell ref="M1:N2"/>
  </mergeCells>
  <phoneticPr fontId="7"/>
  <conditionalFormatting sqref="E35">
    <cfRule type="expression" dxfId="34" priority="7">
      <formula>$AF$6=TRUE</formula>
    </cfRule>
  </conditionalFormatting>
  <conditionalFormatting sqref="E10:I51">
    <cfRule type="expression" dxfId="33" priority="397">
      <formula>$AI10=FALSE</formula>
    </cfRule>
  </conditionalFormatting>
  <dataValidations count="1">
    <dataValidation type="list" allowBlank="1" showInputMessage="1" showErrorMessage="1" sqref="M8:M51" xr:uid="{00000000-0002-0000-0E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B42D0324-3A69-49FC-AB24-44F89CC4F806}">
            <xm:f>M$1=インデックス!$CJ$189</xm:f>
            <x14:dxf>
              <fill>
                <patternFill>
                  <bgColor theme="5"/>
                </patternFill>
              </fill>
            </x14:dxf>
          </x14:cfRule>
          <x14:cfRule type="expression" priority="2" id="{959C535F-1C56-4195-A9FC-C7FA9DFFAA3A}">
            <xm:f>M$1=インデックス!$CJ$188</xm:f>
            <x14:dxf>
              <fill>
                <patternFill>
                  <bgColor theme="9"/>
                </patternFill>
              </fill>
            </x14:dxf>
          </x14:cfRule>
          <x14:cfRule type="expression" priority="3" id="{83093313-3856-4117-9025-8697ED4627A5}">
            <xm:f>M$1=インデックス!$CJ$187</xm:f>
            <x14:dxf>
              <fill>
                <patternFill>
                  <bgColor theme="4"/>
                </patternFill>
              </fill>
            </x14:dxf>
          </x14:cfRule>
          <xm:sqref>M1:N2</xm:sqref>
        </x14:conditionalFormatting>
        <x14:conditionalFormatting xmlns:xm="http://schemas.microsoft.com/office/excel/2006/main">
          <x14:cfRule type="expression" priority="1305" id="{A5F5E6EF-074B-4F5B-8E76-4699E81FBBB3}">
            <xm:f>AND($AI10=TRUE,COUNTIF($H10,インデックス!$CJ$186),ISBLANK($I10))</xm:f>
            <x14:dxf>
              <fill>
                <patternFill>
                  <bgColor theme="5"/>
                </patternFill>
              </fill>
            </x14:dxf>
          </x14:cfRule>
          <x14:cfRule type="expression" priority="1306" id="{4FF84E4A-3450-4B21-ADCC-93D31B289F57}">
            <xm:f>AND($AI10=TRUE,$H10=インデックス!$CJ$184,ISBLANK($I10))</xm:f>
            <x14:dxf>
              <fill>
                <patternFill>
                  <bgColor theme="5"/>
                </patternFill>
              </fill>
            </x14:dxf>
          </x14:cfRule>
          <xm:sqref>I10:I51</xm:sqref>
        </x14:conditionalFormatting>
        <x14:conditionalFormatting xmlns:xm="http://schemas.microsoft.com/office/excel/2006/main">
          <x14:cfRule type="expression" priority="1327" id="{70A0BFE5-AFD5-4D93-852F-F8757A061E82}">
            <xm:f>AND($AI10=TRUE,OR($H10=インデックス!$CJ$183,$H10=インデックス!$CJ$184,$H10=インデックス!$CJ$185,$H10=インデックス!$CJ$186),ISBLANK($M10))</xm:f>
            <x14:dxf>
              <fill>
                <patternFill>
                  <bgColor theme="5"/>
                </patternFill>
              </fill>
            </x14:dxf>
          </x14:cfRule>
          <xm:sqref>M10:M51</xm:sqref>
        </x14:conditionalFormatting>
        <x14:conditionalFormatting xmlns:xm="http://schemas.microsoft.com/office/excel/2006/main">
          <x14:cfRule type="expression" priority="1328" id="{1DDF13B4-07E3-4EE1-8740-59D326905854}">
            <xm:f>AND($AI10=TRUE,OR($H10=インデックス!$CJ$184,$H10=インデックス!$CJ$185,$H10=インデックス!$CJ$186),ISBLANK($N10))</xm:f>
            <x14:dxf>
              <fill>
                <patternFill>
                  <bgColor theme="5"/>
                </patternFill>
              </fill>
            </x14:dxf>
          </x14:cfRule>
          <xm:sqref>N10:N51</xm:sqref>
        </x14:conditionalFormatting>
        <x14:conditionalFormatting xmlns:xm="http://schemas.microsoft.com/office/excel/2006/main">
          <x14:cfRule type="expression" priority="1339" id="{6B36D21E-788B-4FDC-AB34-3E5886BF0FDF}">
            <xm:f>AND($AI29=TRUE,インデックス!$AL$63=TRUE,$H29=インデックス!$CJ$183,ISBLANK($I29))</xm:f>
            <x14:dxf>
              <fill>
                <patternFill>
                  <bgColor theme="5"/>
                </patternFill>
              </fill>
            </x14:dxf>
          </x14:cfRule>
          <xm:sqref>I29 I51</xm:sqref>
        </x14:conditionalFormatting>
        <x14:conditionalFormatting xmlns:xm="http://schemas.microsoft.com/office/excel/2006/main">
          <x14:cfRule type="expression" priority="1877" id="{E5390C43-8B19-4C8B-9FE0-B08502400270}">
            <xm:f>AND($AI10=TRUE,$H10=インデックス!$CJ$184,ISBLANK($M10),インデックス!$AL$40=TRUE)</xm:f>
            <x14:dxf>
              <fill>
                <patternFill>
                  <bgColor theme="5"/>
                </patternFill>
              </fill>
            </x14:dxf>
          </x14:cfRule>
          <xm:sqref>M10:M51</xm:sqref>
        </x14:conditionalFormatting>
        <x14:conditionalFormatting xmlns:xm="http://schemas.microsoft.com/office/excel/2006/main">
          <x14:cfRule type="expression" priority="1878" id="{648F820A-1B77-40DE-89B1-89E45C7FF850}">
            <xm:f>AND($AI10=TRUE,$H10=インデックス!$CJ$184,ISBLANK($N10),インデックス!$AL$40=TRUE)</xm:f>
            <x14:dxf>
              <fill>
                <patternFill>
                  <bgColor theme="5"/>
                </patternFill>
              </fill>
            </x14:dxf>
          </x14:cfRule>
          <xm:sqref>N14:O15 N33:O33 N21:O22 N16:N20 N45:O46 N34:N44 N47:N51 N23:N32 N10:N13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インデックス!$CJ$183:$CJ$186</xm:f>
          </x14:formula1>
          <xm:sqref>H23:H32 H16:H20 H34:H44 H47:H51 H10:H13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1"/>
  <dimension ref="A1:U65"/>
  <sheetViews>
    <sheetView showGridLines="0" zoomScale="70" zoomScaleNormal="70" workbookViewId="0">
      <pane ySplit="6" topLeftCell="A18" activePane="bottomLeft" state="frozen"/>
      <selection pane="bottomLeft"/>
    </sheetView>
  </sheetViews>
  <sheetFormatPr defaultRowHeight="18" outlineLevelCol="1"/>
  <cols>
    <col min="1" max="2" width="5.58203125" style="21" customWidth="1"/>
    <col min="3" max="3" width="9.08203125" style="21" bestFit="1" customWidth="1"/>
    <col min="4" max="4" width="8" style="21" customWidth="1"/>
    <col min="5" max="5" width="50.58203125" style="50" customWidth="1"/>
    <col min="6" max="6" width="8.25" style="21" bestFit="1" customWidth="1"/>
    <col min="7" max="7" width="4.5" style="21" bestFit="1" customWidth="1"/>
    <col min="8" max="8" width="100.58203125" style="154" customWidth="1"/>
    <col min="9" max="9" width="13" style="47" bestFit="1" customWidth="1"/>
    <col min="10" max="10" width="16.58203125" style="21" customWidth="1"/>
    <col min="11" max="11" width="20.58203125" style="21" customWidth="1"/>
    <col min="12" max="12" width="55.58203125" style="21" customWidth="1"/>
    <col min="13" max="13" width="18.58203125" style="21" customWidth="1"/>
    <col min="14" max="14" width="50.58203125" style="21" customWidth="1"/>
    <col min="15" max="15" width="17.58203125" style="21" hidden="1" customWidth="1" outlineLevel="1"/>
    <col min="16" max="20" width="15.58203125" style="24" hidden="1" customWidth="1" outlineLevel="1"/>
    <col min="21" max="21" width="18.75" customWidth="1" collapsed="1"/>
  </cols>
  <sheetData>
    <row r="1" spans="1:21" ht="33" customHeight="1">
      <c r="A1" s="43" t="s">
        <v>1549</v>
      </c>
      <c r="B1"/>
      <c r="C1"/>
      <c r="D1"/>
      <c r="F1"/>
      <c r="G1"/>
      <c r="H1" s="2"/>
      <c r="I1"/>
      <c r="J1"/>
      <c r="K1"/>
      <c r="L1"/>
      <c r="M1" s="387" t="str">
        <f>IF(COUNTIF(O9:O63,1)=0,インデックス!$CJ$187,インデックス!$CJ$189)</f>
        <v>全件評価完了</v>
      </c>
      <c r="N1" s="387"/>
      <c r="O1"/>
    </row>
    <row r="2" spans="1:21" ht="25.5" customHeight="1">
      <c r="A2"/>
      <c r="B2" s="42" t="s">
        <v>1550</v>
      </c>
      <c r="C2"/>
      <c r="D2"/>
      <c r="F2"/>
      <c r="G2"/>
      <c r="H2" s="2"/>
      <c r="I2"/>
      <c r="J2"/>
      <c r="K2"/>
      <c r="L2"/>
      <c r="M2" s="387"/>
      <c r="N2" s="387"/>
      <c r="O2"/>
    </row>
    <row r="3" spans="1:21" ht="26.5">
      <c r="A3"/>
      <c r="B3" s="42" t="s">
        <v>1551</v>
      </c>
      <c r="C3"/>
      <c r="D3"/>
      <c r="F3"/>
      <c r="G3"/>
      <c r="H3" s="2"/>
      <c r="I3"/>
      <c r="J3"/>
      <c r="K3"/>
      <c r="L3"/>
      <c r="M3"/>
      <c r="N3"/>
      <c r="O3"/>
    </row>
    <row r="4" spans="1:21">
      <c r="A4"/>
      <c r="B4"/>
      <c r="C4"/>
      <c r="D4"/>
      <c r="E4" s="2"/>
      <c r="F4"/>
      <c r="G4"/>
      <c r="H4" s="22"/>
      <c r="I4" s="18"/>
      <c r="J4"/>
      <c r="K4"/>
      <c r="L4"/>
      <c r="M4" s="163" t="s">
        <v>229</v>
      </c>
      <c r="N4" s="161"/>
      <c r="O4" s="161"/>
      <c r="P4" s="25" t="b">
        <f>AND(インデックス!$AL$38,インデックス!$AL$63)</f>
        <v>0</v>
      </c>
      <c r="Q4" s="25" t="b">
        <f>インデックス!$AL$39</f>
        <v>0</v>
      </c>
      <c r="R4" s="25" t="b">
        <f>OR(インデックス!$AL$37,インデックス!$AL$40)</f>
        <v>0</v>
      </c>
      <c r="S4" s="26" t="b">
        <f>インデックス!$AL$75</f>
        <v>0</v>
      </c>
      <c r="T4" s="160"/>
      <c r="U4" s="160"/>
    </row>
    <row r="5" spans="1:21" ht="67.5">
      <c r="A5" s="64"/>
      <c r="B5" s="64"/>
      <c r="C5" s="293" t="s">
        <v>230</v>
      </c>
      <c r="D5" s="64" t="s">
        <v>155</v>
      </c>
      <c r="E5" s="73" t="s">
        <v>1552</v>
      </c>
      <c r="F5" s="64" t="s">
        <v>1553</v>
      </c>
      <c r="G5" s="64"/>
      <c r="H5" s="297" t="s">
        <v>231</v>
      </c>
      <c r="I5" s="296" t="s">
        <v>1554</v>
      </c>
      <c r="J5" s="159" t="s">
        <v>232</v>
      </c>
      <c r="K5" s="64" t="s">
        <v>233</v>
      </c>
      <c r="L5" s="291" t="s">
        <v>1985</v>
      </c>
      <c r="M5" s="159" t="s">
        <v>2001</v>
      </c>
      <c r="N5" s="73" t="s">
        <v>237</v>
      </c>
      <c r="O5" s="290" t="s">
        <v>1989</v>
      </c>
      <c r="P5" s="64" t="s">
        <v>238</v>
      </c>
      <c r="Q5" s="64" t="s">
        <v>239</v>
      </c>
      <c r="R5" s="159" t="s">
        <v>240</v>
      </c>
      <c r="S5" s="64" t="s">
        <v>138</v>
      </c>
      <c r="T5" s="64" t="s">
        <v>243</v>
      </c>
      <c r="U5" s="64" t="s">
        <v>249</v>
      </c>
    </row>
    <row r="6" spans="1:21" ht="22.5">
      <c r="A6" s="54"/>
      <c r="B6" s="54"/>
      <c r="C6" s="54"/>
      <c r="D6" s="54"/>
      <c r="E6" s="63"/>
      <c r="F6" s="54" t="s">
        <v>1555</v>
      </c>
      <c r="G6" s="54" t="s">
        <v>1556</v>
      </c>
      <c r="H6" s="153"/>
      <c r="I6" s="55"/>
      <c r="J6" s="54"/>
      <c r="K6" s="53"/>
      <c r="L6" s="53"/>
      <c r="M6" s="64"/>
      <c r="N6" s="54"/>
      <c r="O6" s="54"/>
      <c r="P6" s="54"/>
      <c r="Q6" s="54"/>
      <c r="R6" s="54"/>
      <c r="S6" s="54"/>
      <c r="T6" s="54"/>
      <c r="U6" s="54"/>
    </row>
    <row r="7" spans="1:21" ht="22.5">
      <c r="A7" s="52" t="s">
        <v>1557</v>
      </c>
      <c r="B7" s="52"/>
      <c r="C7" s="52"/>
      <c r="D7" s="52"/>
      <c r="E7" s="113"/>
      <c r="F7" s="52"/>
      <c r="G7" s="52"/>
      <c r="H7" s="77"/>
      <c r="I7" s="57"/>
      <c r="J7" s="52"/>
      <c r="K7" s="56"/>
      <c r="L7" s="56"/>
      <c r="M7" s="169"/>
      <c r="N7" s="52"/>
      <c r="O7" s="52"/>
      <c r="P7" s="52"/>
      <c r="Q7" s="52"/>
      <c r="R7" s="52"/>
      <c r="S7" s="52"/>
      <c r="T7" s="52"/>
      <c r="U7" s="52"/>
    </row>
    <row r="8" spans="1:21" ht="22.5">
      <c r="A8" s="52"/>
      <c r="B8" s="58" t="s">
        <v>1558</v>
      </c>
      <c r="C8" s="59"/>
      <c r="D8" s="59"/>
      <c r="E8" s="84"/>
      <c r="F8" s="59"/>
      <c r="G8" s="59"/>
      <c r="H8" s="84"/>
      <c r="I8" s="65"/>
      <c r="J8" s="59"/>
      <c r="K8" s="59"/>
      <c r="L8" s="59"/>
      <c r="M8" s="125"/>
      <c r="N8" s="59"/>
      <c r="O8" s="59"/>
      <c r="P8" s="59"/>
      <c r="Q8" s="59"/>
      <c r="R8" s="59"/>
      <c r="S8" s="59"/>
      <c r="T8" s="59"/>
      <c r="U8" s="59"/>
    </row>
    <row r="9" spans="1:21" ht="22.5">
      <c r="A9" s="52"/>
      <c r="B9" s="58"/>
      <c r="C9" s="242" t="s">
        <v>1559</v>
      </c>
      <c r="D9" s="242" t="s">
        <v>252</v>
      </c>
      <c r="E9" s="66" t="s">
        <v>1560</v>
      </c>
      <c r="F9" s="67" t="s">
        <v>255</v>
      </c>
      <c r="G9" s="60" t="s">
        <v>255</v>
      </c>
      <c r="H9" s="107" t="s">
        <v>1561</v>
      </c>
      <c r="I9" s="68">
        <v>1.6</v>
      </c>
      <c r="J9" s="60" t="s">
        <v>254</v>
      </c>
      <c r="K9" s="61"/>
      <c r="L9" s="61"/>
      <c r="M9" s="123"/>
      <c r="N9" s="243"/>
      <c r="O9" s="111" cm="1">
        <f t="array" ref="O9">IF(T9=TRUE,_xlfn.IFS(M9=1,2,M9="",IF(N9="",1,2)),0)</f>
        <v>0</v>
      </c>
      <c r="P9" s="69" t="s">
        <v>255</v>
      </c>
      <c r="Q9" s="69" t="s">
        <v>183</v>
      </c>
      <c r="R9" s="69" t="s">
        <v>183</v>
      </c>
      <c r="S9" s="69" t="s">
        <v>183</v>
      </c>
      <c r="T9" s="123" t="b">
        <f t="shared" ref="T9:T20" si="0">AND(OR(AND($P$4=TRUE,$P9&lt;&gt;""),AND($Q$4=TRUE,$Q9&lt;&gt;""),AND($R$4=TRUE,$R9&lt;&gt;"")),AND($S$4=TRUE,$S9&lt;&gt;""))</f>
        <v>0</v>
      </c>
      <c r="U9" s="123"/>
    </row>
    <row r="10" spans="1:21" ht="22.5">
      <c r="A10" s="52"/>
      <c r="B10" s="58"/>
      <c r="C10" s="242" t="s">
        <v>1562</v>
      </c>
      <c r="D10" s="242" t="s">
        <v>478</v>
      </c>
      <c r="E10" s="70"/>
      <c r="F10" s="67" t="s">
        <v>255</v>
      </c>
      <c r="G10" s="60" t="s">
        <v>255</v>
      </c>
      <c r="H10" s="107" t="s">
        <v>1563</v>
      </c>
      <c r="I10" s="68">
        <v>1.7</v>
      </c>
      <c r="J10" s="60" t="s">
        <v>254</v>
      </c>
      <c r="K10" s="61"/>
      <c r="L10" s="61"/>
      <c r="M10" s="123"/>
      <c r="N10" s="243"/>
      <c r="O10" s="111" cm="1">
        <f t="array" ref="O10">IF(T10=TRUE,_xlfn.IFS(M10=1,2,M10="",IF(N10="",1,2)),0)</f>
        <v>0</v>
      </c>
      <c r="P10" s="69" t="s">
        <v>255</v>
      </c>
      <c r="Q10" s="69" t="s">
        <v>183</v>
      </c>
      <c r="R10" s="69" t="s">
        <v>183</v>
      </c>
      <c r="S10" s="69" t="s">
        <v>183</v>
      </c>
      <c r="T10" s="123" t="b">
        <f t="shared" si="0"/>
        <v>0</v>
      </c>
      <c r="U10" s="123"/>
    </row>
    <row r="11" spans="1:21" ht="67.5">
      <c r="A11" s="52"/>
      <c r="B11" s="58"/>
      <c r="C11" s="242" t="s">
        <v>1564</v>
      </c>
      <c r="D11" s="71" t="s">
        <v>259</v>
      </c>
      <c r="E11" s="315" t="s">
        <v>2067</v>
      </c>
      <c r="F11" s="60" t="s">
        <v>255</v>
      </c>
      <c r="G11" s="60" t="s">
        <v>255</v>
      </c>
      <c r="H11" s="107" t="s">
        <v>1565</v>
      </c>
      <c r="I11" s="68">
        <v>2.1</v>
      </c>
      <c r="J11" s="60" t="s">
        <v>254</v>
      </c>
      <c r="K11" s="61"/>
      <c r="L11" s="61"/>
      <c r="M11" s="123"/>
      <c r="N11" s="243"/>
      <c r="O11" s="111" cm="1">
        <f t="array" ref="O11">IF(T11=TRUE,_xlfn.IFS(M11=1,2,M11="",IF(N11="",1,2)),0)</f>
        <v>0</v>
      </c>
      <c r="P11" s="69" t="s">
        <v>255</v>
      </c>
      <c r="Q11" s="69" t="s">
        <v>183</v>
      </c>
      <c r="R11" s="69" t="s">
        <v>183</v>
      </c>
      <c r="S11" s="69" t="s">
        <v>183</v>
      </c>
      <c r="T11" s="123" t="b">
        <f t="shared" si="0"/>
        <v>0</v>
      </c>
      <c r="U11" s="123" t="s">
        <v>2198</v>
      </c>
    </row>
    <row r="12" spans="1:21" ht="67.5">
      <c r="A12" s="52"/>
      <c r="B12" s="58"/>
      <c r="C12" s="242" t="s">
        <v>1566</v>
      </c>
      <c r="D12" s="71" t="s">
        <v>262</v>
      </c>
      <c r="E12" s="91" t="s">
        <v>2068</v>
      </c>
      <c r="F12" s="60" t="s">
        <v>255</v>
      </c>
      <c r="G12" s="60" t="s">
        <v>255</v>
      </c>
      <c r="H12" s="107" t="s">
        <v>1567</v>
      </c>
      <c r="I12" s="68">
        <v>2.2999999999999998</v>
      </c>
      <c r="J12" s="60" t="s">
        <v>356</v>
      </c>
      <c r="K12" s="61"/>
      <c r="L12" s="61"/>
      <c r="M12" s="123"/>
      <c r="N12" s="243"/>
      <c r="O12" s="111" cm="1">
        <f t="array" ref="O12">IF(T12=TRUE,_xlfn.IFS(M12=1,2,M12="",IF(N12="",1,2)),0)</f>
        <v>0</v>
      </c>
      <c r="P12" s="69" t="s">
        <v>255</v>
      </c>
      <c r="Q12" s="69" t="s">
        <v>183</v>
      </c>
      <c r="R12" s="69" t="s">
        <v>183</v>
      </c>
      <c r="S12" s="69" t="s">
        <v>183</v>
      </c>
      <c r="T12" s="123" t="b">
        <f t="shared" si="0"/>
        <v>0</v>
      </c>
      <c r="U12" s="123" t="s">
        <v>2198</v>
      </c>
    </row>
    <row r="13" spans="1:21" ht="22.5">
      <c r="A13" s="52"/>
      <c r="B13" s="58"/>
      <c r="C13" s="242" t="s">
        <v>1568</v>
      </c>
      <c r="D13" s="71" t="s">
        <v>265</v>
      </c>
      <c r="E13" s="66" t="s">
        <v>1569</v>
      </c>
      <c r="F13" s="60" t="s">
        <v>255</v>
      </c>
      <c r="G13" s="60" t="s">
        <v>255</v>
      </c>
      <c r="H13" s="107" t="s">
        <v>1570</v>
      </c>
      <c r="I13" s="68">
        <v>5.0999999999999996</v>
      </c>
      <c r="J13" s="60" t="s">
        <v>254</v>
      </c>
      <c r="K13" s="61"/>
      <c r="L13" s="61"/>
      <c r="M13" s="123"/>
      <c r="N13" s="243"/>
      <c r="O13" s="111" cm="1">
        <f t="array" ref="O13">IF(T13=TRUE,_xlfn.IFS(M13=1,2,M13="",IF(N13="",1,2)),0)</f>
        <v>0</v>
      </c>
      <c r="P13" s="69" t="s">
        <v>255</v>
      </c>
      <c r="Q13" s="69" t="s">
        <v>183</v>
      </c>
      <c r="R13" s="69" t="s">
        <v>183</v>
      </c>
      <c r="S13" s="69" t="s">
        <v>183</v>
      </c>
      <c r="T13" s="123" t="b">
        <f t="shared" si="0"/>
        <v>0</v>
      </c>
      <c r="U13" s="123"/>
    </row>
    <row r="14" spans="1:21" ht="22.5">
      <c r="A14" s="52"/>
      <c r="B14" s="58"/>
      <c r="C14" s="242" t="s">
        <v>1571</v>
      </c>
      <c r="D14" s="242" t="s">
        <v>950</v>
      </c>
      <c r="E14" s="71" t="s">
        <v>1572</v>
      </c>
      <c r="F14" s="67" t="s">
        <v>255</v>
      </c>
      <c r="G14" s="60" t="s">
        <v>255</v>
      </c>
      <c r="H14" s="107" t="s">
        <v>1573</v>
      </c>
      <c r="I14" s="68">
        <v>5.2</v>
      </c>
      <c r="J14" s="60" t="s">
        <v>254</v>
      </c>
      <c r="K14" s="61"/>
      <c r="L14" s="61"/>
      <c r="M14" s="123"/>
      <c r="N14" s="243"/>
      <c r="O14" s="111" cm="1">
        <f t="array" ref="O14">IF(T14=TRUE,_xlfn.IFS(M14=1,2,M14="",IF(N14="",1,2)),0)</f>
        <v>0</v>
      </c>
      <c r="P14" s="69" t="s">
        <v>255</v>
      </c>
      <c r="Q14" s="69" t="s">
        <v>183</v>
      </c>
      <c r="R14" s="69" t="s">
        <v>183</v>
      </c>
      <c r="S14" s="69" t="s">
        <v>183</v>
      </c>
      <c r="T14" s="123" t="b">
        <f t="shared" si="0"/>
        <v>0</v>
      </c>
      <c r="U14" s="123"/>
    </row>
    <row r="15" spans="1:21" ht="22.5">
      <c r="A15" s="52"/>
      <c r="B15" s="58"/>
      <c r="C15" s="242" t="s">
        <v>1574</v>
      </c>
      <c r="D15" s="71" t="s">
        <v>1575</v>
      </c>
      <c r="E15" s="70" t="s">
        <v>1576</v>
      </c>
      <c r="F15" s="60" t="s">
        <v>255</v>
      </c>
      <c r="G15" s="60" t="s">
        <v>255</v>
      </c>
      <c r="H15" s="107" t="s">
        <v>1577</v>
      </c>
      <c r="I15" s="68" t="s">
        <v>1578</v>
      </c>
      <c r="J15" s="60" t="s">
        <v>356</v>
      </c>
      <c r="K15" s="61"/>
      <c r="L15" s="61"/>
      <c r="M15" s="123"/>
      <c r="N15" s="243"/>
      <c r="O15" s="111" cm="1">
        <f t="array" ref="O15">IF(T15=TRUE,_xlfn.IFS(M15=1,2,M15="",IF(N15="",1,2)),0)</f>
        <v>0</v>
      </c>
      <c r="P15" s="69" t="s">
        <v>255</v>
      </c>
      <c r="Q15" s="69" t="s">
        <v>183</v>
      </c>
      <c r="R15" s="69" t="s">
        <v>183</v>
      </c>
      <c r="S15" s="69" t="s">
        <v>183</v>
      </c>
      <c r="T15" s="123" t="b">
        <f t="shared" si="0"/>
        <v>0</v>
      </c>
      <c r="U15" s="123"/>
    </row>
    <row r="16" spans="1:21" ht="45">
      <c r="A16" s="52"/>
      <c r="B16" s="58"/>
      <c r="C16" s="242" t="s">
        <v>1579</v>
      </c>
      <c r="D16" s="71" t="s">
        <v>1580</v>
      </c>
      <c r="E16" s="66" t="s">
        <v>1581</v>
      </c>
      <c r="F16" s="60" t="s">
        <v>255</v>
      </c>
      <c r="G16" s="60" t="s">
        <v>255</v>
      </c>
      <c r="H16" s="91" t="s">
        <v>2069</v>
      </c>
      <c r="I16" s="68">
        <v>6.1</v>
      </c>
      <c r="J16" s="60" t="s">
        <v>254</v>
      </c>
      <c r="K16" s="61"/>
      <c r="L16" s="61"/>
      <c r="M16" s="123"/>
      <c r="N16" s="243"/>
      <c r="O16" s="111" cm="1">
        <f t="array" ref="O16">IF(T16=TRUE,_xlfn.IFS(M16=1,2,M16="",IF(N16="",1,2)),0)</f>
        <v>0</v>
      </c>
      <c r="P16" s="69" t="s">
        <v>255</v>
      </c>
      <c r="Q16" s="69" t="s">
        <v>183</v>
      </c>
      <c r="R16" s="69" t="s">
        <v>183</v>
      </c>
      <c r="S16" s="69" t="s">
        <v>183</v>
      </c>
      <c r="T16" s="123" t="b">
        <f t="shared" si="0"/>
        <v>0</v>
      </c>
      <c r="U16" s="123" t="s">
        <v>2198</v>
      </c>
    </row>
    <row r="17" spans="1:21" ht="22.5">
      <c r="A17" s="52"/>
      <c r="B17" s="58"/>
      <c r="C17" s="242" t="s">
        <v>1582</v>
      </c>
      <c r="D17" s="242" t="s">
        <v>1583</v>
      </c>
      <c r="E17" s="66" t="s">
        <v>1584</v>
      </c>
      <c r="F17" s="67" t="s">
        <v>255</v>
      </c>
      <c r="G17" s="60" t="s">
        <v>255</v>
      </c>
      <c r="H17" s="107" t="s">
        <v>1585</v>
      </c>
      <c r="I17" s="68">
        <v>8.1</v>
      </c>
      <c r="J17" s="60" t="s">
        <v>356</v>
      </c>
      <c r="K17" s="61"/>
      <c r="L17" s="61"/>
      <c r="M17" s="123"/>
      <c r="N17" s="243"/>
      <c r="O17" s="111" cm="1">
        <f t="array" ref="O17">IF(T17=TRUE,_xlfn.IFS(M17=1,2,M17="",IF(N17="",1,2)),0)</f>
        <v>0</v>
      </c>
      <c r="P17" s="69" t="s">
        <v>255</v>
      </c>
      <c r="Q17" s="69" t="s">
        <v>183</v>
      </c>
      <c r="R17" s="69" t="s">
        <v>183</v>
      </c>
      <c r="S17" s="69" t="s">
        <v>183</v>
      </c>
      <c r="T17" s="123" t="b">
        <f t="shared" si="0"/>
        <v>0</v>
      </c>
      <c r="U17" s="123"/>
    </row>
    <row r="18" spans="1:21" ht="22.5">
      <c r="A18" s="52"/>
      <c r="B18" s="58"/>
      <c r="C18" s="242" t="s">
        <v>1586</v>
      </c>
      <c r="D18" s="242" t="s">
        <v>1587</v>
      </c>
      <c r="E18" s="70"/>
      <c r="F18" s="67" t="s">
        <v>255</v>
      </c>
      <c r="G18" s="60" t="s">
        <v>255</v>
      </c>
      <c r="H18" s="107" t="s">
        <v>1588</v>
      </c>
      <c r="I18" s="68">
        <v>8.1999999999999993</v>
      </c>
      <c r="J18" s="60" t="s">
        <v>356</v>
      </c>
      <c r="K18" s="61"/>
      <c r="L18" s="61"/>
      <c r="M18" s="123"/>
      <c r="N18" s="243"/>
      <c r="O18" s="111" cm="1">
        <f t="array" ref="O18">IF(T18=TRUE,_xlfn.IFS(M18=1,2,M18="",IF(N18="",1,2)),0)</f>
        <v>0</v>
      </c>
      <c r="P18" s="69" t="s">
        <v>255</v>
      </c>
      <c r="Q18" s="69" t="s">
        <v>183</v>
      </c>
      <c r="R18" s="69" t="s">
        <v>183</v>
      </c>
      <c r="S18" s="69" t="s">
        <v>183</v>
      </c>
      <c r="T18" s="123" t="b">
        <f t="shared" si="0"/>
        <v>0</v>
      </c>
      <c r="U18" s="123"/>
    </row>
    <row r="19" spans="1:21" ht="22.5">
      <c r="A19" s="52"/>
      <c r="B19" s="58"/>
      <c r="C19" s="242" t="s">
        <v>1589</v>
      </c>
      <c r="D19" s="71" t="s">
        <v>1590</v>
      </c>
      <c r="E19" s="70" t="s">
        <v>1591</v>
      </c>
      <c r="F19" s="60" t="s">
        <v>255</v>
      </c>
      <c r="G19" s="60" t="s">
        <v>255</v>
      </c>
      <c r="H19" s="107" t="s">
        <v>1592</v>
      </c>
      <c r="I19" s="68" t="s">
        <v>1593</v>
      </c>
      <c r="J19" s="60" t="s">
        <v>254</v>
      </c>
      <c r="K19" s="61"/>
      <c r="L19" s="61"/>
      <c r="M19" s="123"/>
      <c r="N19" s="243"/>
      <c r="O19" s="111" cm="1">
        <f t="array" ref="O19">IF(T19=TRUE,_xlfn.IFS(M19=1,2,M19="",IF(N19="",1,2)),0)</f>
        <v>0</v>
      </c>
      <c r="P19" s="69" t="s">
        <v>255</v>
      </c>
      <c r="Q19" s="69" t="s">
        <v>183</v>
      </c>
      <c r="R19" s="69" t="s">
        <v>183</v>
      </c>
      <c r="S19" s="69" t="s">
        <v>183</v>
      </c>
      <c r="T19" s="123" t="b">
        <f t="shared" si="0"/>
        <v>0</v>
      </c>
      <c r="U19" s="123"/>
    </row>
    <row r="20" spans="1:21" ht="202.5">
      <c r="A20" s="52"/>
      <c r="B20" s="58"/>
      <c r="C20" s="242" t="s">
        <v>1594</v>
      </c>
      <c r="D20" s="71" t="s">
        <v>1595</v>
      </c>
      <c r="E20" s="71" t="s">
        <v>1596</v>
      </c>
      <c r="F20" s="60" t="s">
        <v>255</v>
      </c>
      <c r="G20" s="60" t="s">
        <v>255</v>
      </c>
      <c r="H20" s="107" t="s">
        <v>1597</v>
      </c>
      <c r="I20" s="68"/>
      <c r="J20" s="60" t="s">
        <v>254</v>
      </c>
      <c r="K20" s="61"/>
      <c r="L20" s="61"/>
      <c r="M20" s="123"/>
      <c r="N20" s="243"/>
      <c r="O20" s="111" cm="1">
        <f t="array" ref="O20">IF(T20=TRUE,_xlfn.IFS(M20=1,2,M20="",IF(N20="",1,2)),0)</f>
        <v>0</v>
      </c>
      <c r="P20" s="69" t="s">
        <v>255</v>
      </c>
      <c r="Q20" s="69" t="s">
        <v>183</v>
      </c>
      <c r="R20" s="69" t="s">
        <v>183</v>
      </c>
      <c r="S20" s="69" t="s">
        <v>183</v>
      </c>
      <c r="T20" s="123" t="b">
        <f t="shared" si="0"/>
        <v>0</v>
      </c>
      <c r="U20" s="261" t="s">
        <v>575</v>
      </c>
    </row>
    <row r="21" spans="1:21" ht="22.5">
      <c r="A21" s="52"/>
      <c r="B21" s="58" t="s">
        <v>1598</v>
      </c>
      <c r="C21" s="84"/>
      <c r="D21" s="84"/>
      <c r="E21" s="84"/>
      <c r="F21" s="59"/>
      <c r="G21" s="59"/>
      <c r="H21" s="84"/>
      <c r="I21" s="65"/>
      <c r="J21" s="59"/>
      <c r="K21" s="59"/>
      <c r="L21" s="59"/>
      <c r="M21" s="125"/>
      <c r="N21" s="244"/>
      <c r="O21" s="244"/>
      <c r="P21" s="59"/>
      <c r="Q21" s="59"/>
      <c r="R21" s="59"/>
      <c r="S21" s="59"/>
      <c r="T21" s="59" t="s">
        <v>728</v>
      </c>
      <c r="U21" s="59"/>
    </row>
    <row r="22" spans="1:21" ht="67.5">
      <c r="A22" s="52"/>
      <c r="B22" s="58"/>
      <c r="C22" s="242" t="s">
        <v>1599</v>
      </c>
      <c r="D22" s="242" t="s">
        <v>490</v>
      </c>
      <c r="E22" s="316" t="s">
        <v>2070</v>
      </c>
      <c r="F22" s="67" t="s">
        <v>255</v>
      </c>
      <c r="G22" s="60" t="s">
        <v>255</v>
      </c>
      <c r="H22" s="107" t="s">
        <v>1600</v>
      </c>
      <c r="I22" s="68" t="s">
        <v>1601</v>
      </c>
      <c r="J22" s="60" t="s">
        <v>356</v>
      </c>
      <c r="K22" s="61"/>
      <c r="L22" s="61"/>
      <c r="M22" s="123"/>
      <c r="N22" s="243"/>
      <c r="O22" s="111" cm="1">
        <f t="array" ref="O22">IF(T22=TRUE,_xlfn.IFS(M22=1,2,M22="",IF(N22="",1,2)),0)</f>
        <v>0</v>
      </c>
      <c r="P22" s="69" t="s">
        <v>255</v>
      </c>
      <c r="Q22" s="69" t="s">
        <v>183</v>
      </c>
      <c r="R22" s="69" t="s">
        <v>183</v>
      </c>
      <c r="S22" s="69" t="s">
        <v>183</v>
      </c>
      <c r="T22" s="123" t="b">
        <f t="shared" ref="T22:T28" si="1">AND(OR(AND($P$4=TRUE,$P22&lt;&gt;""),AND($Q$4=TRUE,$Q22&lt;&gt;""),AND($R$4=TRUE,$R22&lt;&gt;"")),AND($S$4=TRUE,$S22&lt;&gt;""))</f>
        <v>0</v>
      </c>
      <c r="U22" s="123" t="s">
        <v>2198</v>
      </c>
    </row>
    <row r="23" spans="1:21" ht="45">
      <c r="A23" s="52"/>
      <c r="B23" s="58"/>
      <c r="C23" s="242" t="s">
        <v>1602</v>
      </c>
      <c r="D23" s="242" t="s">
        <v>494</v>
      </c>
      <c r="E23" s="72"/>
      <c r="F23" s="67" t="s">
        <v>255</v>
      </c>
      <c r="G23" s="60" t="s">
        <v>255</v>
      </c>
      <c r="H23" s="107" t="s">
        <v>1603</v>
      </c>
      <c r="I23" s="68" t="s">
        <v>1604</v>
      </c>
      <c r="J23" s="60" t="s">
        <v>356</v>
      </c>
      <c r="K23" s="61"/>
      <c r="L23" s="61"/>
      <c r="M23" s="123"/>
      <c r="N23" s="243"/>
      <c r="O23" s="111" cm="1">
        <f t="array" ref="O23">IF(T23=TRUE,_xlfn.IFS(M23=1,2,M23="",IF(N23="",1,2)),0)</f>
        <v>0</v>
      </c>
      <c r="P23" s="69" t="s">
        <v>255</v>
      </c>
      <c r="Q23" s="69" t="s">
        <v>183</v>
      </c>
      <c r="R23" s="69" t="s">
        <v>183</v>
      </c>
      <c r="S23" s="69" t="s">
        <v>183</v>
      </c>
      <c r="T23" s="123" t="b">
        <f t="shared" si="1"/>
        <v>0</v>
      </c>
      <c r="U23" s="123" t="s">
        <v>2209</v>
      </c>
    </row>
    <row r="24" spans="1:21" ht="22.5">
      <c r="A24" s="52"/>
      <c r="B24" s="58"/>
      <c r="C24" s="242" t="s">
        <v>1605</v>
      </c>
      <c r="D24" s="242" t="s">
        <v>498</v>
      </c>
      <c r="E24" s="70"/>
      <c r="F24" s="67" t="s">
        <v>255</v>
      </c>
      <c r="G24" s="60" t="s">
        <v>255</v>
      </c>
      <c r="H24" s="107" t="s">
        <v>1606</v>
      </c>
      <c r="I24" s="68" t="s">
        <v>1607</v>
      </c>
      <c r="J24" s="60" t="s">
        <v>356</v>
      </c>
      <c r="K24" s="61"/>
      <c r="L24" s="61"/>
      <c r="M24" s="123"/>
      <c r="N24" s="243"/>
      <c r="O24" s="111" cm="1">
        <f t="array" ref="O24">IF(T24=TRUE,_xlfn.IFS(M24=1,2,M24="",IF(N24="",1,2)),0)</f>
        <v>0</v>
      </c>
      <c r="P24" s="69" t="s">
        <v>255</v>
      </c>
      <c r="Q24" s="69" t="s">
        <v>183</v>
      </c>
      <c r="R24" s="69" t="s">
        <v>183</v>
      </c>
      <c r="S24" s="69" t="s">
        <v>183</v>
      </c>
      <c r="T24" s="123" t="b">
        <f t="shared" si="1"/>
        <v>0</v>
      </c>
      <c r="U24" s="123" t="s">
        <v>2209</v>
      </c>
    </row>
    <row r="25" spans="1:21" ht="22.5">
      <c r="A25" s="52"/>
      <c r="B25" s="58"/>
      <c r="C25" s="242" t="s">
        <v>1608</v>
      </c>
      <c r="D25" s="71" t="s">
        <v>501</v>
      </c>
      <c r="E25" s="70" t="s">
        <v>1609</v>
      </c>
      <c r="F25" s="60" t="s">
        <v>255</v>
      </c>
      <c r="G25" s="60"/>
      <c r="H25" s="107" t="s">
        <v>1610</v>
      </c>
      <c r="I25" s="68">
        <v>3.6</v>
      </c>
      <c r="J25" s="60" t="s">
        <v>356</v>
      </c>
      <c r="K25" s="61"/>
      <c r="L25" s="61"/>
      <c r="M25" s="123"/>
      <c r="N25" s="243"/>
      <c r="O25" s="111" cm="1">
        <f t="array" ref="O25">IF(T25=TRUE,_xlfn.IFS(M25=1,2,M25="",IF(N25="",1,2)),0)</f>
        <v>0</v>
      </c>
      <c r="P25" s="69" t="s">
        <v>255</v>
      </c>
      <c r="Q25" s="69" t="s">
        <v>183</v>
      </c>
      <c r="R25" s="69" t="s">
        <v>183</v>
      </c>
      <c r="S25" s="69" t="s">
        <v>183</v>
      </c>
      <c r="T25" s="123" t="b">
        <f t="shared" si="1"/>
        <v>0</v>
      </c>
      <c r="U25" s="123"/>
    </row>
    <row r="26" spans="1:21" ht="22.5">
      <c r="A26" s="52"/>
      <c r="B26" s="58"/>
      <c r="C26" s="242" t="s">
        <v>1611</v>
      </c>
      <c r="D26" s="242" t="s">
        <v>506</v>
      </c>
      <c r="E26" s="66" t="s">
        <v>1612</v>
      </c>
      <c r="F26" s="67" t="s">
        <v>255</v>
      </c>
      <c r="G26" s="60" t="s">
        <v>255</v>
      </c>
      <c r="H26" s="107" t="s">
        <v>1613</v>
      </c>
      <c r="I26" s="68">
        <v>5.4</v>
      </c>
      <c r="J26" s="60" t="s">
        <v>254</v>
      </c>
      <c r="K26" s="61"/>
      <c r="L26" s="61"/>
      <c r="M26" s="123"/>
      <c r="N26" s="243"/>
      <c r="O26" s="111" cm="1">
        <f t="array" ref="O26">IF(T26=TRUE,_xlfn.IFS(M26=1,2,M26="",IF(N26="",1,2)),0)</f>
        <v>0</v>
      </c>
      <c r="P26" s="69" t="s">
        <v>255</v>
      </c>
      <c r="Q26" s="69" t="s">
        <v>183</v>
      </c>
      <c r="R26" s="69" t="s">
        <v>183</v>
      </c>
      <c r="S26" s="69" t="s">
        <v>183</v>
      </c>
      <c r="T26" s="123" t="b">
        <f t="shared" si="1"/>
        <v>0</v>
      </c>
      <c r="U26" s="123"/>
    </row>
    <row r="27" spans="1:21" ht="22.5">
      <c r="A27" s="52"/>
      <c r="B27" s="58"/>
      <c r="C27" s="242" t="s">
        <v>1614</v>
      </c>
      <c r="D27" s="242" t="s">
        <v>509</v>
      </c>
      <c r="E27" s="70"/>
      <c r="F27" s="67" t="s">
        <v>255</v>
      </c>
      <c r="G27" s="60" t="s">
        <v>255</v>
      </c>
      <c r="H27" s="107" t="s">
        <v>1615</v>
      </c>
      <c r="I27" s="68">
        <v>5.8</v>
      </c>
      <c r="J27" s="60" t="s">
        <v>356</v>
      </c>
      <c r="K27" s="61"/>
      <c r="L27" s="61"/>
      <c r="M27" s="123"/>
      <c r="N27" s="243"/>
      <c r="O27" s="111" cm="1">
        <f t="array" ref="O27">IF(T27=TRUE,_xlfn.IFS(M27=1,2,M27="",IF(N27="",1,2)),0)</f>
        <v>0</v>
      </c>
      <c r="P27" s="69" t="s">
        <v>255</v>
      </c>
      <c r="Q27" s="69" t="s">
        <v>183</v>
      </c>
      <c r="R27" s="69" t="s">
        <v>183</v>
      </c>
      <c r="S27" s="69" t="s">
        <v>183</v>
      </c>
      <c r="T27" s="123" t="b">
        <f t="shared" si="1"/>
        <v>0</v>
      </c>
      <c r="U27" s="123"/>
    </row>
    <row r="28" spans="1:21" ht="22.5">
      <c r="A28" s="52"/>
      <c r="B28" s="58"/>
      <c r="C28" s="242" t="s">
        <v>1616</v>
      </c>
      <c r="D28" s="71" t="s">
        <v>740</v>
      </c>
      <c r="E28" s="70" t="s">
        <v>1617</v>
      </c>
      <c r="F28" s="60" t="s">
        <v>255</v>
      </c>
      <c r="G28" s="60" t="s">
        <v>255</v>
      </c>
      <c r="H28" s="107" t="s">
        <v>1618</v>
      </c>
      <c r="I28" s="68">
        <v>5.6</v>
      </c>
      <c r="J28" s="60" t="s">
        <v>254</v>
      </c>
      <c r="K28" s="61"/>
      <c r="L28" s="61"/>
      <c r="M28" s="123"/>
      <c r="N28" s="243"/>
      <c r="O28" s="111" cm="1">
        <f t="array" ref="O28">IF(T28=TRUE,_xlfn.IFS(M28=1,2,M28="",IF(N28="",1,2)),0)</f>
        <v>0</v>
      </c>
      <c r="P28" s="69" t="s">
        <v>255</v>
      </c>
      <c r="Q28" s="69" t="s">
        <v>183</v>
      </c>
      <c r="R28" s="69" t="s">
        <v>183</v>
      </c>
      <c r="S28" s="69" t="s">
        <v>183</v>
      </c>
      <c r="T28" s="123" t="b">
        <f t="shared" si="1"/>
        <v>0</v>
      </c>
      <c r="U28" s="123"/>
    </row>
    <row r="29" spans="1:21" ht="22.5">
      <c r="A29" s="52"/>
      <c r="B29" s="58" t="s">
        <v>1619</v>
      </c>
      <c r="C29" s="84"/>
      <c r="D29" s="84"/>
      <c r="E29" s="84"/>
      <c r="F29" s="59"/>
      <c r="G29" s="59"/>
      <c r="H29" s="84"/>
      <c r="I29" s="65"/>
      <c r="J29" s="59"/>
      <c r="K29" s="59"/>
      <c r="L29" s="59"/>
      <c r="M29" s="125"/>
      <c r="N29" s="244"/>
      <c r="O29" s="244"/>
      <c r="P29" s="59"/>
      <c r="Q29" s="59"/>
      <c r="R29" s="59"/>
      <c r="S29" s="59"/>
      <c r="T29" s="59" t="s">
        <v>728</v>
      </c>
      <c r="U29" s="59"/>
    </row>
    <row r="30" spans="1:21" ht="22.5">
      <c r="A30" s="52"/>
      <c r="B30" s="58"/>
      <c r="C30" s="242" t="s">
        <v>1620</v>
      </c>
      <c r="D30" s="71" t="s">
        <v>553</v>
      </c>
      <c r="E30" s="71" t="s">
        <v>1621</v>
      </c>
      <c r="F30" s="60" t="s">
        <v>255</v>
      </c>
      <c r="G30" s="60" t="s">
        <v>255</v>
      </c>
      <c r="H30" s="107" t="s">
        <v>1622</v>
      </c>
      <c r="I30" s="68">
        <v>5.7</v>
      </c>
      <c r="J30" s="60" t="s">
        <v>356</v>
      </c>
      <c r="K30" s="61"/>
      <c r="L30" s="61"/>
      <c r="M30" s="123"/>
      <c r="N30" s="243"/>
      <c r="O30" s="111" cm="1">
        <f t="array" ref="O30">IF(T30=TRUE,_xlfn.IFS(M30=1,2,M30="",IF(N30="",1,2)),0)</f>
        <v>0</v>
      </c>
      <c r="P30" s="69" t="s">
        <v>255</v>
      </c>
      <c r="Q30" s="69" t="s">
        <v>183</v>
      </c>
      <c r="R30" s="69" t="s">
        <v>183</v>
      </c>
      <c r="S30" s="69" t="s">
        <v>183</v>
      </c>
      <c r="T30" s="123" t="b">
        <f t="shared" ref="T30:T47" si="2">AND(OR(AND($P$4=TRUE,$P30&lt;&gt;""),AND($Q$4=TRUE,$Q30&lt;&gt;""),AND($R$4=TRUE,$R30&lt;&gt;"")),AND($S$4=TRUE,$S30&lt;&gt;""))</f>
        <v>0</v>
      </c>
      <c r="U30" s="123"/>
    </row>
    <row r="31" spans="1:21" ht="67.5">
      <c r="A31" s="52"/>
      <c r="B31" s="58"/>
      <c r="C31" s="242" t="s">
        <v>1623</v>
      </c>
      <c r="D31" s="242" t="s">
        <v>556</v>
      </c>
      <c r="E31" s="316" t="s">
        <v>2071</v>
      </c>
      <c r="F31" s="67" t="s">
        <v>255</v>
      </c>
      <c r="G31" s="60"/>
      <c r="H31" s="107" t="s">
        <v>1624</v>
      </c>
      <c r="I31" s="68">
        <v>1.1000000000000001</v>
      </c>
      <c r="J31" s="60" t="s">
        <v>254</v>
      </c>
      <c r="K31" s="61"/>
      <c r="L31" s="61"/>
      <c r="M31" s="123"/>
      <c r="N31" s="243"/>
      <c r="O31" s="111" cm="1">
        <f t="array" ref="O31">IF(T31=TRUE,_xlfn.IFS(M31=1,2,M31="",IF(N31="",1,2)),0)</f>
        <v>0</v>
      </c>
      <c r="P31" s="69" t="s">
        <v>255</v>
      </c>
      <c r="Q31" s="69" t="s">
        <v>183</v>
      </c>
      <c r="R31" s="69" t="s">
        <v>183</v>
      </c>
      <c r="S31" s="69" t="s">
        <v>183</v>
      </c>
      <c r="T31" s="123" t="b">
        <f t="shared" si="2"/>
        <v>0</v>
      </c>
      <c r="U31" s="123" t="s">
        <v>2198</v>
      </c>
    </row>
    <row r="32" spans="1:21" ht="22.5">
      <c r="A32" s="52"/>
      <c r="B32" s="58"/>
      <c r="C32" s="242" t="s">
        <v>1625</v>
      </c>
      <c r="D32" s="242" t="s">
        <v>558</v>
      </c>
      <c r="E32" s="72"/>
      <c r="F32" s="67" t="s">
        <v>255</v>
      </c>
      <c r="G32" s="60" t="s">
        <v>255</v>
      </c>
      <c r="H32" s="107" t="s">
        <v>1626</v>
      </c>
      <c r="I32" s="68">
        <v>1.3</v>
      </c>
      <c r="J32" s="60" t="s">
        <v>356</v>
      </c>
      <c r="K32" s="61"/>
      <c r="L32" s="61"/>
      <c r="M32" s="123"/>
      <c r="N32" s="243"/>
      <c r="O32" s="111" cm="1">
        <f t="array" ref="O32">IF(T32=TRUE,_xlfn.IFS(M32=1,2,M32="",IF(N32="",1,2)),0)</f>
        <v>0</v>
      </c>
      <c r="P32" s="69" t="s">
        <v>255</v>
      </c>
      <c r="Q32" s="69" t="s">
        <v>183</v>
      </c>
      <c r="R32" s="69" t="s">
        <v>183</v>
      </c>
      <c r="S32" s="69" t="s">
        <v>183</v>
      </c>
      <c r="T32" s="123" t="b">
        <f t="shared" si="2"/>
        <v>0</v>
      </c>
      <c r="U32" s="123" t="s">
        <v>2209</v>
      </c>
    </row>
    <row r="33" spans="1:21" ht="45">
      <c r="A33" s="52"/>
      <c r="B33" s="58"/>
      <c r="C33" s="242" t="s">
        <v>1627</v>
      </c>
      <c r="D33" s="242" t="s">
        <v>980</v>
      </c>
      <c r="E33" s="70"/>
      <c r="F33" s="67" t="s">
        <v>255</v>
      </c>
      <c r="G33" s="60" t="s">
        <v>255</v>
      </c>
      <c r="H33" s="107" t="s">
        <v>1628</v>
      </c>
      <c r="I33" s="68">
        <v>1.1399999999999999</v>
      </c>
      <c r="J33" s="60" t="s">
        <v>356</v>
      </c>
      <c r="K33" s="61"/>
      <c r="L33" s="61"/>
      <c r="M33" s="123"/>
      <c r="N33" s="243"/>
      <c r="O33" s="111" cm="1">
        <f t="array" ref="O33">IF(T33=TRUE,_xlfn.IFS(M33=1,2,M33="",IF(N33="",1,2)),0)</f>
        <v>0</v>
      </c>
      <c r="P33" s="69" t="s">
        <v>255</v>
      </c>
      <c r="Q33" s="69" t="s">
        <v>183</v>
      </c>
      <c r="R33" s="69" t="s">
        <v>183</v>
      </c>
      <c r="S33" s="69" t="s">
        <v>183</v>
      </c>
      <c r="T33" s="123" t="b">
        <f t="shared" si="2"/>
        <v>0</v>
      </c>
      <c r="U33" s="123" t="s">
        <v>2209</v>
      </c>
    </row>
    <row r="34" spans="1:21" ht="67.5">
      <c r="A34" s="52"/>
      <c r="B34" s="58"/>
      <c r="C34" s="242" t="s">
        <v>1629</v>
      </c>
      <c r="D34" s="71" t="s">
        <v>1630</v>
      </c>
      <c r="E34" s="315" t="s">
        <v>2072</v>
      </c>
      <c r="F34" s="60" t="s">
        <v>255</v>
      </c>
      <c r="G34" s="60" t="s">
        <v>255</v>
      </c>
      <c r="H34" s="107" t="s">
        <v>1631</v>
      </c>
      <c r="I34" s="68">
        <v>1.4</v>
      </c>
      <c r="J34" s="60" t="s">
        <v>356</v>
      </c>
      <c r="K34" s="61"/>
      <c r="L34" s="61"/>
      <c r="M34" s="123"/>
      <c r="N34" s="243"/>
      <c r="O34" s="111" cm="1">
        <f t="array" ref="O34">IF(T34=TRUE,_xlfn.IFS(M34=1,2,M34="",IF(N34="",1,2)),0)</f>
        <v>0</v>
      </c>
      <c r="P34" s="69" t="s">
        <v>255</v>
      </c>
      <c r="Q34" s="69" t="s">
        <v>183</v>
      </c>
      <c r="R34" s="69" t="s">
        <v>183</v>
      </c>
      <c r="S34" s="69" t="s">
        <v>183</v>
      </c>
      <c r="T34" s="123" t="b">
        <f t="shared" si="2"/>
        <v>0</v>
      </c>
      <c r="U34" s="123" t="s">
        <v>2198</v>
      </c>
    </row>
    <row r="35" spans="1:21" ht="22.5">
      <c r="A35" s="52"/>
      <c r="B35" s="58"/>
      <c r="C35" s="242" t="s">
        <v>1632</v>
      </c>
      <c r="D35" s="71" t="s">
        <v>1633</v>
      </c>
      <c r="E35" s="71" t="s">
        <v>1634</v>
      </c>
      <c r="F35" s="60" t="s">
        <v>255</v>
      </c>
      <c r="G35" s="60" t="s">
        <v>255</v>
      </c>
      <c r="H35" s="107" t="s">
        <v>1635</v>
      </c>
      <c r="I35" s="68" t="s">
        <v>1636</v>
      </c>
      <c r="J35" s="60" t="s">
        <v>356</v>
      </c>
      <c r="K35" s="61"/>
      <c r="L35" s="61"/>
      <c r="M35" s="123"/>
      <c r="N35" s="243"/>
      <c r="O35" s="111" cm="1">
        <f t="array" ref="O35">IF(T35=TRUE,_xlfn.IFS(M35=1,2,M35="",IF(N35="",1,2)),0)</f>
        <v>0</v>
      </c>
      <c r="P35" s="69" t="s">
        <v>255</v>
      </c>
      <c r="Q35" s="69" t="s">
        <v>183</v>
      </c>
      <c r="R35" s="69" t="s">
        <v>183</v>
      </c>
      <c r="S35" s="69" t="s">
        <v>183</v>
      </c>
      <c r="T35" s="123" t="b">
        <f t="shared" si="2"/>
        <v>0</v>
      </c>
      <c r="U35" s="123"/>
    </row>
    <row r="36" spans="1:21" ht="22.5">
      <c r="A36" s="52"/>
      <c r="B36" s="58"/>
      <c r="C36" s="242" t="s">
        <v>1637</v>
      </c>
      <c r="D36" s="242" t="s">
        <v>1638</v>
      </c>
      <c r="E36" s="66" t="s">
        <v>1639</v>
      </c>
      <c r="F36" s="67" t="s">
        <v>255</v>
      </c>
      <c r="G36" s="60"/>
      <c r="H36" s="107" t="s">
        <v>1640</v>
      </c>
      <c r="I36" s="68">
        <v>1.9</v>
      </c>
      <c r="J36" s="60" t="s">
        <v>254</v>
      </c>
      <c r="K36" s="61"/>
      <c r="L36" s="61"/>
      <c r="M36" s="123"/>
      <c r="N36" s="243"/>
      <c r="O36" s="111" cm="1">
        <f t="array" ref="O36">IF(T36=TRUE,_xlfn.IFS(M36=1,2,M36="",IF(N36="",1,2)),0)</f>
        <v>0</v>
      </c>
      <c r="P36" s="69" t="s">
        <v>255</v>
      </c>
      <c r="Q36" s="69" t="s">
        <v>183</v>
      </c>
      <c r="R36" s="69" t="s">
        <v>183</v>
      </c>
      <c r="S36" s="69" t="s">
        <v>183</v>
      </c>
      <c r="T36" s="123" t="b">
        <f t="shared" si="2"/>
        <v>0</v>
      </c>
      <c r="U36" s="123"/>
    </row>
    <row r="37" spans="1:21" ht="22.5">
      <c r="A37" s="52"/>
      <c r="B37" s="58"/>
      <c r="C37" s="242" t="s">
        <v>1641</v>
      </c>
      <c r="D37" s="242" t="s">
        <v>1642</v>
      </c>
      <c r="E37" s="70"/>
      <c r="F37" s="67" t="s">
        <v>255</v>
      </c>
      <c r="G37" s="60"/>
      <c r="H37" s="107" t="s">
        <v>1643</v>
      </c>
      <c r="I37" s="68">
        <v>1.9</v>
      </c>
      <c r="J37" s="60" t="s">
        <v>254</v>
      </c>
      <c r="K37" s="61"/>
      <c r="L37" s="61"/>
      <c r="M37" s="123"/>
      <c r="N37" s="243"/>
      <c r="O37" s="111" cm="1">
        <f t="array" ref="O37">IF(T37=TRUE,_xlfn.IFS(M37=1,2,M37="",IF(N37="",1,2)),0)</f>
        <v>0</v>
      </c>
      <c r="P37" s="69" t="s">
        <v>255</v>
      </c>
      <c r="Q37" s="69" t="s">
        <v>183</v>
      </c>
      <c r="R37" s="69" t="s">
        <v>183</v>
      </c>
      <c r="S37" s="69" t="s">
        <v>183</v>
      </c>
      <c r="T37" s="123" t="b">
        <f t="shared" si="2"/>
        <v>0</v>
      </c>
      <c r="U37" s="123"/>
    </row>
    <row r="38" spans="1:21" ht="22.5">
      <c r="A38" s="52"/>
      <c r="B38" s="58"/>
      <c r="C38" s="242" t="s">
        <v>1644</v>
      </c>
      <c r="D38" s="242" t="s">
        <v>1645</v>
      </c>
      <c r="E38" s="66" t="s">
        <v>1646</v>
      </c>
      <c r="F38" s="67" t="s">
        <v>255</v>
      </c>
      <c r="G38" s="60" t="s">
        <v>255</v>
      </c>
      <c r="H38" s="107" t="s">
        <v>1647</v>
      </c>
      <c r="I38" s="68" t="s">
        <v>1648</v>
      </c>
      <c r="J38" s="60" t="s">
        <v>356</v>
      </c>
      <c r="K38" s="61"/>
      <c r="L38" s="61"/>
      <c r="M38" s="123"/>
      <c r="N38" s="243"/>
      <c r="O38" s="111" cm="1">
        <f t="array" ref="O38">IF(T38=TRUE,_xlfn.IFS(M38=1,2,M38="",IF(N38="",1,2)),0)</f>
        <v>0</v>
      </c>
      <c r="P38" s="69" t="s">
        <v>255</v>
      </c>
      <c r="Q38" s="69" t="s">
        <v>183</v>
      </c>
      <c r="R38" s="69" t="s">
        <v>183</v>
      </c>
      <c r="S38" s="69" t="s">
        <v>183</v>
      </c>
      <c r="T38" s="123" t="b">
        <f t="shared" si="2"/>
        <v>0</v>
      </c>
      <c r="U38" s="123"/>
    </row>
    <row r="39" spans="1:21" ht="22.5">
      <c r="A39" s="52"/>
      <c r="B39" s="58"/>
      <c r="C39" s="242" t="s">
        <v>1649</v>
      </c>
      <c r="D39" s="242" t="s">
        <v>1650</v>
      </c>
      <c r="E39" s="70"/>
      <c r="F39" s="67" t="s">
        <v>255</v>
      </c>
      <c r="G39" s="60" t="s">
        <v>255</v>
      </c>
      <c r="H39" s="107" t="s">
        <v>1651</v>
      </c>
      <c r="I39" s="68" t="s">
        <v>1648</v>
      </c>
      <c r="J39" s="60" t="s">
        <v>356</v>
      </c>
      <c r="K39" s="61"/>
      <c r="L39" s="61"/>
      <c r="M39" s="123"/>
      <c r="N39" s="243"/>
      <c r="O39" s="111" cm="1">
        <f t="array" ref="O39">IF(T39=TRUE,_xlfn.IFS(M39=1,2,M39="",IF(N39="",1,2)),0)</f>
        <v>0</v>
      </c>
      <c r="P39" s="69" t="s">
        <v>255</v>
      </c>
      <c r="Q39" s="69" t="s">
        <v>183</v>
      </c>
      <c r="R39" s="69" t="s">
        <v>183</v>
      </c>
      <c r="S39" s="69" t="s">
        <v>183</v>
      </c>
      <c r="T39" s="123" t="b">
        <f t="shared" si="2"/>
        <v>0</v>
      </c>
      <c r="U39" s="123"/>
    </row>
    <row r="40" spans="1:21" ht="22.5">
      <c r="A40" s="52"/>
      <c r="B40" s="58"/>
      <c r="C40" s="242" t="s">
        <v>1652</v>
      </c>
      <c r="D40" s="242" t="s">
        <v>1653</v>
      </c>
      <c r="E40" s="66" t="s">
        <v>1654</v>
      </c>
      <c r="F40" s="67" t="s">
        <v>255</v>
      </c>
      <c r="G40" s="60"/>
      <c r="H40" s="107" t="s">
        <v>1655</v>
      </c>
      <c r="I40" s="68">
        <v>3.1</v>
      </c>
      <c r="J40" s="60" t="s">
        <v>254</v>
      </c>
      <c r="K40" s="61"/>
      <c r="L40" s="61"/>
      <c r="M40" s="123"/>
      <c r="N40" s="243"/>
      <c r="O40" s="111" cm="1">
        <f t="array" ref="O40">IF(T40=TRUE,_xlfn.IFS(M40=1,2,M40="",IF(N40="",1,2)),0)</f>
        <v>0</v>
      </c>
      <c r="P40" s="69" t="s">
        <v>255</v>
      </c>
      <c r="Q40" s="69" t="s">
        <v>183</v>
      </c>
      <c r="R40" s="69" t="s">
        <v>183</v>
      </c>
      <c r="S40" s="69" t="s">
        <v>183</v>
      </c>
      <c r="T40" s="123" t="b">
        <f t="shared" si="2"/>
        <v>0</v>
      </c>
      <c r="U40" s="123"/>
    </row>
    <row r="41" spans="1:21" ht="22.5">
      <c r="A41" s="52"/>
      <c r="B41" s="58"/>
      <c r="C41" s="242" t="s">
        <v>1656</v>
      </c>
      <c r="D41" s="242" t="s">
        <v>1657</v>
      </c>
      <c r="E41" s="72"/>
      <c r="F41" s="67" t="s">
        <v>255</v>
      </c>
      <c r="G41" s="60"/>
      <c r="H41" s="107" t="s">
        <v>1658</v>
      </c>
      <c r="I41" s="68">
        <v>3.2</v>
      </c>
      <c r="J41" s="60" t="s">
        <v>356</v>
      </c>
      <c r="K41" s="61"/>
      <c r="L41" s="61"/>
      <c r="M41" s="123"/>
      <c r="N41" s="243"/>
      <c r="O41" s="111" cm="1">
        <f t="array" ref="O41">IF(T41=TRUE,_xlfn.IFS(M41=1,2,M41="",IF(N41="",1,2)),0)</f>
        <v>0</v>
      </c>
      <c r="P41" s="69" t="s">
        <v>255</v>
      </c>
      <c r="Q41" s="69" t="s">
        <v>183</v>
      </c>
      <c r="R41" s="69" t="s">
        <v>183</v>
      </c>
      <c r="S41" s="69" t="s">
        <v>183</v>
      </c>
      <c r="T41" s="123" t="b">
        <f t="shared" si="2"/>
        <v>0</v>
      </c>
      <c r="U41" s="123"/>
    </row>
    <row r="42" spans="1:21" ht="22.5">
      <c r="A42" s="52"/>
      <c r="B42" s="58"/>
      <c r="C42" s="242" t="s">
        <v>1659</v>
      </c>
      <c r="D42" s="242" t="s">
        <v>1660</v>
      </c>
      <c r="E42" s="70"/>
      <c r="F42" s="67" t="s">
        <v>255</v>
      </c>
      <c r="G42" s="60"/>
      <c r="H42" s="107" t="s">
        <v>1661</v>
      </c>
      <c r="I42" s="68">
        <v>3.2</v>
      </c>
      <c r="J42" s="60" t="s">
        <v>356</v>
      </c>
      <c r="K42" s="61"/>
      <c r="L42" s="61"/>
      <c r="M42" s="123"/>
      <c r="N42" s="243"/>
      <c r="O42" s="111" cm="1">
        <f t="array" ref="O42">IF(T42=TRUE,_xlfn.IFS(M42=1,2,M42="",IF(N42="",1,2)),0)</f>
        <v>0</v>
      </c>
      <c r="P42" s="69" t="s">
        <v>255</v>
      </c>
      <c r="Q42" s="69" t="s">
        <v>183</v>
      </c>
      <c r="R42" s="69" t="s">
        <v>183</v>
      </c>
      <c r="S42" s="69" t="s">
        <v>183</v>
      </c>
      <c r="T42" s="123" t="b">
        <f t="shared" si="2"/>
        <v>0</v>
      </c>
      <c r="U42" s="123"/>
    </row>
    <row r="43" spans="1:21" ht="22.5">
      <c r="A43" s="52"/>
      <c r="B43" s="58"/>
      <c r="C43" s="242" t="s">
        <v>1662</v>
      </c>
      <c r="D43" s="71" t="s">
        <v>1663</v>
      </c>
      <c r="E43" s="70" t="s">
        <v>1664</v>
      </c>
      <c r="F43" s="60" t="s">
        <v>255</v>
      </c>
      <c r="G43" s="60"/>
      <c r="H43" s="107" t="s">
        <v>1665</v>
      </c>
      <c r="I43" s="68">
        <v>3.3</v>
      </c>
      <c r="J43" s="60" t="s">
        <v>356</v>
      </c>
      <c r="K43" s="61"/>
      <c r="L43" s="61"/>
      <c r="M43" s="123"/>
      <c r="N43" s="243"/>
      <c r="O43" s="111" cm="1">
        <f t="array" ref="O43">IF(T43=TRUE,_xlfn.IFS(M43=1,2,M43="",IF(N43="",1,2)),0)</f>
        <v>0</v>
      </c>
      <c r="P43" s="69" t="s">
        <v>255</v>
      </c>
      <c r="Q43" s="69" t="s">
        <v>183</v>
      </c>
      <c r="R43" s="69" t="s">
        <v>183</v>
      </c>
      <c r="S43" s="69" t="s">
        <v>183</v>
      </c>
      <c r="T43" s="123" t="b">
        <f t="shared" si="2"/>
        <v>0</v>
      </c>
      <c r="U43" s="123"/>
    </row>
    <row r="44" spans="1:21" ht="45">
      <c r="A44" s="52"/>
      <c r="B44" s="58"/>
      <c r="C44" s="242" t="s">
        <v>1666</v>
      </c>
      <c r="D44" s="71" t="s">
        <v>1667</v>
      </c>
      <c r="E44" s="71" t="s">
        <v>1668</v>
      </c>
      <c r="F44" s="60" t="s">
        <v>255</v>
      </c>
      <c r="G44" s="60" t="s">
        <v>255</v>
      </c>
      <c r="H44" s="107" t="s">
        <v>1669</v>
      </c>
      <c r="I44" s="68">
        <v>3.5</v>
      </c>
      <c r="J44" s="60" t="s">
        <v>254</v>
      </c>
      <c r="K44" s="61"/>
      <c r="L44" s="61"/>
      <c r="M44" s="123"/>
      <c r="N44" s="243"/>
      <c r="O44" s="111" cm="1">
        <f t="array" ref="O44">IF(T44=TRUE,_xlfn.IFS(M44=1,2,M44="",IF(N44="",1,2)),0)</f>
        <v>0</v>
      </c>
      <c r="P44" s="69" t="s">
        <v>255</v>
      </c>
      <c r="Q44" s="69" t="s">
        <v>183</v>
      </c>
      <c r="R44" s="69" t="s">
        <v>183</v>
      </c>
      <c r="S44" s="69" t="s">
        <v>183</v>
      </c>
      <c r="T44" s="123" t="b">
        <f t="shared" si="2"/>
        <v>0</v>
      </c>
      <c r="U44" s="123"/>
    </row>
    <row r="45" spans="1:21" ht="44.5" customHeight="1">
      <c r="A45" s="52"/>
      <c r="B45" s="58"/>
      <c r="C45" s="242" t="s">
        <v>1670</v>
      </c>
      <c r="D45" s="71" t="s">
        <v>1671</v>
      </c>
      <c r="E45" s="107" t="s">
        <v>1672</v>
      </c>
      <c r="F45" s="60" t="s">
        <v>255</v>
      </c>
      <c r="G45" s="60" t="s">
        <v>255</v>
      </c>
      <c r="H45" s="107" t="s">
        <v>1673</v>
      </c>
      <c r="I45" s="68">
        <v>3.7</v>
      </c>
      <c r="J45" s="60" t="s">
        <v>356</v>
      </c>
      <c r="K45" s="61"/>
      <c r="L45" s="61"/>
      <c r="M45" s="123"/>
      <c r="N45" s="243"/>
      <c r="O45" s="111" cm="1">
        <f t="array" ref="O45">IF(T45=TRUE,_xlfn.IFS(M45=1,2,M45="",IF(N45="",1,2)),0)</f>
        <v>0</v>
      </c>
      <c r="P45" s="69" t="s">
        <v>255</v>
      </c>
      <c r="Q45" s="69" t="s">
        <v>183</v>
      </c>
      <c r="R45" s="69" t="s">
        <v>183</v>
      </c>
      <c r="S45" s="69" t="s">
        <v>183</v>
      </c>
      <c r="T45" s="123" t="b">
        <f t="shared" si="2"/>
        <v>0</v>
      </c>
      <c r="U45" s="123"/>
    </row>
    <row r="46" spans="1:21" ht="67.5">
      <c r="A46" s="52"/>
      <c r="B46" s="58"/>
      <c r="C46" s="242" t="s">
        <v>1674</v>
      </c>
      <c r="D46" s="71" t="s">
        <v>2087</v>
      </c>
      <c r="E46" s="91" t="s">
        <v>2073</v>
      </c>
      <c r="F46" s="60" t="s">
        <v>255</v>
      </c>
      <c r="G46" s="60" t="s">
        <v>255</v>
      </c>
      <c r="H46" s="107" t="s">
        <v>1675</v>
      </c>
      <c r="I46" s="68">
        <v>3.8</v>
      </c>
      <c r="J46" s="60" t="s">
        <v>356</v>
      </c>
      <c r="K46" s="61"/>
      <c r="L46" s="61"/>
      <c r="M46" s="123"/>
      <c r="N46" s="243"/>
      <c r="O46" s="111" cm="1">
        <f t="array" ref="O46">IF(T46=TRUE,_xlfn.IFS(M46=1,2,M46="",IF(N46="",1,2)),0)</f>
        <v>0</v>
      </c>
      <c r="P46" s="69" t="s">
        <v>255</v>
      </c>
      <c r="Q46" s="69" t="s">
        <v>183</v>
      </c>
      <c r="R46" s="69" t="s">
        <v>183</v>
      </c>
      <c r="S46" s="69" t="s">
        <v>183</v>
      </c>
      <c r="T46" s="123" t="b">
        <f t="shared" si="2"/>
        <v>0</v>
      </c>
      <c r="U46" s="123" t="s">
        <v>2198</v>
      </c>
    </row>
    <row r="47" spans="1:21" ht="22.5">
      <c r="A47" s="52"/>
      <c r="B47" s="58"/>
      <c r="C47" s="242" t="s">
        <v>1676</v>
      </c>
      <c r="D47" s="71" t="s">
        <v>1677</v>
      </c>
      <c r="E47" s="71" t="s">
        <v>1678</v>
      </c>
      <c r="F47" s="60" t="s">
        <v>255</v>
      </c>
      <c r="G47" s="60" t="s">
        <v>255</v>
      </c>
      <c r="H47" s="107" t="s">
        <v>1679</v>
      </c>
      <c r="I47" s="68" t="s">
        <v>1680</v>
      </c>
      <c r="J47" s="60" t="s">
        <v>356</v>
      </c>
      <c r="K47" s="61"/>
      <c r="L47" s="61"/>
      <c r="M47" s="123"/>
      <c r="N47" s="243"/>
      <c r="O47" s="111" cm="1">
        <f t="array" ref="O47">IF(T47=TRUE,_xlfn.IFS(M47=1,2,M47="",IF(N47="",1,2)),0)</f>
        <v>0</v>
      </c>
      <c r="P47" s="69" t="s">
        <v>255</v>
      </c>
      <c r="Q47" s="69" t="s">
        <v>183</v>
      </c>
      <c r="R47" s="69" t="s">
        <v>183</v>
      </c>
      <c r="S47" s="69" t="s">
        <v>183</v>
      </c>
      <c r="T47" s="123" t="b">
        <f t="shared" si="2"/>
        <v>0</v>
      </c>
      <c r="U47" s="123"/>
    </row>
    <row r="48" spans="1:21" ht="22.5">
      <c r="A48" s="52"/>
      <c r="B48" s="58" t="s">
        <v>1681</v>
      </c>
      <c r="C48" s="84"/>
      <c r="D48" s="84"/>
      <c r="E48" s="84"/>
      <c r="F48" s="59"/>
      <c r="G48" s="59"/>
      <c r="H48" s="84"/>
      <c r="I48" s="65"/>
      <c r="J48" s="59"/>
      <c r="K48" s="59"/>
      <c r="L48" s="59"/>
      <c r="M48" s="125"/>
      <c r="N48" s="244"/>
      <c r="O48" s="244"/>
      <c r="P48" s="59"/>
      <c r="Q48" s="59"/>
      <c r="R48" s="59"/>
      <c r="S48" s="59"/>
      <c r="T48" s="59" t="s">
        <v>728</v>
      </c>
      <c r="U48" s="59"/>
    </row>
    <row r="49" spans="1:21" ht="45">
      <c r="A49" s="52"/>
      <c r="B49" s="58"/>
      <c r="C49" s="242" t="s">
        <v>1682</v>
      </c>
      <c r="D49" s="242" t="s">
        <v>1683</v>
      </c>
      <c r="E49" s="66" t="s">
        <v>1569</v>
      </c>
      <c r="F49" s="67" t="s">
        <v>255</v>
      </c>
      <c r="G49" s="60" t="s">
        <v>255</v>
      </c>
      <c r="H49" s="107" t="s">
        <v>1684</v>
      </c>
      <c r="I49" s="68">
        <v>5.5</v>
      </c>
      <c r="J49" s="60" t="s">
        <v>356</v>
      </c>
      <c r="K49" s="61"/>
      <c r="L49" s="61"/>
      <c r="M49" s="123"/>
      <c r="N49" s="243"/>
      <c r="O49" s="111" cm="1">
        <f t="array" ref="O49">IF(T49=TRUE,_xlfn.IFS(M49=1,2,M49="",IF(N49="",1,2)),0)</f>
        <v>0</v>
      </c>
      <c r="P49" s="69" t="s">
        <v>255</v>
      </c>
      <c r="Q49" s="69" t="s">
        <v>183</v>
      </c>
      <c r="R49" s="69" t="s">
        <v>183</v>
      </c>
      <c r="S49" s="69" t="s">
        <v>183</v>
      </c>
      <c r="T49" s="123" t="b">
        <f>AND(OR(AND($P$4=TRUE,$P49&lt;&gt;""),AND($Q$4=TRUE,$Q49&lt;&gt;""),AND($R$4=TRUE,$R49&lt;&gt;"")),AND($S$4=TRUE,$S49&lt;&gt;""))</f>
        <v>0</v>
      </c>
      <c r="U49" s="123"/>
    </row>
    <row r="50" spans="1:21" ht="45">
      <c r="A50" s="52"/>
      <c r="B50" s="58"/>
      <c r="C50" s="242" t="s">
        <v>1685</v>
      </c>
      <c r="D50" s="242" t="s">
        <v>683</v>
      </c>
      <c r="E50" s="70"/>
      <c r="F50" s="67" t="s">
        <v>255</v>
      </c>
      <c r="G50" s="60" t="s">
        <v>255</v>
      </c>
      <c r="H50" s="107" t="s">
        <v>1686</v>
      </c>
      <c r="I50" s="68"/>
      <c r="J50" s="60" t="s">
        <v>254</v>
      </c>
      <c r="K50" s="61"/>
      <c r="L50" s="61"/>
      <c r="M50" s="123"/>
      <c r="N50" s="243"/>
      <c r="O50" s="111" cm="1">
        <f t="array" ref="O50">IF(T50=TRUE,_xlfn.IFS(M50=1,2,M50="",IF(N50="",1,2)),0)</f>
        <v>0</v>
      </c>
      <c r="P50" s="69" t="s">
        <v>255</v>
      </c>
      <c r="Q50" s="69" t="s">
        <v>183</v>
      </c>
      <c r="R50" s="69" t="s">
        <v>183</v>
      </c>
      <c r="S50" s="69" t="s">
        <v>183</v>
      </c>
      <c r="T50" s="123" t="b">
        <f>AND(OR(AND($P$4=TRUE,$P50&lt;&gt;""),AND($Q$4=TRUE,$Q50&lt;&gt;""),AND($R$4=TRUE,$R50&lt;&gt;"")),AND($S$4=TRUE,$S50&lt;&gt;""))</f>
        <v>0</v>
      </c>
      <c r="U50" s="123"/>
    </row>
    <row r="51" spans="1:21" ht="22.5">
      <c r="A51" s="52"/>
      <c r="B51" s="58"/>
      <c r="C51" s="242" t="s">
        <v>1687</v>
      </c>
      <c r="D51" s="71" t="s">
        <v>686</v>
      </c>
      <c r="E51" s="70" t="s">
        <v>1688</v>
      </c>
      <c r="F51" s="60" t="s">
        <v>255</v>
      </c>
      <c r="G51" s="60" t="s">
        <v>255</v>
      </c>
      <c r="H51" s="107" t="s">
        <v>1689</v>
      </c>
      <c r="I51" s="68">
        <v>5.9</v>
      </c>
      <c r="J51" s="60" t="s">
        <v>356</v>
      </c>
      <c r="K51" s="61"/>
      <c r="L51" s="61"/>
      <c r="M51" s="123"/>
      <c r="N51" s="243"/>
      <c r="O51" s="111" cm="1">
        <f t="array" ref="O51">IF(T51=TRUE,_xlfn.IFS(M51=1,2,M51="",IF(N51="",1,2)),0)</f>
        <v>0</v>
      </c>
      <c r="P51" s="69" t="s">
        <v>255</v>
      </c>
      <c r="Q51" s="69" t="s">
        <v>183</v>
      </c>
      <c r="R51" s="69" t="s">
        <v>183</v>
      </c>
      <c r="S51" s="69" t="s">
        <v>183</v>
      </c>
      <c r="T51" s="123" t="b">
        <f>AND(OR(AND($P$4=TRUE,$P51&lt;&gt;""),AND($Q$4=TRUE,$Q51&lt;&gt;""),AND($R$4=TRUE,$R51&lt;&gt;"")),AND($S$4=TRUE,$S51&lt;&gt;""))</f>
        <v>0</v>
      </c>
      <c r="U51" s="123"/>
    </row>
    <row r="52" spans="1:21" ht="22.5">
      <c r="A52" s="52"/>
      <c r="B52" s="101" t="s">
        <v>2045</v>
      </c>
      <c r="C52" s="84"/>
      <c r="D52" s="84"/>
      <c r="E52" s="84"/>
      <c r="F52" s="59"/>
      <c r="G52" s="59"/>
      <c r="H52" s="84"/>
      <c r="I52" s="65"/>
      <c r="J52" s="59"/>
      <c r="K52" s="59"/>
      <c r="L52" s="59"/>
      <c r="M52" s="125"/>
      <c r="N52" s="244"/>
      <c r="O52" s="244"/>
      <c r="P52" s="59"/>
      <c r="Q52" s="59"/>
      <c r="R52" s="59"/>
      <c r="S52" s="59"/>
      <c r="T52" s="59" t="s">
        <v>728</v>
      </c>
      <c r="U52" s="59"/>
    </row>
    <row r="53" spans="1:21" ht="67.5">
      <c r="A53" s="52"/>
      <c r="B53" s="58"/>
      <c r="C53" s="242" t="s">
        <v>1690</v>
      </c>
      <c r="D53" s="71" t="s">
        <v>1691</v>
      </c>
      <c r="E53" s="91" t="s">
        <v>2071</v>
      </c>
      <c r="F53" s="60" t="s">
        <v>255</v>
      </c>
      <c r="G53" s="60" t="s">
        <v>255</v>
      </c>
      <c r="H53" s="107" t="s">
        <v>1692</v>
      </c>
      <c r="I53" s="68">
        <v>1.2</v>
      </c>
      <c r="J53" s="60" t="s">
        <v>254</v>
      </c>
      <c r="K53" s="61"/>
      <c r="L53" s="61"/>
      <c r="M53" s="123"/>
      <c r="N53" s="243"/>
      <c r="O53" s="111" cm="1">
        <f t="array" ref="O53">IF(T53=TRUE,_xlfn.IFS(M53=1,2,M53="",IF(N53="",1,2)),0)</f>
        <v>0</v>
      </c>
      <c r="P53" s="69" t="s">
        <v>255</v>
      </c>
      <c r="Q53" s="69" t="s">
        <v>183</v>
      </c>
      <c r="R53" s="69" t="s">
        <v>183</v>
      </c>
      <c r="S53" s="69" t="s">
        <v>183</v>
      </c>
      <c r="T53" s="123" t="b">
        <f t="shared" ref="T53:T63" si="3">AND(OR(AND($P$4=TRUE,$P53&lt;&gt;""),AND($Q$4=TRUE,$Q53&lt;&gt;""),AND($R$4=TRUE,$R53&lt;&gt;"")),AND($S$4=TRUE,$S53&lt;&gt;""))</f>
        <v>0</v>
      </c>
      <c r="U53" s="123" t="s">
        <v>2198</v>
      </c>
    </row>
    <row r="54" spans="1:21" ht="22.5">
      <c r="A54" s="52"/>
      <c r="B54" s="58"/>
      <c r="C54" s="242" t="s">
        <v>1693</v>
      </c>
      <c r="D54" s="71" t="s">
        <v>695</v>
      </c>
      <c r="E54" s="71" t="s">
        <v>1694</v>
      </c>
      <c r="F54" s="60" t="s">
        <v>255</v>
      </c>
      <c r="G54" s="60" t="s">
        <v>255</v>
      </c>
      <c r="H54" s="107" t="s">
        <v>1695</v>
      </c>
      <c r="I54" s="68">
        <v>2.2000000000000002</v>
      </c>
      <c r="J54" s="60" t="s">
        <v>254</v>
      </c>
      <c r="K54" s="61"/>
      <c r="L54" s="61"/>
      <c r="M54" s="123"/>
      <c r="N54" s="243"/>
      <c r="O54" s="111" cm="1">
        <f t="array" ref="O54">IF(T54=TRUE,_xlfn.IFS(M54=1,2,M54="",IF(N54="",1,2)),0)</f>
        <v>0</v>
      </c>
      <c r="P54" s="69" t="s">
        <v>255</v>
      </c>
      <c r="Q54" s="69" t="s">
        <v>183</v>
      </c>
      <c r="R54" s="69" t="s">
        <v>183</v>
      </c>
      <c r="S54" s="69" t="s">
        <v>183</v>
      </c>
      <c r="T54" s="123" t="b">
        <f t="shared" si="3"/>
        <v>0</v>
      </c>
      <c r="U54" s="123"/>
    </row>
    <row r="55" spans="1:21" ht="22.5">
      <c r="A55" s="52"/>
      <c r="B55" s="58"/>
      <c r="C55" s="242" t="s">
        <v>1696</v>
      </c>
      <c r="D55" s="71" t="s">
        <v>698</v>
      </c>
      <c r="E55" s="71" t="s">
        <v>1697</v>
      </c>
      <c r="F55" s="60" t="s">
        <v>255</v>
      </c>
      <c r="G55" s="60" t="s">
        <v>255</v>
      </c>
      <c r="H55" s="107" t="s">
        <v>1698</v>
      </c>
      <c r="I55" s="68">
        <v>3.4</v>
      </c>
      <c r="J55" s="60" t="s">
        <v>254</v>
      </c>
      <c r="K55" s="61"/>
      <c r="L55" s="61"/>
      <c r="M55" s="123"/>
      <c r="N55" s="243"/>
      <c r="O55" s="111" cm="1">
        <f t="array" ref="O55">IF(T55=TRUE,_xlfn.IFS(M55=1,2,M55="",IF(N55="",1,2)),0)</f>
        <v>0</v>
      </c>
      <c r="P55" s="69" t="s">
        <v>255</v>
      </c>
      <c r="Q55" s="69" t="s">
        <v>183</v>
      </c>
      <c r="R55" s="69" t="s">
        <v>183</v>
      </c>
      <c r="S55" s="69" t="s">
        <v>183</v>
      </c>
      <c r="T55" s="123" t="b">
        <f t="shared" si="3"/>
        <v>0</v>
      </c>
      <c r="U55" s="123"/>
    </row>
    <row r="56" spans="1:21" ht="22.5">
      <c r="A56" s="52"/>
      <c r="B56" s="58"/>
      <c r="C56" s="242" t="s">
        <v>1699</v>
      </c>
      <c r="D56" s="242" t="s">
        <v>701</v>
      </c>
      <c r="E56" s="66" t="s">
        <v>1700</v>
      </c>
      <c r="F56" s="67" t="s">
        <v>255</v>
      </c>
      <c r="G56" s="60" t="s">
        <v>255</v>
      </c>
      <c r="H56" s="107" t="s">
        <v>1701</v>
      </c>
      <c r="I56" s="68" t="s">
        <v>1702</v>
      </c>
      <c r="J56" s="60" t="s">
        <v>254</v>
      </c>
      <c r="K56" s="61"/>
      <c r="L56" s="61"/>
      <c r="M56" s="123"/>
      <c r="N56" s="243"/>
      <c r="O56" s="111" cm="1">
        <f t="array" ref="O56">IF(T56=TRUE,_xlfn.IFS(M56=1,2,M56="",IF(N56="",1,2)),0)</f>
        <v>0</v>
      </c>
      <c r="P56" s="69" t="s">
        <v>255</v>
      </c>
      <c r="Q56" s="69" t="s">
        <v>183</v>
      </c>
      <c r="R56" s="69" t="s">
        <v>183</v>
      </c>
      <c r="S56" s="69" t="s">
        <v>183</v>
      </c>
      <c r="T56" s="123" t="b">
        <f t="shared" si="3"/>
        <v>0</v>
      </c>
      <c r="U56" s="123"/>
    </row>
    <row r="57" spans="1:21" ht="22.5">
      <c r="A57" s="52"/>
      <c r="B57" s="58"/>
      <c r="C57" s="242" t="s">
        <v>1703</v>
      </c>
      <c r="D57" s="242" t="s">
        <v>703</v>
      </c>
      <c r="E57" s="72"/>
      <c r="F57" s="67" t="s">
        <v>255</v>
      </c>
      <c r="G57" s="60"/>
      <c r="H57" s="107" t="s">
        <v>1704</v>
      </c>
      <c r="I57" s="68" t="s">
        <v>1705</v>
      </c>
      <c r="J57" s="60" t="s">
        <v>356</v>
      </c>
      <c r="K57" s="61"/>
      <c r="L57" s="61"/>
      <c r="M57" s="123"/>
      <c r="N57" s="243"/>
      <c r="O57" s="111" cm="1">
        <f t="array" ref="O57">IF(T57=TRUE,_xlfn.IFS(M57=1,2,M57="",IF(N57="",1,2)),0)</f>
        <v>0</v>
      </c>
      <c r="P57" s="69" t="s">
        <v>255</v>
      </c>
      <c r="Q57" s="69" t="s">
        <v>183</v>
      </c>
      <c r="R57" s="69" t="s">
        <v>183</v>
      </c>
      <c r="S57" s="69" t="s">
        <v>183</v>
      </c>
      <c r="T57" s="123" t="b">
        <f t="shared" si="3"/>
        <v>0</v>
      </c>
      <c r="U57" s="123"/>
    </row>
    <row r="58" spans="1:21" ht="22.5">
      <c r="A58" s="52"/>
      <c r="B58" s="58"/>
      <c r="C58" s="242" t="s">
        <v>1706</v>
      </c>
      <c r="D58" s="242" t="s">
        <v>706</v>
      </c>
      <c r="E58" s="72"/>
      <c r="F58" s="67" t="s">
        <v>255</v>
      </c>
      <c r="G58" s="60" t="s">
        <v>255</v>
      </c>
      <c r="H58" s="107" t="s">
        <v>1707</v>
      </c>
      <c r="I58" s="68">
        <v>7.2</v>
      </c>
      <c r="J58" s="60" t="s">
        <v>356</v>
      </c>
      <c r="K58" s="61"/>
      <c r="L58" s="61"/>
      <c r="M58" s="123"/>
      <c r="N58" s="243"/>
      <c r="O58" s="111" cm="1">
        <f t="array" ref="O58">IF(T58=TRUE,_xlfn.IFS(M58=1,2,M58="",IF(N58="",1,2)),0)</f>
        <v>0</v>
      </c>
      <c r="P58" s="69" t="s">
        <v>255</v>
      </c>
      <c r="Q58" s="69" t="s">
        <v>183</v>
      </c>
      <c r="R58" s="69" t="s">
        <v>183</v>
      </c>
      <c r="S58" s="69" t="s">
        <v>183</v>
      </c>
      <c r="T58" s="123" t="b">
        <f t="shared" si="3"/>
        <v>0</v>
      </c>
      <c r="U58" s="123"/>
    </row>
    <row r="59" spans="1:21" ht="22.5">
      <c r="A59" s="52"/>
      <c r="B59" s="58"/>
      <c r="C59" s="242" t="s">
        <v>1708</v>
      </c>
      <c r="D59" s="242" t="s">
        <v>1709</v>
      </c>
      <c r="E59" s="72"/>
      <c r="F59" s="67" t="s">
        <v>255</v>
      </c>
      <c r="G59" s="60" t="s">
        <v>255</v>
      </c>
      <c r="H59" s="107" t="s">
        <v>1710</v>
      </c>
      <c r="I59" s="68">
        <v>7.3</v>
      </c>
      <c r="J59" s="60" t="s">
        <v>356</v>
      </c>
      <c r="K59" s="61"/>
      <c r="L59" s="61"/>
      <c r="M59" s="123"/>
      <c r="N59" s="243"/>
      <c r="O59" s="111" cm="1">
        <f t="array" ref="O59">IF(T59=TRUE,_xlfn.IFS(M59=1,2,M59="",IF(N59="",1,2)),0)</f>
        <v>0</v>
      </c>
      <c r="P59" s="69" t="s">
        <v>255</v>
      </c>
      <c r="Q59" s="69" t="s">
        <v>183</v>
      </c>
      <c r="R59" s="69" t="s">
        <v>183</v>
      </c>
      <c r="S59" s="69" t="s">
        <v>183</v>
      </c>
      <c r="T59" s="123" t="b">
        <f t="shared" si="3"/>
        <v>0</v>
      </c>
      <c r="U59" s="123"/>
    </row>
    <row r="60" spans="1:21" ht="22.5">
      <c r="A60" s="52"/>
      <c r="B60" s="58"/>
      <c r="C60" s="242" t="s">
        <v>1711</v>
      </c>
      <c r="D60" s="242" t="s">
        <v>1712</v>
      </c>
      <c r="E60" s="70"/>
      <c r="F60" s="67" t="s">
        <v>255</v>
      </c>
      <c r="G60" s="60" t="s">
        <v>255</v>
      </c>
      <c r="H60" s="107" t="s">
        <v>1713</v>
      </c>
      <c r="I60" s="68">
        <v>7.4</v>
      </c>
      <c r="J60" s="60" t="s">
        <v>356</v>
      </c>
      <c r="K60" s="61"/>
      <c r="L60" s="61"/>
      <c r="M60" s="123"/>
      <c r="N60" s="243"/>
      <c r="O60" s="111" cm="1">
        <f t="array" ref="O60">IF(T60=TRUE,_xlfn.IFS(M60=1,2,M60="",IF(N60="",1,2)),0)</f>
        <v>0</v>
      </c>
      <c r="P60" s="69" t="s">
        <v>255</v>
      </c>
      <c r="Q60" s="69" t="s">
        <v>183</v>
      </c>
      <c r="R60" s="69" t="s">
        <v>183</v>
      </c>
      <c r="S60" s="69" t="s">
        <v>183</v>
      </c>
      <c r="T60" s="123" t="b">
        <f t="shared" si="3"/>
        <v>0</v>
      </c>
      <c r="U60" s="123"/>
    </row>
    <row r="61" spans="1:21" ht="22.5">
      <c r="A61" s="52"/>
      <c r="B61" s="58"/>
      <c r="C61" s="242" t="s">
        <v>1714</v>
      </c>
      <c r="D61" s="71" t="s">
        <v>1715</v>
      </c>
      <c r="E61" s="70" t="s">
        <v>1716</v>
      </c>
      <c r="F61" s="60" t="s">
        <v>255</v>
      </c>
      <c r="G61" s="60" t="s">
        <v>255</v>
      </c>
      <c r="H61" s="107" t="s">
        <v>1717</v>
      </c>
      <c r="I61" s="68">
        <v>6.2</v>
      </c>
      <c r="J61" s="60" t="s">
        <v>356</v>
      </c>
      <c r="K61" s="61"/>
      <c r="L61" s="61"/>
      <c r="M61" s="123"/>
      <c r="N61" s="243"/>
      <c r="O61" s="111" cm="1">
        <f t="array" ref="O61">IF(T61=TRUE,_xlfn.IFS(M61=1,2,M61="",IF(N61="",1,2)),0)</f>
        <v>0</v>
      </c>
      <c r="P61" s="69" t="s">
        <v>255</v>
      </c>
      <c r="Q61" s="69" t="s">
        <v>183</v>
      </c>
      <c r="R61" s="69" t="s">
        <v>183</v>
      </c>
      <c r="S61" s="69" t="s">
        <v>183</v>
      </c>
      <c r="T61" s="123" t="b">
        <f t="shared" si="3"/>
        <v>0</v>
      </c>
      <c r="U61" s="123"/>
    </row>
    <row r="62" spans="1:21" ht="22.5">
      <c r="A62" s="52"/>
      <c r="B62" s="58"/>
      <c r="C62" s="242" t="s">
        <v>1718</v>
      </c>
      <c r="D62" s="242" t="s">
        <v>1719</v>
      </c>
      <c r="E62" s="66" t="s">
        <v>1720</v>
      </c>
      <c r="F62" s="67" t="s">
        <v>255</v>
      </c>
      <c r="G62" s="60"/>
      <c r="H62" s="107" t="s">
        <v>1721</v>
      </c>
      <c r="I62" s="68">
        <v>4.0999999999999996</v>
      </c>
      <c r="J62" s="60" t="s">
        <v>356</v>
      </c>
      <c r="K62" s="61"/>
      <c r="L62" s="61"/>
      <c r="M62" s="123"/>
      <c r="N62" s="243"/>
      <c r="O62" s="111" cm="1">
        <f t="array" ref="O62">IF(T62=TRUE,_xlfn.IFS(M62=1,2,M62="",IF(N62="",1,2)),0)</f>
        <v>0</v>
      </c>
      <c r="P62" s="69" t="s">
        <v>255</v>
      </c>
      <c r="Q62" s="69" t="s">
        <v>183</v>
      </c>
      <c r="R62" s="69" t="s">
        <v>183</v>
      </c>
      <c r="S62" s="69" t="s">
        <v>183</v>
      </c>
      <c r="T62" s="123" t="b">
        <f t="shared" si="3"/>
        <v>0</v>
      </c>
      <c r="U62" s="123"/>
    </row>
    <row r="63" spans="1:21" ht="22.5">
      <c r="A63" s="52"/>
      <c r="B63" s="58"/>
      <c r="C63" s="242" t="s">
        <v>1722</v>
      </c>
      <c r="D63" s="242" t="s">
        <v>1723</v>
      </c>
      <c r="E63" s="70"/>
      <c r="F63" s="67" t="s">
        <v>255</v>
      </c>
      <c r="G63" s="60" t="s">
        <v>255</v>
      </c>
      <c r="H63" s="107" t="s">
        <v>1724</v>
      </c>
      <c r="I63" s="68">
        <v>7.5</v>
      </c>
      <c r="J63" s="60" t="s">
        <v>356</v>
      </c>
      <c r="K63" s="61"/>
      <c r="L63" s="61"/>
      <c r="M63" s="123"/>
      <c r="N63" s="243"/>
      <c r="O63" s="111" cm="1">
        <f t="array" ref="O63">IF(T63=TRUE,_xlfn.IFS(M63=1,2,M63="",IF(N63="",1,2)),0)</f>
        <v>0</v>
      </c>
      <c r="P63" s="69" t="s">
        <v>255</v>
      </c>
      <c r="Q63" s="69" t="s">
        <v>183</v>
      </c>
      <c r="R63" s="69" t="s">
        <v>183</v>
      </c>
      <c r="S63" s="69" t="s">
        <v>183</v>
      </c>
      <c r="T63" s="123" t="b">
        <f t="shared" si="3"/>
        <v>0</v>
      </c>
      <c r="U63" s="123"/>
    </row>
    <row r="64" spans="1:21">
      <c r="K64" s="21">
        <f>COUNTA(K9:K63)</f>
        <v>0</v>
      </c>
      <c r="O64" s="24">
        <f>COUNTIF(O9:O63,2)</f>
        <v>0</v>
      </c>
      <c r="T64" s="24">
        <f>COUNTIF(T9:T63,TRUE)</f>
        <v>0</v>
      </c>
    </row>
    <row r="65" spans="11:11">
      <c r="K65" s="21">
        <f>COUNTIF(K9:K63,インデックス!CJ185)</f>
        <v>0</v>
      </c>
    </row>
  </sheetData>
  <autoFilter ref="A5:U63" xr:uid="{00000000-0009-0000-0000-00000F000000}"/>
  <mergeCells count="1">
    <mergeCell ref="M1:N2"/>
  </mergeCells>
  <phoneticPr fontId="7"/>
  <conditionalFormatting sqref="E21:M21 E29:M29 E22:L28 E48:M48 E30:L47 E52:M52 E49:L51 E53:L63 E9:L19">
    <cfRule type="expression" dxfId="22" priority="30">
      <formula>$T9=FALSE</formula>
    </cfRule>
  </conditionalFormatting>
  <conditionalFormatting sqref="E20:L20">
    <cfRule type="expression" dxfId="21" priority="25">
      <formula>$T20=FALSE</formula>
    </cfRule>
  </conditionalFormatting>
  <dataValidations count="1">
    <dataValidation type="list" allowBlank="1" showInputMessage="1" showErrorMessage="1" sqref="M6:M63" xr:uid="{00000000-0002-0000-0F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A2B5D631-EA5C-4F49-ACFF-AA73FC72D2C3}">
            <xm:f>AND($T9=TRUE,$K9=インデックス!$CJ$184,ISBLANK($L9))</xm:f>
            <x14:dxf>
              <fill>
                <patternFill>
                  <bgColor theme="5"/>
                </patternFill>
              </fill>
            </x14:dxf>
          </x14:cfRule>
          <xm:sqref>L21:M21 L29:M29 L22:L28 L48:M48 L30:L47 L52:M52 L49:L51 L53:L63 L9:L19</xm:sqref>
        </x14:conditionalFormatting>
        <x14:conditionalFormatting xmlns:xm="http://schemas.microsoft.com/office/excel/2006/main">
          <x14:cfRule type="expression" priority="28" id="{D5E12A97-988E-41E4-A893-2635FE568999}">
            <xm:f>AND($T9=TRUE,COUNTIF($K9,インデックス!$CJ$186),ISBLANK($L9))</xm:f>
            <x14:dxf>
              <fill>
                <patternFill>
                  <bgColor theme="5"/>
                </patternFill>
              </fill>
            </x14:dxf>
          </x14:cfRule>
          <xm:sqref>L9:L19 L21:L63</xm:sqref>
        </x14:conditionalFormatting>
        <x14:conditionalFormatting xmlns:xm="http://schemas.microsoft.com/office/excel/2006/main">
          <x14:cfRule type="expression" priority="24" id="{E2061972-7ACE-4E10-91E7-04879FAFAE63}">
            <xm:f>AND($T20=TRUE,$K20=インデックス!$CJ$184,ISBLANK($L20))</xm:f>
            <x14:dxf>
              <fill>
                <patternFill>
                  <bgColor theme="5"/>
                </patternFill>
              </fill>
            </x14:dxf>
          </x14:cfRule>
          <xm:sqref>L20</xm:sqref>
        </x14:conditionalFormatting>
        <x14:conditionalFormatting xmlns:xm="http://schemas.microsoft.com/office/excel/2006/main">
          <x14:cfRule type="expression" priority="23" id="{F89FA54D-82B6-4B33-B0F1-21836119C73B}">
            <xm:f>AND($T20=TRUE,COUNTIF($K20,インデックス!$CJ$186),ISBLANK($L20))</xm:f>
            <x14:dxf>
              <fill>
                <patternFill>
                  <bgColor theme="5"/>
                </patternFill>
              </fill>
            </x14:dxf>
          </x14:cfRule>
          <xm:sqref>L20</xm:sqref>
        </x14:conditionalFormatting>
        <x14:conditionalFormatting xmlns:xm="http://schemas.microsoft.com/office/excel/2006/main">
          <x14:cfRule type="expression" priority="29" id="{0ECCF06C-C26D-4BC4-BE10-1E6364E668F1}">
            <xm:f>AND($T9=TRUE,OR($K9=インデックス!$CJ$183,$K9=インデックス!$CJ$184,$K9=インデックス!$CJ$185,$K9=インデックス!$CJ$186),ISBLANK($M9))</xm:f>
            <x14:dxf>
              <fill>
                <patternFill>
                  <bgColor theme="5"/>
                </patternFill>
              </fill>
            </x14:dxf>
          </x14:cfRule>
          <xm:sqref>M9:M63</xm:sqref>
        </x14:conditionalFormatting>
        <x14:conditionalFormatting xmlns:xm="http://schemas.microsoft.com/office/excel/2006/main">
          <x14:cfRule type="expression" priority="26" id="{93F35CF9-5B33-4ADD-A0A6-5884DB39C682}">
            <xm:f>AND($T9=TRUE,OR($K9=インデックス!$CJ$184,$K9=インデックス!$CJ$185,$K9=インデックス!$CJ$186),ISBLANK($N9))</xm:f>
            <x14:dxf>
              <fill>
                <patternFill>
                  <bgColor theme="5"/>
                </patternFill>
              </fill>
            </x14:dxf>
          </x14:cfRule>
          <xm:sqref>N9:N63</xm:sqref>
        </x14:conditionalFormatting>
        <x14:conditionalFormatting xmlns:xm="http://schemas.microsoft.com/office/excel/2006/main">
          <x14:cfRule type="expression" priority="1" id="{69075A6D-8891-49BE-80BB-519DE9F13B96}">
            <xm:f>M$1=インデックス!$CJ$189</xm:f>
            <x14:dxf>
              <fill>
                <patternFill>
                  <bgColor theme="5"/>
                </patternFill>
              </fill>
            </x14:dxf>
          </x14:cfRule>
          <x14:cfRule type="expression" priority="2" id="{555789FF-44C3-451F-99A3-6DAF3F34EBC0}">
            <xm:f>M$1=インデックス!$CJ$188</xm:f>
            <x14:dxf>
              <fill>
                <patternFill>
                  <bgColor theme="9"/>
                </patternFill>
              </fill>
            </x14:dxf>
          </x14:cfRule>
          <x14:cfRule type="expression" priority="3" id="{DB01287D-A96D-4F7C-8738-9F46B4A08107}">
            <xm:f>M$1=インデックス!$CJ$187</xm:f>
            <x14:dxf>
              <fill>
                <patternFill>
                  <bgColor theme="4"/>
                </patternFill>
              </fill>
            </x14:dxf>
          </x14:cfRule>
          <xm:sqref>M1:N2</xm:sqref>
        </x14:conditionalFormatting>
        <x14:conditionalFormatting xmlns:xm="http://schemas.microsoft.com/office/excel/2006/main">
          <x14:cfRule type="expression" priority="1896" id="{55B068C9-4E7C-4573-8EAF-87178B4255B4}">
            <xm:f>AND($T9=TRUE,$K9=インデックス!$CJ$184,ISBLANK($M9),インデックス!$AL$40=TRUE)</xm:f>
            <x14:dxf>
              <fill>
                <patternFill>
                  <bgColor theme="5"/>
                </patternFill>
              </fill>
            </x14:dxf>
          </x14:cfRule>
          <xm:sqref>M9:M63</xm:sqref>
        </x14:conditionalFormatting>
        <x14:conditionalFormatting xmlns:xm="http://schemas.microsoft.com/office/excel/2006/main">
          <x14:cfRule type="expression" priority="1897" id="{BC2B139B-212E-4E77-A613-C64E27DB291F}">
            <xm:f>AND($T9=TRUE,$K9=インデックス!$CJ$184,ISBLANK($N9),インデックス!$AL$40=TRUE)</xm:f>
            <x14:dxf>
              <fill>
                <patternFill>
                  <bgColor theme="5"/>
                </patternFill>
              </fill>
            </x14:dxf>
          </x14:cfRule>
          <xm:sqref>N21:O21 N29:O29 N22:N28 N48:O48 N30:N47 N52:O52 N49:N51 N53:N63 N9:N20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インデックス!$CJ$183:$CJ$186</xm:f>
          </x14:formula1>
          <xm:sqref>K22:K28 K30:K47 K49:K51 K53:K63 K9:K20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1"/>
  <dimension ref="A1:AH79"/>
  <sheetViews>
    <sheetView showGridLines="0" zoomScale="70" zoomScaleNormal="70" workbookViewId="0">
      <pane ySplit="7" topLeftCell="A8" activePane="bottomLeft" state="frozen"/>
      <selection pane="bottomLeft"/>
    </sheetView>
  </sheetViews>
  <sheetFormatPr defaultRowHeight="18" outlineLevelCol="1"/>
  <cols>
    <col min="1" max="2" width="5.58203125" customWidth="1"/>
    <col min="3" max="3" width="9.08203125" bestFit="1" customWidth="1"/>
    <col min="5" max="5" width="100.58203125" style="22" customWidth="1"/>
    <col min="6" max="13" width="16.58203125" customWidth="1"/>
    <col min="14" max="14" width="15.58203125" customWidth="1"/>
    <col min="15" max="15" width="55.58203125" customWidth="1"/>
    <col min="16" max="16" width="18.58203125" customWidth="1"/>
    <col min="17" max="17" width="50.58203125" customWidth="1"/>
    <col min="18" max="18" width="17.58203125" hidden="1" customWidth="1" outlineLevel="1"/>
    <col min="19" max="32" width="15.58203125" hidden="1" customWidth="1" outlineLevel="1"/>
    <col min="33" max="33" width="18.75" customWidth="1" collapsed="1"/>
  </cols>
  <sheetData>
    <row r="1" spans="1:34" ht="33" customHeight="1">
      <c r="A1" s="43" t="s">
        <v>1725</v>
      </c>
      <c r="E1" s="50"/>
      <c r="M1" s="24"/>
      <c r="N1" s="24"/>
      <c r="O1" s="24"/>
      <c r="P1" s="387" t="str">
        <f>IF(COUNTIF(R10:R77,1)=0,インデックス!$CJ$187,インデックス!$CJ$189)</f>
        <v>全件評価完了</v>
      </c>
      <c r="Q1" s="387"/>
      <c r="R1" s="24"/>
      <c r="S1" s="24"/>
      <c r="T1" s="24"/>
      <c r="U1" s="24"/>
      <c r="V1" s="24"/>
      <c r="W1" s="24"/>
      <c r="X1" s="24"/>
      <c r="Y1" s="24"/>
      <c r="Z1" s="24"/>
      <c r="AA1" s="24"/>
      <c r="AB1" s="24"/>
      <c r="AC1" s="24"/>
      <c r="AD1" s="24"/>
      <c r="AE1" s="24"/>
      <c r="AF1" s="24"/>
      <c r="AG1" s="24"/>
      <c r="AH1" s="24"/>
    </row>
    <row r="2" spans="1:34" ht="25.5" customHeight="1">
      <c r="B2" s="265" t="s">
        <v>1726</v>
      </c>
      <c r="E2" s="50"/>
      <c r="M2" s="24"/>
      <c r="N2" s="24"/>
      <c r="O2" s="24"/>
      <c r="P2" s="387"/>
      <c r="Q2" s="387"/>
      <c r="R2" s="24"/>
      <c r="S2" s="24"/>
      <c r="T2" s="24"/>
      <c r="U2" s="24"/>
      <c r="V2" s="24"/>
      <c r="W2" s="24"/>
      <c r="X2" s="24"/>
      <c r="Y2" s="24"/>
      <c r="Z2" s="24"/>
      <c r="AA2" s="24"/>
      <c r="AB2" s="24"/>
      <c r="AC2" s="24"/>
      <c r="AD2" s="24"/>
      <c r="AE2" s="24"/>
      <c r="AF2" s="24"/>
      <c r="AG2" s="24"/>
      <c r="AH2" s="24"/>
    </row>
    <row r="3" spans="1:34" ht="26.5">
      <c r="B3" s="42" t="s">
        <v>1727</v>
      </c>
      <c r="E3" s="50"/>
      <c r="M3" s="24"/>
      <c r="N3" s="24"/>
      <c r="O3" s="24"/>
      <c r="P3" s="24"/>
      <c r="Q3" s="24"/>
      <c r="R3" s="24"/>
      <c r="S3" s="24"/>
      <c r="T3" s="24"/>
      <c r="U3" s="24"/>
      <c r="V3" s="24"/>
      <c r="W3" s="24"/>
      <c r="X3" s="24"/>
      <c r="Y3" s="24"/>
      <c r="Z3" s="24"/>
      <c r="AA3" s="24"/>
      <c r="AB3" s="24"/>
      <c r="AC3" s="24"/>
      <c r="AD3" s="24"/>
      <c r="AE3" s="24"/>
      <c r="AF3" s="24"/>
      <c r="AG3" s="24"/>
      <c r="AH3" s="24"/>
    </row>
    <row r="4" spans="1:34" ht="26.5">
      <c r="B4" s="265" t="s">
        <v>2235</v>
      </c>
      <c r="E4" s="50"/>
      <c r="M4" s="24"/>
      <c r="N4" s="24"/>
      <c r="O4" s="24"/>
      <c r="P4" s="24"/>
      <c r="Q4" s="24"/>
      <c r="R4" s="24"/>
      <c r="S4" s="24"/>
      <c r="T4" s="24"/>
      <c r="U4" s="24"/>
      <c r="V4" s="24"/>
      <c r="W4" s="24"/>
      <c r="X4" s="24"/>
      <c r="Y4" s="24"/>
      <c r="Z4" s="24"/>
      <c r="AA4" s="24"/>
      <c r="AB4" s="24"/>
      <c r="AC4" s="24"/>
      <c r="AD4" s="24"/>
      <c r="AE4" s="24"/>
      <c r="AF4" s="24"/>
      <c r="AG4" s="24"/>
      <c r="AH4" s="24"/>
    </row>
    <row r="5" spans="1:34">
      <c r="P5" s="163" t="s">
        <v>229</v>
      </c>
      <c r="Q5" s="161"/>
      <c r="R5" s="161"/>
      <c r="S5" s="25" t="b">
        <f>AND(インデックス!$AL$38,インデックス!$AL$63)</f>
        <v>0</v>
      </c>
      <c r="T5" s="25" t="b">
        <f>インデックス!$AL$39</f>
        <v>0</v>
      </c>
      <c r="U5" s="25" t="b">
        <f>OR(インデックス!$AL$37,インデックス!$AL$40)</f>
        <v>0</v>
      </c>
      <c r="V5" s="23" t="b">
        <f>インデックス!$AL$76</f>
        <v>0</v>
      </c>
      <c r="W5" s="51" t="b">
        <f>NOT(OR(インデックス!$AL$78,インデックス!$AL$79,インデックス!$AL$80,インデックス!$AL$81,インデックス!$AL$82,インデックス!$AL$83,インデックス!$AL$84,インデックス!$AL$85))</f>
        <v>1</v>
      </c>
      <c r="X5" s="51" t="b">
        <f>インデックス!$AL$78</f>
        <v>0</v>
      </c>
      <c r="Y5" s="51" t="b">
        <f>インデックス!$AL$79</f>
        <v>0</v>
      </c>
      <c r="Z5" s="51" t="b">
        <f>インデックス!$AL$80</f>
        <v>0</v>
      </c>
      <c r="AA5" s="51" t="b">
        <f>インデックス!$AL$81</f>
        <v>0</v>
      </c>
      <c r="AB5" s="51" t="b">
        <f>インデックス!$AL$82</f>
        <v>0</v>
      </c>
      <c r="AC5" s="51" t="b">
        <f>インデックス!$AL$83</f>
        <v>0</v>
      </c>
      <c r="AD5" s="51" t="b">
        <f>インデックス!$AL$84</f>
        <v>0</v>
      </c>
      <c r="AE5" s="51" t="b">
        <f>インデックス!$AL$85</f>
        <v>0</v>
      </c>
      <c r="AF5" s="160"/>
      <c r="AG5" s="160"/>
    </row>
    <row r="6" spans="1:34" ht="67.5">
      <c r="A6" s="169"/>
      <c r="B6" s="169"/>
      <c r="C6" s="293" t="s">
        <v>230</v>
      </c>
      <c r="D6" s="64" t="s">
        <v>155</v>
      </c>
      <c r="E6" s="297" t="s">
        <v>1728</v>
      </c>
      <c r="F6" s="73" t="s">
        <v>1729</v>
      </c>
      <c r="G6" s="64"/>
      <c r="H6" s="159"/>
      <c r="I6" s="296"/>
      <c r="J6" s="64"/>
      <c r="K6" s="64"/>
      <c r="L6" s="64"/>
      <c r="M6" s="64"/>
      <c r="N6" s="64" t="s">
        <v>233</v>
      </c>
      <c r="O6" s="291" t="s">
        <v>1985</v>
      </c>
      <c r="P6" s="159" t="s">
        <v>2001</v>
      </c>
      <c r="Q6" s="73" t="s">
        <v>237</v>
      </c>
      <c r="R6" s="290" t="s">
        <v>1988</v>
      </c>
      <c r="S6" s="64" t="s">
        <v>238</v>
      </c>
      <c r="T6" s="64" t="s">
        <v>239</v>
      </c>
      <c r="U6" s="159" t="s">
        <v>240</v>
      </c>
      <c r="V6" s="64" t="s">
        <v>139</v>
      </c>
      <c r="W6" s="64" t="s">
        <v>241</v>
      </c>
      <c r="X6" s="64" t="s">
        <v>1730</v>
      </c>
      <c r="Y6" s="64" t="s">
        <v>1731</v>
      </c>
      <c r="Z6" s="64" t="s">
        <v>1732</v>
      </c>
      <c r="AA6" s="64" t="s">
        <v>1733</v>
      </c>
      <c r="AB6" s="64" t="s">
        <v>1734</v>
      </c>
      <c r="AC6" s="64" t="s">
        <v>1735</v>
      </c>
      <c r="AD6" s="64" t="s">
        <v>1736</v>
      </c>
      <c r="AE6" s="64" t="s">
        <v>1737</v>
      </c>
      <c r="AF6" s="64" t="s">
        <v>243</v>
      </c>
      <c r="AG6" s="64" t="s">
        <v>249</v>
      </c>
    </row>
    <row r="7" spans="1:34" ht="22.5">
      <c r="A7" s="52"/>
      <c r="B7" s="52"/>
      <c r="C7" s="52"/>
      <c r="D7" s="52"/>
      <c r="E7" s="153"/>
      <c r="F7" s="54" t="s">
        <v>1730</v>
      </c>
      <c r="G7" s="54" t="s">
        <v>1731</v>
      </c>
      <c r="H7" s="53" t="s">
        <v>1732</v>
      </c>
      <c r="I7" s="55" t="s">
        <v>1733</v>
      </c>
      <c r="J7" s="54" t="s">
        <v>1734</v>
      </c>
      <c r="K7" s="54" t="s">
        <v>1735</v>
      </c>
      <c r="L7" s="54" t="s">
        <v>1736</v>
      </c>
      <c r="M7" s="54" t="s">
        <v>1737</v>
      </c>
      <c r="N7" s="53"/>
      <c r="O7" s="53"/>
      <c r="P7" s="64"/>
      <c r="Q7" s="54"/>
      <c r="R7" s="54"/>
      <c r="S7" s="54"/>
      <c r="T7" s="54"/>
      <c r="U7" s="54"/>
      <c r="V7" s="54"/>
      <c r="W7" s="54"/>
      <c r="X7" s="54"/>
      <c r="Y7" s="54"/>
      <c r="Z7" s="54"/>
      <c r="AA7" s="54"/>
      <c r="AB7" s="54"/>
      <c r="AC7" s="54"/>
      <c r="AD7" s="54"/>
      <c r="AE7" s="54"/>
      <c r="AF7" s="54"/>
      <c r="AG7" s="54"/>
    </row>
    <row r="8" spans="1:34" ht="22.5">
      <c r="A8" s="52" t="s">
        <v>1738</v>
      </c>
      <c r="B8" s="52"/>
      <c r="C8" s="52"/>
      <c r="D8" s="52"/>
      <c r="E8" s="77"/>
      <c r="F8" s="52"/>
      <c r="G8" s="52"/>
      <c r="H8" s="56"/>
      <c r="I8" s="57"/>
      <c r="J8" s="52"/>
      <c r="K8" s="52"/>
      <c r="L8" s="52"/>
      <c r="M8" s="52"/>
      <c r="N8" s="56"/>
      <c r="O8" s="56"/>
      <c r="P8" s="169"/>
      <c r="Q8" s="52"/>
      <c r="R8" s="52"/>
      <c r="S8" s="52"/>
      <c r="T8" s="52"/>
      <c r="U8" s="52"/>
      <c r="V8" s="52"/>
      <c r="W8" s="52"/>
      <c r="X8" s="52"/>
      <c r="Y8" s="52"/>
      <c r="Z8" s="52"/>
      <c r="AA8" s="52"/>
      <c r="AB8" s="52"/>
      <c r="AC8" s="52"/>
      <c r="AD8" s="52"/>
      <c r="AE8" s="52"/>
      <c r="AF8" s="52"/>
      <c r="AG8" s="52"/>
    </row>
    <row r="9" spans="1:34" ht="22.5">
      <c r="A9" s="52"/>
      <c r="B9" s="58" t="s">
        <v>1739</v>
      </c>
      <c r="C9" s="58"/>
      <c r="D9" s="58"/>
      <c r="E9" s="84"/>
      <c r="F9" s="58"/>
      <c r="G9" s="58"/>
      <c r="H9" s="58"/>
      <c r="I9" s="58"/>
      <c r="J9" s="58"/>
      <c r="K9" s="58"/>
      <c r="L9" s="58"/>
      <c r="M9" s="58"/>
      <c r="N9" s="59"/>
      <c r="O9" s="59"/>
      <c r="P9" s="122"/>
      <c r="Q9" s="58"/>
      <c r="R9" s="58"/>
      <c r="S9" s="58"/>
      <c r="T9" s="58"/>
      <c r="U9" s="58"/>
      <c r="V9" s="58"/>
      <c r="W9" s="58"/>
      <c r="X9" s="58"/>
      <c r="Y9" s="58"/>
      <c r="Z9" s="58"/>
      <c r="AA9" s="58"/>
      <c r="AB9" s="58"/>
      <c r="AC9" s="58"/>
      <c r="AD9" s="58"/>
      <c r="AE9" s="58"/>
      <c r="AF9" s="58"/>
      <c r="AG9" s="58"/>
    </row>
    <row r="10" spans="1:34" ht="45">
      <c r="A10" s="52"/>
      <c r="B10" s="58"/>
      <c r="C10" s="71" t="s">
        <v>1740</v>
      </c>
      <c r="D10" s="71" t="s">
        <v>252</v>
      </c>
      <c r="E10" s="107" t="s">
        <v>1741</v>
      </c>
      <c r="F10" s="60" t="s">
        <v>254</v>
      </c>
      <c r="G10" s="60" t="s">
        <v>254</v>
      </c>
      <c r="H10" s="60" t="s">
        <v>254</v>
      </c>
      <c r="I10" s="60" t="s">
        <v>254</v>
      </c>
      <c r="J10" s="60" t="s">
        <v>254</v>
      </c>
      <c r="K10" s="60" t="s">
        <v>254</v>
      </c>
      <c r="L10" s="60" t="s">
        <v>254</v>
      </c>
      <c r="M10" s="60" t="s">
        <v>254</v>
      </c>
      <c r="N10" s="61"/>
      <c r="O10" s="61"/>
      <c r="P10" s="123"/>
      <c r="Q10" s="243"/>
      <c r="R10" s="111" cm="1">
        <f t="array" ref="R10">IF(AF10=TRUE,_xlfn.IFS(P10=1,2,P10="",IF(Q10="",1,2)),0)</f>
        <v>0</v>
      </c>
      <c r="S10" s="62" t="s">
        <v>255</v>
      </c>
      <c r="T10" s="62" t="s">
        <v>183</v>
      </c>
      <c r="U10" s="62" t="s">
        <v>183</v>
      </c>
      <c r="V10" s="62" t="s">
        <v>183</v>
      </c>
      <c r="W10" s="62"/>
      <c r="X10" s="62" t="str">
        <f t="shared" ref="X10:AE10" si="0">IF(F10="Required","",IF(F10="Recommended","","〇"))</f>
        <v/>
      </c>
      <c r="Y10" s="62" t="str">
        <f t="shared" si="0"/>
        <v/>
      </c>
      <c r="Z10" s="62" t="str">
        <f t="shared" si="0"/>
        <v/>
      </c>
      <c r="AA10" s="62" t="str">
        <f t="shared" si="0"/>
        <v/>
      </c>
      <c r="AB10" s="62" t="str">
        <f t="shared" si="0"/>
        <v/>
      </c>
      <c r="AC10" s="62" t="str">
        <f t="shared" si="0"/>
        <v/>
      </c>
      <c r="AD10" s="62" t="str">
        <f t="shared" si="0"/>
        <v/>
      </c>
      <c r="AE10" s="62" t="str">
        <f t="shared" si="0"/>
        <v/>
      </c>
      <c r="AF10" s="60" t="b">
        <f>AND(OR(AND($S$5=TRUE,$S10&lt;&gt;""),AND($T$5=TRUE,$T10&lt;&gt;""),AND($U$5=TRUE,$U10&lt;&gt;"")),AND($V$5=TRUE,$V10&lt;&gt;""),OR(IF($W$5=TRUE,IF($W10&lt;&gt;"",FALSE,TRUE),FALSE),IF($X$5=TRUE,IF($X10&lt;&gt;"",FALSE,TRUE),FALSE),IF($Y$5=TRUE,IF($Y10&lt;&gt;"",FALSE,TRUE),FALSE),IF($Z$5=TRUE,IF($Z10&lt;&gt;"",FALSE,TRUE),FALSE),IF($AA$5=TRUE,IF($AA10&lt;&gt;"",FALSE,TRUE),FALSE),IF($AB$5=TRUE,IF($AB10&lt;&gt;"",FALSE,TRUE),FALSE),IF($AC$5=TRUE,IF($AC10&lt;&gt;"",FALSE,TRUE),FALSE),IF($AD$5=TRUE,IF($AD10&lt;&gt;"",FALSE,TRUE),FALSE),IF($AE$5=TRUE,IF($AE10&lt;&gt;"",FALSE,TRUE),FALSE)))</f>
        <v>0</v>
      </c>
      <c r="AG10" s="60"/>
    </row>
    <row r="11" spans="1:34" ht="22.5">
      <c r="A11" s="52"/>
      <c r="B11" s="58" t="s">
        <v>1742</v>
      </c>
      <c r="C11" s="115"/>
      <c r="D11" s="115"/>
      <c r="E11" s="84"/>
      <c r="F11" s="58"/>
      <c r="G11" s="58"/>
      <c r="H11" s="58"/>
      <c r="I11" s="58"/>
      <c r="J11" s="58"/>
      <c r="K11" s="58"/>
      <c r="L11" s="58"/>
      <c r="M11" s="58"/>
      <c r="N11" s="59"/>
      <c r="O11" s="59"/>
      <c r="P11" s="122"/>
      <c r="Q11" s="244"/>
      <c r="R11" s="244"/>
      <c r="S11" s="58"/>
      <c r="T11" s="58"/>
      <c r="U11" s="58"/>
      <c r="V11" s="58"/>
      <c r="W11" s="58"/>
      <c r="X11" s="58"/>
      <c r="Y11" s="58"/>
      <c r="Z11" s="58"/>
      <c r="AA11" s="58"/>
      <c r="AB11" s="58"/>
      <c r="AC11" s="58"/>
      <c r="AD11" s="58"/>
      <c r="AE11" s="58"/>
      <c r="AF11" s="58" t="s">
        <v>268</v>
      </c>
      <c r="AG11" s="58"/>
    </row>
    <row r="12" spans="1:34" ht="45">
      <c r="A12" s="52"/>
      <c r="B12" s="58"/>
      <c r="C12" s="71" t="s">
        <v>1743</v>
      </c>
      <c r="D12" s="71" t="s">
        <v>490</v>
      </c>
      <c r="E12" s="107" t="s">
        <v>1744</v>
      </c>
      <c r="F12" s="60" t="s">
        <v>254</v>
      </c>
      <c r="G12" s="60" t="s">
        <v>254</v>
      </c>
      <c r="H12" s="60" t="s">
        <v>254</v>
      </c>
      <c r="I12" s="60" t="s">
        <v>254</v>
      </c>
      <c r="J12" s="60" t="s">
        <v>254</v>
      </c>
      <c r="K12" s="60" t="s">
        <v>254</v>
      </c>
      <c r="L12" s="60" t="s">
        <v>254</v>
      </c>
      <c r="M12" s="60" t="s">
        <v>254</v>
      </c>
      <c r="N12" s="61"/>
      <c r="O12" s="61"/>
      <c r="P12" s="123"/>
      <c r="Q12" s="243"/>
      <c r="R12" s="111" cm="1">
        <f t="array" ref="R12">IF(AF12=TRUE,_xlfn.IFS(P12=1,2,P12="",IF(Q12="",1,2)),0)</f>
        <v>0</v>
      </c>
      <c r="S12" s="62" t="s">
        <v>255</v>
      </c>
      <c r="T12" s="62" t="s">
        <v>183</v>
      </c>
      <c r="U12" s="62" t="s">
        <v>183</v>
      </c>
      <c r="V12" s="62" t="s">
        <v>183</v>
      </c>
      <c r="W12" s="62"/>
      <c r="X12" s="62" t="str">
        <f t="shared" ref="X12:X17" si="1">IF(F12="Required","",IF(F12="Recommended","","〇"))</f>
        <v/>
      </c>
      <c r="Y12" s="62" t="str">
        <f t="shared" ref="Y12:Y17" si="2">IF(G12="Required","",IF(G12="Recommended","","〇"))</f>
        <v/>
      </c>
      <c r="Z12" s="62" t="str">
        <f t="shared" ref="Z12:Z17" si="3">IF(H12="Required","",IF(H12="Recommended","","〇"))</f>
        <v/>
      </c>
      <c r="AA12" s="62" t="str">
        <f t="shared" ref="AA12:AA17" si="4">IF(I12="Required","",IF(I12="Recommended","","〇"))</f>
        <v/>
      </c>
      <c r="AB12" s="62" t="str">
        <f t="shared" ref="AB12:AB17" si="5">IF(J12="Required","",IF(J12="Recommended","","〇"))</f>
        <v/>
      </c>
      <c r="AC12" s="62" t="str">
        <f t="shared" ref="AC12:AC17" si="6">IF(K12="Required","",IF(K12="Recommended","","〇"))</f>
        <v/>
      </c>
      <c r="AD12" s="62" t="str">
        <f t="shared" ref="AD12:AD17" si="7">IF(L12="Required","",IF(L12="Recommended","","〇"))</f>
        <v/>
      </c>
      <c r="AE12" s="62" t="str">
        <f t="shared" ref="AE12:AE17" si="8">IF(M12="Required","",IF(M12="Recommended","","〇"))</f>
        <v/>
      </c>
      <c r="AF12" s="60" t="b">
        <f t="shared" ref="AF12:AF17" si="9">AND(OR(AND($S$5=TRUE,$S12&lt;&gt;""),AND($T$5=TRUE,$T12&lt;&gt;""),AND($U$5=TRUE,$U12&lt;&gt;"")),AND($V$5=TRUE,$V12&lt;&gt;""),OR(IF($W$5=TRUE,IF($W12&lt;&gt;"",FALSE,TRUE),FALSE),IF($X$5=TRUE,IF($X12&lt;&gt;"",FALSE,TRUE),FALSE),IF($Y$5=TRUE,IF($Y12&lt;&gt;"",FALSE,TRUE),FALSE),IF($Z$5=TRUE,IF($Z12&lt;&gt;"",FALSE,TRUE),FALSE),IF($AA$5=TRUE,IF($AA12&lt;&gt;"",FALSE,TRUE),FALSE),IF($AB$5=TRUE,IF($AB12&lt;&gt;"",FALSE,TRUE),FALSE),IF($AC$5=TRUE,IF($AC12&lt;&gt;"",FALSE,TRUE),FALSE),IF($AD$5=TRUE,IF($AD12&lt;&gt;"",FALSE,TRUE),FALSE),IF($AE$5=TRUE,IF($AE12&lt;&gt;"",FALSE,TRUE),FALSE)))</f>
        <v>0</v>
      </c>
      <c r="AG12" s="60"/>
    </row>
    <row r="13" spans="1:34" ht="45">
      <c r="A13" s="52"/>
      <c r="B13" s="58"/>
      <c r="C13" s="71" t="s">
        <v>1745</v>
      </c>
      <c r="D13" s="71" t="s">
        <v>494</v>
      </c>
      <c r="E13" s="107" t="s">
        <v>1746</v>
      </c>
      <c r="F13" s="60" t="s">
        <v>356</v>
      </c>
      <c r="G13" s="60" t="s">
        <v>356</v>
      </c>
      <c r="H13" s="60" t="s">
        <v>1747</v>
      </c>
      <c r="I13" s="60" t="s">
        <v>1747</v>
      </c>
      <c r="J13" s="60" t="s">
        <v>1747</v>
      </c>
      <c r="K13" s="60" t="s">
        <v>1747</v>
      </c>
      <c r="L13" s="60" t="s">
        <v>1747</v>
      </c>
      <c r="M13" s="60" t="s">
        <v>1747</v>
      </c>
      <c r="N13" s="61"/>
      <c r="O13" s="61"/>
      <c r="P13" s="123"/>
      <c r="Q13" s="243"/>
      <c r="R13" s="111" cm="1">
        <f t="array" ref="R13">IF(AF13=TRUE,_xlfn.IFS(P13=1,2,P13="",IF(Q13="",1,2)),0)</f>
        <v>0</v>
      </c>
      <c r="S13" s="62" t="s">
        <v>255</v>
      </c>
      <c r="T13" s="62" t="s">
        <v>183</v>
      </c>
      <c r="U13" s="62" t="s">
        <v>183</v>
      </c>
      <c r="V13" s="62" t="s">
        <v>183</v>
      </c>
      <c r="W13" s="62"/>
      <c r="X13" s="62" t="str">
        <f t="shared" si="1"/>
        <v/>
      </c>
      <c r="Y13" s="62" t="str">
        <f t="shared" si="2"/>
        <v/>
      </c>
      <c r="Z13" s="62" t="str">
        <f t="shared" si="3"/>
        <v>〇</v>
      </c>
      <c r="AA13" s="62" t="str">
        <f t="shared" si="4"/>
        <v>〇</v>
      </c>
      <c r="AB13" s="62" t="str">
        <f t="shared" si="5"/>
        <v>〇</v>
      </c>
      <c r="AC13" s="62" t="str">
        <f t="shared" si="6"/>
        <v>〇</v>
      </c>
      <c r="AD13" s="62" t="str">
        <f t="shared" si="7"/>
        <v>〇</v>
      </c>
      <c r="AE13" s="62" t="str">
        <f t="shared" si="8"/>
        <v>〇</v>
      </c>
      <c r="AF13" s="60" t="b">
        <f t="shared" si="9"/>
        <v>0</v>
      </c>
      <c r="AG13" s="60"/>
    </row>
    <row r="14" spans="1:34" ht="45">
      <c r="A14" s="52"/>
      <c r="B14" s="58"/>
      <c r="C14" s="71" t="s">
        <v>1748</v>
      </c>
      <c r="D14" s="71" t="s">
        <v>498</v>
      </c>
      <c r="E14" s="107" t="s">
        <v>1749</v>
      </c>
      <c r="F14" s="60" t="s">
        <v>254</v>
      </c>
      <c r="G14" s="60" t="s">
        <v>254</v>
      </c>
      <c r="H14" s="60" t="s">
        <v>254</v>
      </c>
      <c r="I14" s="60" t="s">
        <v>254</v>
      </c>
      <c r="J14" s="60" t="s">
        <v>1747</v>
      </c>
      <c r="K14" s="60" t="s">
        <v>1747</v>
      </c>
      <c r="L14" s="60" t="s">
        <v>1747</v>
      </c>
      <c r="M14" s="60" t="s">
        <v>1747</v>
      </c>
      <c r="N14" s="61"/>
      <c r="O14" s="61"/>
      <c r="P14" s="123"/>
      <c r="Q14" s="243"/>
      <c r="R14" s="111" cm="1">
        <f t="array" ref="R14">IF(AF14=TRUE,_xlfn.IFS(P14=1,2,P14="",IF(Q14="",1,2)),0)</f>
        <v>0</v>
      </c>
      <c r="S14" s="62" t="s">
        <v>255</v>
      </c>
      <c r="T14" s="62" t="s">
        <v>183</v>
      </c>
      <c r="U14" s="62" t="s">
        <v>183</v>
      </c>
      <c r="V14" s="62" t="s">
        <v>183</v>
      </c>
      <c r="W14" s="62"/>
      <c r="X14" s="62" t="str">
        <f t="shared" si="1"/>
        <v/>
      </c>
      <c r="Y14" s="62" t="str">
        <f t="shared" si="2"/>
        <v/>
      </c>
      <c r="Z14" s="62" t="str">
        <f t="shared" si="3"/>
        <v/>
      </c>
      <c r="AA14" s="62" t="str">
        <f t="shared" si="4"/>
        <v/>
      </c>
      <c r="AB14" s="62" t="str">
        <f t="shared" si="5"/>
        <v>〇</v>
      </c>
      <c r="AC14" s="62" t="str">
        <f t="shared" si="6"/>
        <v>〇</v>
      </c>
      <c r="AD14" s="62" t="str">
        <f t="shared" si="7"/>
        <v>〇</v>
      </c>
      <c r="AE14" s="62" t="str">
        <f t="shared" si="8"/>
        <v>〇</v>
      </c>
      <c r="AF14" s="60" t="b">
        <f t="shared" si="9"/>
        <v>0</v>
      </c>
      <c r="AG14" s="60"/>
    </row>
    <row r="15" spans="1:34" ht="67.5">
      <c r="A15" s="52"/>
      <c r="B15" s="58"/>
      <c r="C15" s="71" t="s">
        <v>1750</v>
      </c>
      <c r="D15" s="71" t="s">
        <v>501</v>
      </c>
      <c r="E15" s="107" t="s">
        <v>1751</v>
      </c>
      <c r="F15" s="60" t="s">
        <v>356</v>
      </c>
      <c r="G15" s="60" t="s">
        <v>356</v>
      </c>
      <c r="H15" s="60" t="s">
        <v>356</v>
      </c>
      <c r="I15" s="60" t="s">
        <v>356</v>
      </c>
      <c r="J15" s="60" t="s">
        <v>1747</v>
      </c>
      <c r="K15" s="60" t="s">
        <v>1747</v>
      </c>
      <c r="L15" s="60" t="s">
        <v>1747</v>
      </c>
      <c r="M15" s="60" t="s">
        <v>1747</v>
      </c>
      <c r="N15" s="61"/>
      <c r="O15" s="61"/>
      <c r="P15" s="123"/>
      <c r="Q15" s="243"/>
      <c r="R15" s="111" cm="1">
        <f t="array" ref="R15">IF(AF15=TRUE,_xlfn.IFS(P15=1,2,P15="",IF(Q15="",1,2)),0)</f>
        <v>0</v>
      </c>
      <c r="S15" s="62" t="s">
        <v>255</v>
      </c>
      <c r="T15" s="62" t="s">
        <v>183</v>
      </c>
      <c r="U15" s="62" t="s">
        <v>183</v>
      </c>
      <c r="V15" s="62" t="s">
        <v>183</v>
      </c>
      <c r="W15" s="62"/>
      <c r="X15" s="62" t="str">
        <f t="shared" si="1"/>
        <v/>
      </c>
      <c r="Y15" s="62" t="str">
        <f t="shared" si="2"/>
        <v/>
      </c>
      <c r="Z15" s="62" t="str">
        <f t="shared" si="3"/>
        <v/>
      </c>
      <c r="AA15" s="62" t="str">
        <f t="shared" si="4"/>
        <v/>
      </c>
      <c r="AB15" s="62" t="str">
        <f t="shared" si="5"/>
        <v>〇</v>
      </c>
      <c r="AC15" s="62" t="str">
        <f t="shared" si="6"/>
        <v>〇</v>
      </c>
      <c r="AD15" s="62" t="str">
        <f t="shared" si="7"/>
        <v>〇</v>
      </c>
      <c r="AE15" s="62" t="str">
        <f t="shared" si="8"/>
        <v>〇</v>
      </c>
      <c r="AF15" s="60" t="b">
        <f t="shared" si="9"/>
        <v>0</v>
      </c>
      <c r="AG15" s="60"/>
    </row>
    <row r="16" spans="1:34" ht="225">
      <c r="A16" s="52"/>
      <c r="B16" s="58"/>
      <c r="C16" s="71" t="s">
        <v>1752</v>
      </c>
      <c r="D16" s="71" t="s">
        <v>506</v>
      </c>
      <c r="E16" s="107" t="s">
        <v>1753</v>
      </c>
      <c r="F16" s="60" t="s">
        <v>356</v>
      </c>
      <c r="G16" s="60" t="s">
        <v>356</v>
      </c>
      <c r="H16" s="60" t="s">
        <v>356</v>
      </c>
      <c r="I16" s="60" t="s">
        <v>356</v>
      </c>
      <c r="J16" s="60" t="s">
        <v>1747</v>
      </c>
      <c r="K16" s="60" t="s">
        <v>1747</v>
      </c>
      <c r="L16" s="60" t="s">
        <v>1747</v>
      </c>
      <c r="M16" s="60" t="s">
        <v>1747</v>
      </c>
      <c r="N16" s="61"/>
      <c r="O16" s="61"/>
      <c r="P16" s="123"/>
      <c r="Q16" s="243"/>
      <c r="R16" s="111" cm="1">
        <f t="array" ref="R16">IF(AF16=TRUE,_xlfn.IFS(P16=1,2,P16="",IF(Q16="",1,2)),0)</f>
        <v>0</v>
      </c>
      <c r="S16" s="62" t="s">
        <v>255</v>
      </c>
      <c r="T16" s="62" t="s">
        <v>183</v>
      </c>
      <c r="U16" s="62" t="s">
        <v>183</v>
      </c>
      <c r="V16" s="62" t="s">
        <v>183</v>
      </c>
      <c r="W16" s="62"/>
      <c r="X16" s="62" t="str">
        <f t="shared" si="1"/>
        <v/>
      </c>
      <c r="Y16" s="62" t="str">
        <f t="shared" si="2"/>
        <v/>
      </c>
      <c r="Z16" s="62" t="str">
        <f t="shared" si="3"/>
        <v/>
      </c>
      <c r="AA16" s="62" t="str">
        <f t="shared" si="4"/>
        <v/>
      </c>
      <c r="AB16" s="62" t="str">
        <f t="shared" si="5"/>
        <v>〇</v>
      </c>
      <c r="AC16" s="62" t="str">
        <f t="shared" si="6"/>
        <v>〇</v>
      </c>
      <c r="AD16" s="62" t="str">
        <f t="shared" si="7"/>
        <v>〇</v>
      </c>
      <c r="AE16" s="62" t="str">
        <f t="shared" si="8"/>
        <v>〇</v>
      </c>
      <c r="AF16" s="60" t="b">
        <f t="shared" si="9"/>
        <v>0</v>
      </c>
      <c r="AG16" s="60"/>
    </row>
    <row r="17" spans="1:33" ht="90">
      <c r="A17" s="52"/>
      <c r="B17" s="58"/>
      <c r="C17" s="71" t="s">
        <v>1754</v>
      </c>
      <c r="D17" s="71" t="s">
        <v>509</v>
      </c>
      <c r="E17" s="107" t="s">
        <v>1755</v>
      </c>
      <c r="F17" s="60" t="s">
        <v>356</v>
      </c>
      <c r="G17" s="60" t="s">
        <v>356</v>
      </c>
      <c r="H17" s="60" t="s">
        <v>356</v>
      </c>
      <c r="I17" s="60" t="s">
        <v>356</v>
      </c>
      <c r="J17" s="60" t="s">
        <v>1747</v>
      </c>
      <c r="K17" s="60" t="s">
        <v>1747</v>
      </c>
      <c r="L17" s="60" t="s">
        <v>1747</v>
      </c>
      <c r="M17" s="60" t="s">
        <v>1747</v>
      </c>
      <c r="N17" s="61"/>
      <c r="O17" s="61"/>
      <c r="P17" s="123"/>
      <c r="Q17" s="243"/>
      <c r="R17" s="111" cm="1">
        <f t="array" ref="R17">IF(AF17=TRUE,_xlfn.IFS(P17=1,2,P17="",IF(Q17="",1,2)),0)</f>
        <v>0</v>
      </c>
      <c r="S17" s="62" t="s">
        <v>255</v>
      </c>
      <c r="T17" s="62" t="s">
        <v>183</v>
      </c>
      <c r="U17" s="62" t="s">
        <v>183</v>
      </c>
      <c r="V17" s="62" t="s">
        <v>183</v>
      </c>
      <c r="W17" s="62"/>
      <c r="X17" s="62" t="str">
        <f t="shared" si="1"/>
        <v/>
      </c>
      <c r="Y17" s="62" t="str">
        <f t="shared" si="2"/>
        <v/>
      </c>
      <c r="Z17" s="62" t="str">
        <f t="shared" si="3"/>
        <v/>
      </c>
      <c r="AA17" s="62" t="str">
        <f t="shared" si="4"/>
        <v/>
      </c>
      <c r="AB17" s="62" t="str">
        <f t="shared" si="5"/>
        <v>〇</v>
      </c>
      <c r="AC17" s="62" t="str">
        <f t="shared" si="6"/>
        <v>〇</v>
      </c>
      <c r="AD17" s="62" t="str">
        <f t="shared" si="7"/>
        <v>〇</v>
      </c>
      <c r="AE17" s="62" t="str">
        <f t="shared" si="8"/>
        <v>〇</v>
      </c>
      <c r="AF17" s="60" t="b">
        <f t="shared" si="9"/>
        <v>0</v>
      </c>
      <c r="AG17" s="60"/>
    </row>
    <row r="18" spans="1:33" ht="22.5">
      <c r="A18" s="52"/>
      <c r="B18" s="58" t="s">
        <v>1756</v>
      </c>
      <c r="C18" s="115"/>
      <c r="D18" s="115"/>
      <c r="E18" s="84"/>
      <c r="F18" s="58"/>
      <c r="G18" s="58"/>
      <c r="H18" s="58"/>
      <c r="I18" s="58"/>
      <c r="J18" s="58"/>
      <c r="K18" s="58"/>
      <c r="L18" s="58"/>
      <c r="M18" s="58"/>
      <c r="N18" s="59"/>
      <c r="O18" s="59"/>
      <c r="P18" s="122"/>
      <c r="Q18" s="244"/>
      <c r="R18" s="244"/>
      <c r="S18" s="58"/>
      <c r="T18" s="58"/>
      <c r="U18" s="58"/>
      <c r="V18" s="58"/>
      <c r="W18" s="58"/>
      <c r="X18" s="58"/>
      <c r="Y18" s="58"/>
      <c r="Z18" s="58"/>
      <c r="AA18" s="58"/>
      <c r="AB18" s="58"/>
      <c r="AC18" s="58"/>
      <c r="AD18" s="58"/>
      <c r="AE18" s="58"/>
      <c r="AF18" s="58" t="s">
        <v>268</v>
      </c>
      <c r="AG18" s="58"/>
    </row>
    <row r="19" spans="1:33" ht="22.5">
      <c r="A19" s="52"/>
      <c r="B19" s="58"/>
      <c r="C19" s="71" t="s">
        <v>1757</v>
      </c>
      <c r="D19" s="71" t="s">
        <v>553</v>
      </c>
      <c r="E19" s="107" t="s">
        <v>1758</v>
      </c>
      <c r="F19" s="60" t="s">
        <v>254</v>
      </c>
      <c r="G19" s="60" t="s">
        <v>254</v>
      </c>
      <c r="H19" s="60" t="s">
        <v>254</v>
      </c>
      <c r="I19" s="60" t="s">
        <v>254</v>
      </c>
      <c r="J19" s="60" t="s">
        <v>1747</v>
      </c>
      <c r="K19" s="60" t="s">
        <v>1747</v>
      </c>
      <c r="L19" s="60" t="s">
        <v>1747</v>
      </c>
      <c r="M19" s="60" t="s">
        <v>1747</v>
      </c>
      <c r="N19" s="61"/>
      <c r="O19" s="61"/>
      <c r="P19" s="123"/>
      <c r="Q19" s="243"/>
      <c r="R19" s="111" cm="1">
        <f t="array" ref="R19">IF(AF19=TRUE,_xlfn.IFS(P19=1,2,P19="",IF(Q19="",1,2)),0)</f>
        <v>0</v>
      </c>
      <c r="S19" s="62" t="s">
        <v>255</v>
      </c>
      <c r="T19" s="62" t="s">
        <v>183</v>
      </c>
      <c r="U19" s="62" t="s">
        <v>183</v>
      </c>
      <c r="V19" s="62" t="s">
        <v>183</v>
      </c>
      <c r="W19" s="62"/>
      <c r="X19" s="62" t="str">
        <f t="shared" ref="X19:X23" si="10">IF(F19="Required","",IF(F19="Recommended","","〇"))</f>
        <v/>
      </c>
      <c r="Y19" s="62" t="str">
        <f t="shared" ref="Y19:Y23" si="11">IF(G19="Required","",IF(G19="Recommended","","〇"))</f>
        <v/>
      </c>
      <c r="Z19" s="62" t="str">
        <f t="shared" ref="Z19:Z23" si="12">IF(H19="Required","",IF(H19="Recommended","","〇"))</f>
        <v/>
      </c>
      <c r="AA19" s="62" t="str">
        <f t="shared" ref="AA19:AA23" si="13">IF(I19="Required","",IF(I19="Recommended","","〇"))</f>
        <v/>
      </c>
      <c r="AB19" s="62" t="str">
        <f t="shared" ref="AB19:AB23" si="14">IF(J19="Required","",IF(J19="Recommended","","〇"))</f>
        <v>〇</v>
      </c>
      <c r="AC19" s="62" t="str">
        <f t="shared" ref="AC19:AC23" si="15">IF(K19="Required","",IF(K19="Recommended","","〇"))</f>
        <v>〇</v>
      </c>
      <c r="AD19" s="62" t="str">
        <f t="shared" ref="AD19:AD23" si="16">IF(L19="Required","",IF(L19="Recommended","","〇"))</f>
        <v>〇</v>
      </c>
      <c r="AE19" s="62" t="str">
        <f t="shared" ref="AE19:AE23" si="17">IF(M19="Required","",IF(M19="Recommended","","〇"))</f>
        <v>〇</v>
      </c>
      <c r="AF19" s="60" t="b">
        <f t="shared" ref="AF19:AF23" si="18">AND(OR(AND($S$5=TRUE,$S19&lt;&gt;""),AND($T$5=TRUE,$T19&lt;&gt;""),AND($U$5=TRUE,$U19&lt;&gt;"")),AND($V$5=TRUE,$V19&lt;&gt;""),OR(IF($W$5=TRUE,IF($W19&lt;&gt;"",FALSE,TRUE),FALSE),IF($X$5=TRUE,IF($X19&lt;&gt;"",FALSE,TRUE),FALSE),IF($Y$5=TRUE,IF($Y19&lt;&gt;"",FALSE,TRUE),FALSE),IF($Z$5=TRUE,IF($Z19&lt;&gt;"",FALSE,TRUE),FALSE),IF($AA$5=TRUE,IF($AA19&lt;&gt;"",FALSE,TRUE),FALSE),IF($AB$5=TRUE,IF($AB19&lt;&gt;"",FALSE,TRUE),FALSE),IF($AC$5=TRUE,IF($AC19&lt;&gt;"",FALSE,TRUE),FALSE),IF($AD$5=TRUE,IF($AD19&lt;&gt;"",FALSE,TRUE),FALSE),IF($AE$5=TRUE,IF($AE19&lt;&gt;"",FALSE,TRUE),FALSE)))</f>
        <v>0</v>
      </c>
      <c r="AG19" s="60"/>
    </row>
    <row r="20" spans="1:33" ht="90">
      <c r="A20" s="52"/>
      <c r="B20" s="58"/>
      <c r="C20" s="71" t="s">
        <v>1759</v>
      </c>
      <c r="D20" s="71" t="s">
        <v>556</v>
      </c>
      <c r="E20" s="107" t="s">
        <v>1760</v>
      </c>
      <c r="F20" s="60" t="s">
        <v>254</v>
      </c>
      <c r="G20" s="60" t="s">
        <v>254</v>
      </c>
      <c r="H20" s="60" t="s">
        <v>356</v>
      </c>
      <c r="I20" s="60" t="s">
        <v>356</v>
      </c>
      <c r="J20" s="60" t="s">
        <v>1747</v>
      </c>
      <c r="K20" s="60" t="s">
        <v>1747</v>
      </c>
      <c r="L20" s="60" t="s">
        <v>1747</v>
      </c>
      <c r="M20" s="60" t="s">
        <v>1747</v>
      </c>
      <c r="N20" s="61"/>
      <c r="O20" s="61"/>
      <c r="P20" s="123"/>
      <c r="Q20" s="243"/>
      <c r="R20" s="111" cm="1">
        <f t="array" ref="R20">IF(AF20=TRUE,_xlfn.IFS(P20=1,2,P20="",IF(Q20="",1,2)),0)</f>
        <v>0</v>
      </c>
      <c r="S20" s="62" t="s">
        <v>255</v>
      </c>
      <c r="T20" s="62" t="s">
        <v>183</v>
      </c>
      <c r="U20" s="62" t="s">
        <v>183</v>
      </c>
      <c r="V20" s="62" t="s">
        <v>183</v>
      </c>
      <c r="W20" s="62"/>
      <c r="X20" s="62" t="str">
        <f t="shared" si="10"/>
        <v/>
      </c>
      <c r="Y20" s="62" t="str">
        <f t="shared" si="11"/>
        <v/>
      </c>
      <c r="Z20" s="62" t="str">
        <f t="shared" si="12"/>
        <v/>
      </c>
      <c r="AA20" s="62" t="str">
        <f t="shared" si="13"/>
        <v/>
      </c>
      <c r="AB20" s="62" t="str">
        <f t="shared" si="14"/>
        <v>〇</v>
      </c>
      <c r="AC20" s="62" t="str">
        <f t="shared" si="15"/>
        <v>〇</v>
      </c>
      <c r="AD20" s="62" t="str">
        <f t="shared" si="16"/>
        <v>〇</v>
      </c>
      <c r="AE20" s="62" t="str">
        <f t="shared" si="17"/>
        <v>〇</v>
      </c>
      <c r="AF20" s="60" t="b">
        <f t="shared" si="18"/>
        <v>0</v>
      </c>
      <c r="AG20" s="60"/>
    </row>
    <row r="21" spans="1:33" ht="112.5">
      <c r="A21" s="52"/>
      <c r="B21" s="58"/>
      <c r="C21" s="71" t="s">
        <v>1761</v>
      </c>
      <c r="D21" s="71" t="s">
        <v>558</v>
      </c>
      <c r="E21" s="107" t="s">
        <v>1762</v>
      </c>
      <c r="F21" s="60" t="s">
        <v>254</v>
      </c>
      <c r="G21" s="60" t="s">
        <v>254</v>
      </c>
      <c r="H21" s="60" t="s">
        <v>254</v>
      </c>
      <c r="I21" s="60" t="s">
        <v>254</v>
      </c>
      <c r="J21" s="60" t="s">
        <v>254</v>
      </c>
      <c r="K21" s="60" t="s">
        <v>1747</v>
      </c>
      <c r="L21" s="60" t="s">
        <v>1747</v>
      </c>
      <c r="M21" s="60" t="s">
        <v>1747</v>
      </c>
      <c r="N21" s="61"/>
      <c r="O21" s="61"/>
      <c r="P21" s="123"/>
      <c r="Q21" s="243"/>
      <c r="R21" s="111" cm="1">
        <f t="array" ref="R21">IF(AF21=TRUE,_xlfn.IFS(P21=1,2,P21="",IF(Q21="",1,2)),0)</f>
        <v>0</v>
      </c>
      <c r="S21" s="62" t="s">
        <v>255</v>
      </c>
      <c r="T21" s="62" t="s">
        <v>183</v>
      </c>
      <c r="U21" s="62" t="s">
        <v>183</v>
      </c>
      <c r="V21" s="62" t="s">
        <v>183</v>
      </c>
      <c r="W21" s="62"/>
      <c r="X21" s="62" t="str">
        <f t="shared" si="10"/>
        <v/>
      </c>
      <c r="Y21" s="62" t="str">
        <f t="shared" si="11"/>
        <v/>
      </c>
      <c r="Z21" s="62" t="str">
        <f t="shared" si="12"/>
        <v/>
      </c>
      <c r="AA21" s="62" t="str">
        <f t="shared" si="13"/>
        <v/>
      </c>
      <c r="AB21" s="62" t="str">
        <f t="shared" si="14"/>
        <v/>
      </c>
      <c r="AC21" s="62" t="str">
        <f t="shared" si="15"/>
        <v>〇</v>
      </c>
      <c r="AD21" s="62" t="str">
        <f t="shared" si="16"/>
        <v>〇</v>
      </c>
      <c r="AE21" s="62" t="str">
        <f t="shared" si="17"/>
        <v>〇</v>
      </c>
      <c r="AF21" s="60" t="b">
        <f t="shared" si="18"/>
        <v>0</v>
      </c>
      <c r="AG21" s="60"/>
    </row>
    <row r="22" spans="1:33" ht="112.5">
      <c r="A22" s="52"/>
      <c r="B22" s="58"/>
      <c r="C22" s="71" t="s">
        <v>1763</v>
      </c>
      <c r="D22" s="71" t="s">
        <v>980</v>
      </c>
      <c r="E22" s="107" t="s">
        <v>1764</v>
      </c>
      <c r="F22" s="60" t="s">
        <v>1747</v>
      </c>
      <c r="G22" s="60" t="s">
        <v>1747</v>
      </c>
      <c r="H22" s="60" t="s">
        <v>1747</v>
      </c>
      <c r="I22" s="60" t="s">
        <v>1747</v>
      </c>
      <c r="J22" s="60" t="s">
        <v>1747</v>
      </c>
      <c r="K22" s="60" t="s">
        <v>254</v>
      </c>
      <c r="L22" s="60" t="s">
        <v>254</v>
      </c>
      <c r="M22" s="60" t="s">
        <v>254</v>
      </c>
      <c r="N22" s="61"/>
      <c r="O22" s="61"/>
      <c r="P22" s="123"/>
      <c r="Q22" s="243"/>
      <c r="R22" s="111" cm="1">
        <f t="array" ref="R22">IF(AF22=TRUE,_xlfn.IFS(P22=1,2,P22="",IF(Q22="",1,2)),0)</f>
        <v>0</v>
      </c>
      <c r="S22" s="62" t="s">
        <v>255</v>
      </c>
      <c r="T22" s="62" t="s">
        <v>183</v>
      </c>
      <c r="U22" s="62" t="s">
        <v>183</v>
      </c>
      <c r="V22" s="62" t="s">
        <v>183</v>
      </c>
      <c r="W22" s="62"/>
      <c r="X22" s="62" t="str">
        <f t="shared" si="10"/>
        <v>〇</v>
      </c>
      <c r="Y22" s="62" t="str">
        <f t="shared" si="11"/>
        <v>〇</v>
      </c>
      <c r="Z22" s="62" t="str">
        <f t="shared" si="12"/>
        <v>〇</v>
      </c>
      <c r="AA22" s="62" t="str">
        <f t="shared" si="13"/>
        <v>〇</v>
      </c>
      <c r="AB22" s="62" t="str">
        <f t="shared" si="14"/>
        <v>〇</v>
      </c>
      <c r="AC22" s="62" t="str">
        <f t="shared" si="15"/>
        <v/>
      </c>
      <c r="AD22" s="62" t="str">
        <f t="shared" si="16"/>
        <v/>
      </c>
      <c r="AE22" s="62" t="str">
        <f t="shared" si="17"/>
        <v/>
      </c>
      <c r="AF22" s="60" t="b">
        <f t="shared" si="18"/>
        <v>0</v>
      </c>
      <c r="AG22" s="60"/>
    </row>
    <row r="23" spans="1:33" ht="90">
      <c r="A23" s="52"/>
      <c r="B23" s="58"/>
      <c r="C23" s="71" t="s">
        <v>1765</v>
      </c>
      <c r="D23" s="71" t="s">
        <v>1630</v>
      </c>
      <c r="E23" s="107" t="s">
        <v>1766</v>
      </c>
      <c r="F23" s="60" t="s">
        <v>254</v>
      </c>
      <c r="G23" s="60" t="s">
        <v>254</v>
      </c>
      <c r="H23" s="60" t="s">
        <v>254</v>
      </c>
      <c r="I23" s="60" t="s">
        <v>254</v>
      </c>
      <c r="J23" s="60" t="s">
        <v>254</v>
      </c>
      <c r="K23" s="60" t="s">
        <v>254</v>
      </c>
      <c r="L23" s="60" t="s">
        <v>254</v>
      </c>
      <c r="M23" s="60" t="s">
        <v>1747</v>
      </c>
      <c r="N23" s="61"/>
      <c r="O23" s="61"/>
      <c r="P23" s="123"/>
      <c r="Q23" s="243"/>
      <c r="R23" s="111" cm="1">
        <f t="array" ref="R23">IF(AF23=TRUE,_xlfn.IFS(P23=1,2,P23="",IF(Q23="",1,2)),0)</f>
        <v>0</v>
      </c>
      <c r="S23" s="62" t="s">
        <v>255</v>
      </c>
      <c r="T23" s="62" t="s">
        <v>183</v>
      </c>
      <c r="U23" s="62" t="s">
        <v>183</v>
      </c>
      <c r="V23" s="62" t="s">
        <v>183</v>
      </c>
      <c r="W23" s="62"/>
      <c r="X23" s="62" t="str">
        <f t="shared" si="10"/>
        <v/>
      </c>
      <c r="Y23" s="62" t="str">
        <f t="shared" si="11"/>
        <v/>
      </c>
      <c r="Z23" s="62" t="str">
        <f t="shared" si="12"/>
        <v/>
      </c>
      <c r="AA23" s="62" t="str">
        <f t="shared" si="13"/>
        <v/>
      </c>
      <c r="AB23" s="62" t="str">
        <f t="shared" si="14"/>
        <v/>
      </c>
      <c r="AC23" s="62" t="str">
        <f t="shared" si="15"/>
        <v/>
      </c>
      <c r="AD23" s="62" t="str">
        <f t="shared" si="16"/>
        <v/>
      </c>
      <c r="AE23" s="62" t="str">
        <f t="shared" si="17"/>
        <v>〇</v>
      </c>
      <c r="AF23" s="60" t="b">
        <f t="shared" si="18"/>
        <v>0</v>
      </c>
      <c r="AG23" s="60"/>
    </row>
    <row r="24" spans="1:33" ht="22.5">
      <c r="A24" s="52"/>
      <c r="B24" s="58" t="s">
        <v>1767</v>
      </c>
      <c r="C24" s="115"/>
      <c r="D24" s="115"/>
      <c r="E24" s="84"/>
      <c r="F24" s="58"/>
      <c r="G24" s="58"/>
      <c r="H24" s="58"/>
      <c r="I24" s="58"/>
      <c r="J24" s="58"/>
      <c r="K24" s="58"/>
      <c r="L24" s="58"/>
      <c r="M24" s="58"/>
      <c r="N24" s="59"/>
      <c r="O24" s="59"/>
      <c r="P24" s="122"/>
      <c r="Q24" s="244"/>
      <c r="R24" s="244"/>
      <c r="S24" s="58"/>
      <c r="T24" s="58"/>
      <c r="U24" s="58"/>
      <c r="V24" s="58"/>
      <c r="W24" s="58"/>
      <c r="X24" s="58"/>
      <c r="Y24" s="58"/>
      <c r="Z24" s="58"/>
      <c r="AA24" s="58"/>
      <c r="AB24" s="58"/>
      <c r="AC24" s="58"/>
      <c r="AD24" s="58"/>
      <c r="AE24" s="58"/>
      <c r="AF24" s="58" t="s">
        <v>268</v>
      </c>
      <c r="AG24" s="58"/>
    </row>
    <row r="25" spans="1:33" ht="67.5">
      <c r="A25" s="52"/>
      <c r="B25" s="58"/>
      <c r="C25" s="71" t="s">
        <v>1768</v>
      </c>
      <c r="D25" s="71" t="s">
        <v>681</v>
      </c>
      <c r="E25" s="107" t="s">
        <v>1769</v>
      </c>
      <c r="F25" s="60" t="s">
        <v>254</v>
      </c>
      <c r="G25" s="60" t="s">
        <v>254</v>
      </c>
      <c r="H25" s="60" t="s">
        <v>254</v>
      </c>
      <c r="I25" s="60" t="s">
        <v>254</v>
      </c>
      <c r="J25" s="60" t="s">
        <v>254</v>
      </c>
      <c r="K25" s="60" t="s">
        <v>1747</v>
      </c>
      <c r="L25" s="60" t="s">
        <v>1747</v>
      </c>
      <c r="M25" s="60" t="s">
        <v>1747</v>
      </c>
      <c r="N25" s="61"/>
      <c r="O25" s="61"/>
      <c r="P25" s="123"/>
      <c r="Q25" s="243"/>
      <c r="R25" s="111" cm="1">
        <f t="array" ref="R25">IF(AF25=TRUE,_xlfn.IFS(P25=1,2,P25="",IF(Q25="",1,2)),0)</f>
        <v>0</v>
      </c>
      <c r="S25" s="62" t="s">
        <v>255</v>
      </c>
      <c r="T25" s="62" t="s">
        <v>183</v>
      </c>
      <c r="U25" s="62" t="s">
        <v>183</v>
      </c>
      <c r="V25" s="62" t="s">
        <v>183</v>
      </c>
      <c r="W25" s="62"/>
      <c r="X25" s="62" t="str">
        <f t="shared" ref="X25:X29" si="19">IF(F25="Required","",IF(F25="Recommended","","〇"))</f>
        <v/>
      </c>
      <c r="Y25" s="62" t="str">
        <f t="shared" ref="Y25:Y29" si="20">IF(G25="Required","",IF(G25="Recommended","","〇"))</f>
        <v/>
      </c>
      <c r="Z25" s="62" t="str">
        <f t="shared" ref="Z25:Z29" si="21">IF(H25="Required","",IF(H25="Recommended","","〇"))</f>
        <v/>
      </c>
      <c r="AA25" s="62" t="str">
        <f t="shared" ref="AA25:AA29" si="22">IF(I25="Required","",IF(I25="Recommended","","〇"))</f>
        <v/>
      </c>
      <c r="AB25" s="62" t="str">
        <f t="shared" ref="AB25:AB29" si="23">IF(J25="Required","",IF(J25="Recommended","","〇"))</f>
        <v/>
      </c>
      <c r="AC25" s="62" t="str">
        <f t="shared" ref="AC25:AC29" si="24">IF(K25="Required","",IF(K25="Recommended","","〇"))</f>
        <v>〇</v>
      </c>
      <c r="AD25" s="62" t="str">
        <f t="shared" ref="AD25:AD29" si="25">IF(L25="Required","",IF(L25="Recommended","","〇"))</f>
        <v>〇</v>
      </c>
      <c r="AE25" s="62" t="str">
        <f t="shared" ref="AE25:AE29" si="26">IF(M25="Required","",IF(M25="Recommended","","〇"))</f>
        <v>〇</v>
      </c>
      <c r="AF25" s="60" t="b">
        <f t="shared" ref="AF25:AF29" si="27">AND(OR(AND($S$5=TRUE,$S25&lt;&gt;""),AND($T$5=TRUE,$T25&lt;&gt;""),AND($U$5=TRUE,$U25&lt;&gt;"")),AND($V$5=TRUE,$V25&lt;&gt;""),OR(IF($W$5=TRUE,IF($W25&lt;&gt;"",FALSE,TRUE),FALSE),IF($X$5=TRUE,IF($X25&lt;&gt;"",FALSE,TRUE),FALSE),IF($Y$5=TRUE,IF($Y25&lt;&gt;"",FALSE,TRUE),FALSE),IF($Z$5=TRUE,IF($Z25&lt;&gt;"",FALSE,TRUE),FALSE),IF($AA$5=TRUE,IF($AA25&lt;&gt;"",FALSE,TRUE),FALSE),IF($AB$5=TRUE,IF($AB25&lt;&gt;"",FALSE,TRUE),FALSE),IF($AC$5=TRUE,IF($AC25&lt;&gt;"",FALSE,TRUE),FALSE),IF($AD$5=TRUE,IF($AD25&lt;&gt;"",FALSE,TRUE),FALSE),IF($AE$5=TRUE,IF($AE25&lt;&gt;"",FALSE,TRUE),FALSE)))</f>
        <v>0</v>
      </c>
      <c r="AG25" s="60"/>
    </row>
    <row r="26" spans="1:33" ht="135">
      <c r="A26" s="52"/>
      <c r="B26" s="58"/>
      <c r="C26" s="71" t="s">
        <v>1770</v>
      </c>
      <c r="D26" s="71" t="s">
        <v>683</v>
      </c>
      <c r="E26" s="107" t="s">
        <v>1771</v>
      </c>
      <c r="F26" s="60" t="s">
        <v>254</v>
      </c>
      <c r="G26" s="60" t="s">
        <v>254</v>
      </c>
      <c r="H26" s="60" t="s">
        <v>1747</v>
      </c>
      <c r="I26" s="60" t="s">
        <v>1747</v>
      </c>
      <c r="J26" s="60" t="s">
        <v>1747</v>
      </c>
      <c r="K26" s="60" t="s">
        <v>1747</v>
      </c>
      <c r="L26" s="60" t="s">
        <v>1747</v>
      </c>
      <c r="M26" s="60" t="s">
        <v>1747</v>
      </c>
      <c r="N26" s="61"/>
      <c r="O26" s="61"/>
      <c r="P26" s="123"/>
      <c r="Q26" s="243"/>
      <c r="R26" s="111" cm="1">
        <f t="array" ref="R26">IF(AF26=TRUE,_xlfn.IFS(P26=1,2,P26="",IF(Q26="",1,2)),0)</f>
        <v>0</v>
      </c>
      <c r="S26" s="62" t="s">
        <v>255</v>
      </c>
      <c r="T26" s="62" t="s">
        <v>183</v>
      </c>
      <c r="U26" s="62" t="s">
        <v>183</v>
      </c>
      <c r="V26" s="62" t="s">
        <v>183</v>
      </c>
      <c r="W26" s="62"/>
      <c r="X26" s="62" t="str">
        <f t="shared" si="19"/>
        <v/>
      </c>
      <c r="Y26" s="62" t="str">
        <f t="shared" si="20"/>
        <v/>
      </c>
      <c r="Z26" s="62" t="str">
        <f t="shared" si="21"/>
        <v>〇</v>
      </c>
      <c r="AA26" s="62" t="str">
        <f t="shared" si="22"/>
        <v>〇</v>
      </c>
      <c r="AB26" s="62" t="str">
        <f t="shared" si="23"/>
        <v>〇</v>
      </c>
      <c r="AC26" s="62" t="str">
        <f t="shared" si="24"/>
        <v>〇</v>
      </c>
      <c r="AD26" s="62" t="str">
        <f t="shared" si="25"/>
        <v>〇</v>
      </c>
      <c r="AE26" s="62" t="str">
        <f t="shared" si="26"/>
        <v>〇</v>
      </c>
      <c r="AF26" s="60" t="b">
        <f t="shared" si="27"/>
        <v>0</v>
      </c>
      <c r="AG26" s="60"/>
    </row>
    <row r="27" spans="1:33" ht="22.5">
      <c r="A27" s="52"/>
      <c r="B27" s="58"/>
      <c r="C27" s="71" t="s">
        <v>1772</v>
      </c>
      <c r="D27" s="71" t="s">
        <v>686</v>
      </c>
      <c r="E27" s="107" t="s">
        <v>1773</v>
      </c>
      <c r="F27" s="60" t="s">
        <v>1747</v>
      </c>
      <c r="G27" s="60" t="s">
        <v>254</v>
      </c>
      <c r="H27" s="60" t="s">
        <v>1747</v>
      </c>
      <c r="I27" s="60" t="s">
        <v>1747</v>
      </c>
      <c r="J27" s="60" t="s">
        <v>1747</v>
      </c>
      <c r="K27" s="60" t="s">
        <v>1747</v>
      </c>
      <c r="L27" s="60" t="s">
        <v>1747</v>
      </c>
      <c r="M27" s="60" t="s">
        <v>1747</v>
      </c>
      <c r="N27" s="61"/>
      <c r="O27" s="61"/>
      <c r="P27" s="123"/>
      <c r="Q27" s="243"/>
      <c r="R27" s="111" cm="1">
        <f t="array" ref="R27">IF(AF27=TRUE,_xlfn.IFS(P27=1,2,P27="",IF(Q27="",1,2)),0)</f>
        <v>0</v>
      </c>
      <c r="S27" s="62" t="s">
        <v>255</v>
      </c>
      <c r="T27" s="62" t="s">
        <v>183</v>
      </c>
      <c r="U27" s="62" t="s">
        <v>183</v>
      </c>
      <c r="V27" s="62" t="s">
        <v>183</v>
      </c>
      <c r="W27" s="62"/>
      <c r="X27" s="62" t="str">
        <f t="shared" si="19"/>
        <v>〇</v>
      </c>
      <c r="Y27" s="62" t="str">
        <f t="shared" si="20"/>
        <v/>
      </c>
      <c r="Z27" s="62" t="str">
        <f t="shared" si="21"/>
        <v>〇</v>
      </c>
      <c r="AA27" s="62" t="str">
        <f t="shared" si="22"/>
        <v>〇</v>
      </c>
      <c r="AB27" s="62" t="str">
        <f t="shared" si="23"/>
        <v>〇</v>
      </c>
      <c r="AC27" s="62" t="str">
        <f t="shared" si="24"/>
        <v>〇</v>
      </c>
      <c r="AD27" s="62" t="str">
        <f t="shared" si="25"/>
        <v>〇</v>
      </c>
      <c r="AE27" s="62" t="str">
        <f t="shared" si="26"/>
        <v>〇</v>
      </c>
      <c r="AF27" s="60" t="b">
        <f t="shared" si="27"/>
        <v>0</v>
      </c>
      <c r="AG27" s="60"/>
    </row>
    <row r="28" spans="1:33" ht="45">
      <c r="A28" s="52"/>
      <c r="B28" s="58"/>
      <c r="C28" s="71" t="s">
        <v>1774</v>
      </c>
      <c r="D28" s="71" t="s">
        <v>689</v>
      </c>
      <c r="E28" s="107" t="s">
        <v>1775</v>
      </c>
      <c r="F28" s="60" t="s">
        <v>1747</v>
      </c>
      <c r="G28" s="60" t="s">
        <v>1747</v>
      </c>
      <c r="H28" s="60" t="s">
        <v>356</v>
      </c>
      <c r="I28" s="60" t="s">
        <v>356</v>
      </c>
      <c r="J28" s="60" t="s">
        <v>1747</v>
      </c>
      <c r="K28" s="60" t="s">
        <v>1747</v>
      </c>
      <c r="L28" s="60" t="s">
        <v>1747</v>
      </c>
      <c r="M28" s="60" t="s">
        <v>1747</v>
      </c>
      <c r="N28" s="61"/>
      <c r="O28" s="61"/>
      <c r="P28" s="123"/>
      <c r="Q28" s="243"/>
      <c r="R28" s="111" cm="1">
        <f t="array" ref="R28">IF(AF28=TRUE,_xlfn.IFS(P28=1,2,P28="",IF(Q28="",1,2)),0)</f>
        <v>0</v>
      </c>
      <c r="S28" s="62" t="s">
        <v>255</v>
      </c>
      <c r="T28" s="62" t="s">
        <v>183</v>
      </c>
      <c r="U28" s="62" t="s">
        <v>183</v>
      </c>
      <c r="V28" s="62" t="s">
        <v>183</v>
      </c>
      <c r="W28" s="62"/>
      <c r="X28" s="62" t="str">
        <f t="shared" si="19"/>
        <v>〇</v>
      </c>
      <c r="Y28" s="62" t="str">
        <f t="shared" si="20"/>
        <v>〇</v>
      </c>
      <c r="Z28" s="62" t="str">
        <f t="shared" si="21"/>
        <v/>
      </c>
      <c r="AA28" s="62" t="str">
        <f t="shared" si="22"/>
        <v/>
      </c>
      <c r="AB28" s="62" t="str">
        <f t="shared" si="23"/>
        <v>〇</v>
      </c>
      <c r="AC28" s="62" t="str">
        <f t="shared" si="24"/>
        <v>〇</v>
      </c>
      <c r="AD28" s="62" t="str">
        <f t="shared" si="25"/>
        <v>〇</v>
      </c>
      <c r="AE28" s="62" t="str">
        <f t="shared" si="26"/>
        <v>〇</v>
      </c>
      <c r="AF28" s="60" t="b">
        <f t="shared" si="27"/>
        <v>0</v>
      </c>
      <c r="AG28" s="60"/>
    </row>
    <row r="29" spans="1:33" ht="112.5">
      <c r="A29" s="52"/>
      <c r="B29" s="58"/>
      <c r="C29" s="71" t="s">
        <v>1776</v>
      </c>
      <c r="D29" s="71" t="s">
        <v>1777</v>
      </c>
      <c r="E29" s="107" t="s">
        <v>1778</v>
      </c>
      <c r="F29" s="60" t="s">
        <v>356</v>
      </c>
      <c r="G29" s="60" t="s">
        <v>356</v>
      </c>
      <c r="H29" s="60" t="s">
        <v>356</v>
      </c>
      <c r="I29" s="60" t="s">
        <v>356</v>
      </c>
      <c r="J29" s="60" t="s">
        <v>356</v>
      </c>
      <c r="K29" s="60" t="s">
        <v>1747</v>
      </c>
      <c r="L29" s="60" t="s">
        <v>1747</v>
      </c>
      <c r="M29" s="60" t="s">
        <v>1747</v>
      </c>
      <c r="N29" s="61"/>
      <c r="O29" s="61"/>
      <c r="P29" s="123"/>
      <c r="Q29" s="243"/>
      <c r="R29" s="111" cm="1">
        <f t="array" ref="R29">IF(AF29=TRUE,_xlfn.IFS(P29=1,2,P29="",IF(Q29="",1,2)),0)</f>
        <v>0</v>
      </c>
      <c r="S29" s="62" t="s">
        <v>255</v>
      </c>
      <c r="T29" s="62" t="s">
        <v>183</v>
      </c>
      <c r="U29" s="62" t="s">
        <v>183</v>
      </c>
      <c r="V29" s="62" t="s">
        <v>183</v>
      </c>
      <c r="W29" s="62"/>
      <c r="X29" s="62" t="str">
        <f t="shared" si="19"/>
        <v/>
      </c>
      <c r="Y29" s="62" t="str">
        <f t="shared" si="20"/>
        <v/>
      </c>
      <c r="Z29" s="62" t="str">
        <f t="shared" si="21"/>
        <v/>
      </c>
      <c r="AA29" s="62" t="str">
        <f t="shared" si="22"/>
        <v/>
      </c>
      <c r="AB29" s="62" t="str">
        <f t="shared" si="23"/>
        <v/>
      </c>
      <c r="AC29" s="62" t="str">
        <f t="shared" si="24"/>
        <v>〇</v>
      </c>
      <c r="AD29" s="62" t="str">
        <f t="shared" si="25"/>
        <v>〇</v>
      </c>
      <c r="AE29" s="62" t="str">
        <f t="shared" si="26"/>
        <v>〇</v>
      </c>
      <c r="AF29" s="60" t="b">
        <f t="shared" si="27"/>
        <v>0</v>
      </c>
      <c r="AG29" s="60"/>
    </row>
    <row r="30" spans="1:33" ht="22.5">
      <c r="A30" s="52"/>
      <c r="B30" s="58" t="s">
        <v>1779</v>
      </c>
      <c r="C30" s="115"/>
      <c r="D30" s="115"/>
      <c r="E30" s="84"/>
      <c r="F30" s="58"/>
      <c r="G30" s="58"/>
      <c r="H30" s="58"/>
      <c r="I30" s="58"/>
      <c r="J30" s="58"/>
      <c r="K30" s="58"/>
      <c r="L30" s="58"/>
      <c r="M30" s="58"/>
      <c r="N30" s="59"/>
      <c r="O30" s="59"/>
      <c r="P30" s="122"/>
      <c r="Q30" s="244"/>
      <c r="R30" s="244"/>
      <c r="S30" s="58"/>
      <c r="T30" s="58"/>
      <c r="U30" s="58"/>
      <c r="V30" s="58"/>
      <c r="W30" s="58"/>
      <c r="X30" s="58"/>
      <c r="Y30" s="58"/>
      <c r="Z30" s="58"/>
      <c r="AA30" s="58"/>
      <c r="AB30" s="58"/>
      <c r="AC30" s="58"/>
      <c r="AD30" s="58"/>
      <c r="AE30" s="58"/>
      <c r="AF30" s="58" t="s">
        <v>268</v>
      </c>
      <c r="AG30" s="58"/>
    </row>
    <row r="31" spans="1:33" ht="112.5">
      <c r="A31" s="52"/>
      <c r="B31" s="58"/>
      <c r="C31" s="71" t="s">
        <v>1780</v>
      </c>
      <c r="D31" s="71" t="s">
        <v>693</v>
      </c>
      <c r="E31" s="107" t="s">
        <v>1781</v>
      </c>
      <c r="F31" s="60" t="s">
        <v>254</v>
      </c>
      <c r="G31" s="60" t="s">
        <v>254</v>
      </c>
      <c r="H31" s="60" t="s">
        <v>254</v>
      </c>
      <c r="I31" s="60" t="s">
        <v>254</v>
      </c>
      <c r="J31" s="60" t="s">
        <v>254</v>
      </c>
      <c r="K31" s="60" t="s">
        <v>1747</v>
      </c>
      <c r="L31" s="60" t="s">
        <v>1747</v>
      </c>
      <c r="M31" s="60" t="s">
        <v>1747</v>
      </c>
      <c r="N31" s="61"/>
      <c r="O31" s="61"/>
      <c r="P31" s="123"/>
      <c r="Q31" s="243"/>
      <c r="R31" s="111" cm="1">
        <f t="array" ref="R31">IF(AF31=TRUE,_xlfn.IFS(P31=1,2,P31="",IF(Q31="",1,2)),0)</f>
        <v>0</v>
      </c>
      <c r="S31" s="62" t="s">
        <v>255</v>
      </c>
      <c r="T31" s="62" t="s">
        <v>183</v>
      </c>
      <c r="U31" s="62" t="s">
        <v>183</v>
      </c>
      <c r="V31" s="62" t="s">
        <v>183</v>
      </c>
      <c r="W31" s="62"/>
      <c r="X31" s="62" t="str">
        <f t="shared" ref="X31:X39" si="28">IF(F31="Required","",IF(F31="Recommended","","〇"))</f>
        <v/>
      </c>
      <c r="Y31" s="62" t="str">
        <f t="shared" ref="Y31:Y39" si="29">IF(G31="Required","",IF(G31="Recommended","","〇"))</f>
        <v/>
      </c>
      <c r="Z31" s="62" t="str">
        <f t="shared" ref="Z31:Z39" si="30">IF(H31="Required","",IF(H31="Recommended","","〇"))</f>
        <v/>
      </c>
      <c r="AA31" s="62" t="str">
        <f t="shared" ref="AA31:AA39" si="31">IF(I31="Required","",IF(I31="Recommended","","〇"))</f>
        <v/>
      </c>
      <c r="AB31" s="62" t="str">
        <f t="shared" ref="AB31:AB39" si="32">IF(J31="Required","",IF(J31="Recommended","","〇"))</f>
        <v/>
      </c>
      <c r="AC31" s="62" t="str">
        <f t="shared" ref="AC31:AC39" si="33">IF(K31="Required","",IF(K31="Recommended","","〇"))</f>
        <v>〇</v>
      </c>
      <c r="AD31" s="62" t="str">
        <f t="shared" ref="AD31:AD39" si="34">IF(L31="Required","",IF(L31="Recommended","","〇"))</f>
        <v>〇</v>
      </c>
      <c r="AE31" s="62" t="str">
        <f t="shared" ref="AE31:AE39" si="35">IF(M31="Required","",IF(M31="Recommended","","〇"))</f>
        <v>〇</v>
      </c>
      <c r="AF31" s="60" t="b">
        <f t="shared" ref="AF31:AF39" si="36">AND(OR(AND($S$5=TRUE,$S31&lt;&gt;""),AND($T$5=TRUE,$T31&lt;&gt;""),AND($U$5=TRUE,$U31&lt;&gt;"")),AND($V$5=TRUE,$V31&lt;&gt;""),OR(IF($W$5=TRUE,IF($W31&lt;&gt;"",FALSE,TRUE),FALSE),IF($X$5=TRUE,IF($X31&lt;&gt;"",FALSE,TRUE),FALSE),IF($Y$5=TRUE,IF($Y31&lt;&gt;"",FALSE,TRUE),FALSE),IF($Z$5=TRUE,IF($Z31&lt;&gt;"",FALSE,TRUE),FALSE),IF($AA$5=TRUE,IF($AA31&lt;&gt;"",FALSE,TRUE),FALSE),IF($AB$5=TRUE,IF($AB31&lt;&gt;"",FALSE,TRUE),FALSE),IF($AC$5=TRUE,IF($AC31&lt;&gt;"",FALSE,TRUE),FALSE),IF($AD$5=TRUE,IF($AD31&lt;&gt;"",FALSE,TRUE),FALSE),IF($AE$5=TRUE,IF($AE31&lt;&gt;"",FALSE,TRUE),FALSE)))</f>
        <v>0</v>
      </c>
      <c r="AG31" s="60"/>
    </row>
    <row r="32" spans="1:33" ht="45">
      <c r="A32" s="52"/>
      <c r="B32" s="58"/>
      <c r="C32" s="71" t="s">
        <v>1782</v>
      </c>
      <c r="D32" s="71" t="s">
        <v>695</v>
      </c>
      <c r="E32" s="107" t="s">
        <v>1783</v>
      </c>
      <c r="F32" s="60" t="s">
        <v>254</v>
      </c>
      <c r="G32" s="60" t="s">
        <v>254</v>
      </c>
      <c r="H32" s="60" t="s">
        <v>356</v>
      </c>
      <c r="I32" s="60" t="s">
        <v>356</v>
      </c>
      <c r="J32" s="60" t="s">
        <v>1747</v>
      </c>
      <c r="K32" s="60" t="s">
        <v>1747</v>
      </c>
      <c r="L32" s="60" t="s">
        <v>1747</v>
      </c>
      <c r="M32" s="60" t="s">
        <v>1747</v>
      </c>
      <c r="N32" s="61"/>
      <c r="O32" s="61"/>
      <c r="P32" s="123"/>
      <c r="Q32" s="243"/>
      <c r="R32" s="111" cm="1">
        <f t="array" ref="R32">IF(AF32=TRUE,_xlfn.IFS(P32=1,2,P32="",IF(Q32="",1,2)),0)</f>
        <v>0</v>
      </c>
      <c r="S32" s="62" t="s">
        <v>255</v>
      </c>
      <c r="T32" s="62" t="s">
        <v>183</v>
      </c>
      <c r="U32" s="62" t="s">
        <v>183</v>
      </c>
      <c r="V32" s="62" t="s">
        <v>183</v>
      </c>
      <c r="W32" s="62"/>
      <c r="X32" s="62" t="str">
        <f t="shared" si="28"/>
        <v/>
      </c>
      <c r="Y32" s="62" t="str">
        <f t="shared" si="29"/>
        <v/>
      </c>
      <c r="Z32" s="62" t="str">
        <f t="shared" si="30"/>
        <v/>
      </c>
      <c r="AA32" s="62" t="str">
        <f t="shared" si="31"/>
        <v/>
      </c>
      <c r="AB32" s="62" t="str">
        <f t="shared" si="32"/>
        <v>〇</v>
      </c>
      <c r="AC32" s="62" t="str">
        <f t="shared" si="33"/>
        <v>〇</v>
      </c>
      <c r="AD32" s="62" t="str">
        <f t="shared" si="34"/>
        <v>〇</v>
      </c>
      <c r="AE32" s="62" t="str">
        <f t="shared" si="35"/>
        <v>〇</v>
      </c>
      <c r="AF32" s="60" t="b">
        <f t="shared" si="36"/>
        <v>0</v>
      </c>
      <c r="AG32" s="60"/>
    </row>
    <row r="33" spans="1:33" ht="45">
      <c r="A33" s="52"/>
      <c r="B33" s="58"/>
      <c r="C33" s="71" t="s">
        <v>1784</v>
      </c>
      <c r="D33" s="71" t="s">
        <v>698</v>
      </c>
      <c r="E33" s="107" t="s">
        <v>1785</v>
      </c>
      <c r="F33" s="60" t="s">
        <v>1747</v>
      </c>
      <c r="G33" s="60" t="s">
        <v>1747</v>
      </c>
      <c r="H33" s="60" t="s">
        <v>254</v>
      </c>
      <c r="I33" s="60" t="s">
        <v>254</v>
      </c>
      <c r="J33" s="60" t="s">
        <v>1747</v>
      </c>
      <c r="K33" s="60" t="s">
        <v>1747</v>
      </c>
      <c r="L33" s="60" t="s">
        <v>1747</v>
      </c>
      <c r="M33" s="60" t="s">
        <v>1747</v>
      </c>
      <c r="N33" s="61"/>
      <c r="O33" s="61"/>
      <c r="P33" s="123"/>
      <c r="Q33" s="243"/>
      <c r="R33" s="111" cm="1">
        <f t="array" ref="R33">IF(AF33=TRUE,_xlfn.IFS(P33=1,2,P33="",IF(Q33="",1,2)),0)</f>
        <v>0</v>
      </c>
      <c r="S33" s="62" t="s">
        <v>255</v>
      </c>
      <c r="T33" s="62" t="s">
        <v>183</v>
      </c>
      <c r="U33" s="62" t="s">
        <v>183</v>
      </c>
      <c r="V33" s="62" t="s">
        <v>183</v>
      </c>
      <c r="W33" s="62"/>
      <c r="X33" s="62" t="str">
        <f t="shared" si="28"/>
        <v>〇</v>
      </c>
      <c r="Y33" s="62" t="str">
        <f t="shared" si="29"/>
        <v>〇</v>
      </c>
      <c r="Z33" s="62" t="str">
        <f t="shared" si="30"/>
        <v/>
      </c>
      <c r="AA33" s="62" t="str">
        <f t="shared" si="31"/>
        <v/>
      </c>
      <c r="AB33" s="62" t="str">
        <f t="shared" si="32"/>
        <v>〇</v>
      </c>
      <c r="AC33" s="62" t="str">
        <f t="shared" si="33"/>
        <v>〇</v>
      </c>
      <c r="AD33" s="62" t="str">
        <f t="shared" si="34"/>
        <v>〇</v>
      </c>
      <c r="AE33" s="62" t="str">
        <f t="shared" si="35"/>
        <v>〇</v>
      </c>
      <c r="AF33" s="60" t="b">
        <f t="shared" si="36"/>
        <v>0</v>
      </c>
      <c r="AG33" s="60"/>
    </row>
    <row r="34" spans="1:33" ht="112.5">
      <c r="A34" s="52"/>
      <c r="B34" s="58"/>
      <c r="C34" s="71" t="s">
        <v>1786</v>
      </c>
      <c r="D34" s="71" t="s">
        <v>701</v>
      </c>
      <c r="E34" s="107" t="s">
        <v>1787</v>
      </c>
      <c r="F34" s="60" t="s">
        <v>254</v>
      </c>
      <c r="G34" s="60" t="s">
        <v>254</v>
      </c>
      <c r="H34" s="60" t="s">
        <v>254</v>
      </c>
      <c r="I34" s="60" t="s">
        <v>254</v>
      </c>
      <c r="J34" s="60" t="s">
        <v>1747</v>
      </c>
      <c r="K34" s="60" t="s">
        <v>1747</v>
      </c>
      <c r="L34" s="60" t="s">
        <v>1747</v>
      </c>
      <c r="M34" s="60" t="s">
        <v>1747</v>
      </c>
      <c r="N34" s="61"/>
      <c r="O34" s="61"/>
      <c r="P34" s="123"/>
      <c r="Q34" s="243"/>
      <c r="R34" s="111" cm="1">
        <f t="array" ref="R34">IF(AF34=TRUE,_xlfn.IFS(P34=1,2,P34="",IF(Q34="",1,2)),0)</f>
        <v>0</v>
      </c>
      <c r="S34" s="62" t="s">
        <v>255</v>
      </c>
      <c r="T34" s="62" t="s">
        <v>183</v>
      </c>
      <c r="U34" s="62" t="s">
        <v>183</v>
      </c>
      <c r="V34" s="62" t="s">
        <v>183</v>
      </c>
      <c r="W34" s="62"/>
      <c r="X34" s="62" t="str">
        <f t="shared" si="28"/>
        <v/>
      </c>
      <c r="Y34" s="62" t="str">
        <f t="shared" si="29"/>
        <v/>
      </c>
      <c r="Z34" s="62" t="str">
        <f t="shared" si="30"/>
        <v/>
      </c>
      <c r="AA34" s="62" t="str">
        <f t="shared" si="31"/>
        <v/>
      </c>
      <c r="AB34" s="62" t="str">
        <f t="shared" si="32"/>
        <v>〇</v>
      </c>
      <c r="AC34" s="62" t="str">
        <f t="shared" si="33"/>
        <v>〇</v>
      </c>
      <c r="AD34" s="62" t="str">
        <f t="shared" si="34"/>
        <v>〇</v>
      </c>
      <c r="AE34" s="62" t="str">
        <f t="shared" si="35"/>
        <v>〇</v>
      </c>
      <c r="AF34" s="60" t="b">
        <f t="shared" si="36"/>
        <v>0</v>
      </c>
      <c r="AG34" s="60"/>
    </row>
    <row r="35" spans="1:33" ht="67.5">
      <c r="A35" s="52"/>
      <c r="B35" s="58"/>
      <c r="C35" s="71" t="s">
        <v>1788</v>
      </c>
      <c r="D35" s="71" t="s">
        <v>703</v>
      </c>
      <c r="E35" s="107" t="s">
        <v>1789</v>
      </c>
      <c r="F35" s="60" t="s">
        <v>356</v>
      </c>
      <c r="G35" s="60" t="s">
        <v>356</v>
      </c>
      <c r="H35" s="60" t="s">
        <v>356</v>
      </c>
      <c r="I35" s="60" t="s">
        <v>356</v>
      </c>
      <c r="J35" s="60" t="s">
        <v>1747</v>
      </c>
      <c r="K35" s="60" t="s">
        <v>1747</v>
      </c>
      <c r="L35" s="60" t="s">
        <v>1747</v>
      </c>
      <c r="M35" s="60" t="s">
        <v>1747</v>
      </c>
      <c r="N35" s="61"/>
      <c r="O35" s="61"/>
      <c r="P35" s="123"/>
      <c r="Q35" s="243"/>
      <c r="R35" s="111" cm="1">
        <f t="array" ref="R35">IF(AF35=TRUE,_xlfn.IFS(P35=1,2,P35="",IF(Q35="",1,2)),0)</f>
        <v>0</v>
      </c>
      <c r="S35" s="62" t="s">
        <v>255</v>
      </c>
      <c r="T35" s="62" t="s">
        <v>183</v>
      </c>
      <c r="U35" s="62" t="s">
        <v>183</v>
      </c>
      <c r="V35" s="62" t="s">
        <v>183</v>
      </c>
      <c r="W35" s="62"/>
      <c r="X35" s="62" t="str">
        <f t="shared" si="28"/>
        <v/>
      </c>
      <c r="Y35" s="62" t="str">
        <f t="shared" si="29"/>
        <v/>
      </c>
      <c r="Z35" s="62" t="str">
        <f t="shared" si="30"/>
        <v/>
      </c>
      <c r="AA35" s="62" t="str">
        <f t="shared" si="31"/>
        <v/>
      </c>
      <c r="AB35" s="62" t="str">
        <f t="shared" si="32"/>
        <v>〇</v>
      </c>
      <c r="AC35" s="62" t="str">
        <f t="shared" si="33"/>
        <v>〇</v>
      </c>
      <c r="AD35" s="62" t="str">
        <f t="shared" si="34"/>
        <v>〇</v>
      </c>
      <c r="AE35" s="62" t="str">
        <f t="shared" si="35"/>
        <v>〇</v>
      </c>
      <c r="AF35" s="60" t="b">
        <f t="shared" si="36"/>
        <v>0</v>
      </c>
      <c r="AG35" s="60"/>
    </row>
    <row r="36" spans="1:33" ht="45">
      <c r="A36" s="52"/>
      <c r="B36" s="58"/>
      <c r="C36" s="71" t="s">
        <v>1790</v>
      </c>
      <c r="D36" s="71" t="s">
        <v>706</v>
      </c>
      <c r="E36" s="107" t="s">
        <v>1791</v>
      </c>
      <c r="F36" s="60" t="s">
        <v>1747</v>
      </c>
      <c r="G36" s="60" t="s">
        <v>1747</v>
      </c>
      <c r="H36" s="60" t="s">
        <v>1747</v>
      </c>
      <c r="I36" s="60" t="s">
        <v>1747</v>
      </c>
      <c r="J36" s="60" t="s">
        <v>1747</v>
      </c>
      <c r="K36" s="60" t="s">
        <v>254</v>
      </c>
      <c r="L36" s="60" t="s">
        <v>254</v>
      </c>
      <c r="M36" s="60" t="s">
        <v>1747</v>
      </c>
      <c r="N36" s="61"/>
      <c r="O36" s="61"/>
      <c r="P36" s="123"/>
      <c r="Q36" s="243"/>
      <c r="R36" s="111" cm="1">
        <f t="array" ref="R36">IF(AF36=TRUE,_xlfn.IFS(P36=1,2,P36="",IF(Q36="",1,2)),0)</f>
        <v>0</v>
      </c>
      <c r="S36" s="62" t="s">
        <v>255</v>
      </c>
      <c r="T36" s="62" t="s">
        <v>183</v>
      </c>
      <c r="U36" s="62" t="s">
        <v>183</v>
      </c>
      <c r="V36" s="62" t="s">
        <v>183</v>
      </c>
      <c r="W36" s="62"/>
      <c r="X36" s="62" t="str">
        <f t="shared" si="28"/>
        <v>〇</v>
      </c>
      <c r="Y36" s="62" t="str">
        <f t="shared" si="29"/>
        <v>〇</v>
      </c>
      <c r="Z36" s="62" t="str">
        <f t="shared" si="30"/>
        <v>〇</v>
      </c>
      <c r="AA36" s="62" t="str">
        <f t="shared" si="31"/>
        <v>〇</v>
      </c>
      <c r="AB36" s="62" t="str">
        <f t="shared" si="32"/>
        <v>〇</v>
      </c>
      <c r="AC36" s="62" t="str">
        <f t="shared" si="33"/>
        <v/>
      </c>
      <c r="AD36" s="62" t="str">
        <f t="shared" si="34"/>
        <v/>
      </c>
      <c r="AE36" s="62" t="str">
        <f t="shared" si="35"/>
        <v>〇</v>
      </c>
      <c r="AF36" s="60" t="b">
        <f t="shared" si="36"/>
        <v>0</v>
      </c>
      <c r="AG36" s="60"/>
    </row>
    <row r="37" spans="1:33" ht="45">
      <c r="A37" s="52"/>
      <c r="B37" s="58"/>
      <c r="C37" s="71" t="s">
        <v>1792</v>
      </c>
      <c r="D37" s="71" t="s">
        <v>1709</v>
      </c>
      <c r="E37" s="107" t="s">
        <v>1793</v>
      </c>
      <c r="F37" s="60" t="s">
        <v>1747</v>
      </c>
      <c r="G37" s="60" t="s">
        <v>1747</v>
      </c>
      <c r="H37" s="60" t="s">
        <v>1747</v>
      </c>
      <c r="I37" s="60" t="s">
        <v>1747</v>
      </c>
      <c r="J37" s="60" t="s">
        <v>1747</v>
      </c>
      <c r="K37" s="60" t="s">
        <v>1747</v>
      </c>
      <c r="L37" s="60" t="s">
        <v>1747</v>
      </c>
      <c r="M37" s="60" t="s">
        <v>254</v>
      </c>
      <c r="N37" s="61"/>
      <c r="O37" s="61"/>
      <c r="P37" s="123"/>
      <c r="Q37" s="243"/>
      <c r="R37" s="111" cm="1">
        <f t="array" ref="R37">IF(AF37=TRUE,_xlfn.IFS(P37=1,2,P37="",IF(Q37="",1,2)),0)</f>
        <v>0</v>
      </c>
      <c r="S37" s="62" t="s">
        <v>255</v>
      </c>
      <c r="T37" s="62" t="s">
        <v>183</v>
      </c>
      <c r="U37" s="62" t="s">
        <v>183</v>
      </c>
      <c r="V37" s="62" t="s">
        <v>183</v>
      </c>
      <c r="W37" s="62"/>
      <c r="X37" s="62" t="str">
        <f t="shared" si="28"/>
        <v>〇</v>
      </c>
      <c r="Y37" s="62" t="str">
        <f t="shared" si="29"/>
        <v>〇</v>
      </c>
      <c r="Z37" s="62" t="str">
        <f t="shared" si="30"/>
        <v>〇</v>
      </c>
      <c r="AA37" s="62" t="str">
        <f t="shared" si="31"/>
        <v>〇</v>
      </c>
      <c r="AB37" s="62" t="str">
        <f t="shared" si="32"/>
        <v>〇</v>
      </c>
      <c r="AC37" s="62" t="str">
        <f t="shared" si="33"/>
        <v>〇</v>
      </c>
      <c r="AD37" s="62" t="str">
        <f t="shared" si="34"/>
        <v>〇</v>
      </c>
      <c r="AE37" s="62" t="str">
        <f t="shared" si="35"/>
        <v/>
      </c>
      <c r="AF37" s="60" t="b">
        <f t="shared" si="36"/>
        <v>0</v>
      </c>
      <c r="AG37" s="60"/>
    </row>
    <row r="38" spans="1:33" ht="157.5">
      <c r="A38" s="52"/>
      <c r="B38" s="58"/>
      <c r="C38" s="71" t="s">
        <v>1794</v>
      </c>
      <c r="D38" s="71" t="s">
        <v>1712</v>
      </c>
      <c r="E38" s="107" t="s">
        <v>1795</v>
      </c>
      <c r="F38" s="60" t="s">
        <v>1747</v>
      </c>
      <c r="G38" s="60" t="s">
        <v>356</v>
      </c>
      <c r="H38" s="60" t="s">
        <v>1747</v>
      </c>
      <c r="I38" s="60" t="s">
        <v>356</v>
      </c>
      <c r="J38" s="60" t="s">
        <v>1747</v>
      </c>
      <c r="K38" s="60" t="s">
        <v>356</v>
      </c>
      <c r="L38" s="60" t="s">
        <v>356</v>
      </c>
      <c r="M38" s="60" t="s">
        <v>1747</v>
      </c>
      <c r="N38" s="61"/>
      <c r="O38" s="61"/>
      <c r="P38" s="123"/>
      <c r="Q38" s="243"/>
      <c r="R38" s="111" cm="1">
        <f t="array" ref="R38">IF(AF38=TRUE,_xlfn.IFS(P38=1,2,P38="",IF(Q38="",1,2)),0)</f>
        <v>0</v>
      </c>
      <c r="S38" s="62" t="s">
        <v>255</v>
      </c>
      <c r="T38" s="62" t="s">
        <v>183</v>
      </c>
      <c r="U38" s="62" t="s">
        <v>183</v>
      </c>
      <c r="V38" s="62" t="s">
        <v>183</v>
      </c>
      <c r="W38" s="62"/>
      <c r="X38" s="62" t="str">
        <f t="shared" si="28"/>
        <v>〇</v>
      </c>
      <c r="Y38" s="62" t="str">
        <f t="shared" si="29"/>
        <v/>
      </c>
      <c r="Z38" s="62" t="str">
        <f t="shared" si="30"/>
        <v>〇</v>
      </c>
      <c r="AA38" s="62" t="str">
        <f t="shared" si="31"/>
        <v/>
      </c>
      <c r="AB38" s="62" t="str">
        <f t="shared" si="32"/>
        <v>〇</v>
      </c>
      <c r="AC38" s="62" t="str">
        <f t="shared" si="33"/>
        <v/>
      </c>
      <c r="AD38" s="62" t="str">
        <f t="shared" si="34"/>
        <v/>
      </c>
      <c r="AE38" s="62" t="str">
        <f t="shared" si="35"/>
        <v>〇</v>
      </c>
      <c r="AF38" s="60" t="b">
        <f t="shared" si="36"/>
        <v>0</v>
      </c>
      <c r="AG38" s="60"/>
    </row>
    <row r="39" spans="1:33" ht="112.5">
      <c r="A39" s="52"/>
      <c r="B39" s="58"/>
      <c r="C39" s="71" t="s">
        <v>1796</v>
      </c>
      <c r="D39" s="71" t="s">
        <v>1715</v>
      </c>
      <c r="E39" s="107" t="s">
        <v>1797</v>
      </c>
      <c r="F39" s="60" t="s">
        <v>254</v>
      </c>
      <c r="G39" s="60" t="s">
        <v>254</v>
      </c>
      <c r="H39" s="60" t="s">
        <v>254</v>
      </c>
      <c r="I39" s="60" t="s">
        <v>254</v>
      </c>
      <c r="J39" s="60" t="s">
        <v>1747</v>
      </c>
      <c r="K39" s="60" t="s">
        <v>1747</v>
      </c>
      <c r="L39" s="60" t="s">
        <v>1747</v>
      </c>
      <c r="M39" s="60" t="s">
        <v>1747</v>
      </c>
      <c r="N39" s="61"/>
      <c r="O39" s="61"/>
      <c r="P39" s="123"/>
      <c r="Q39" s="243"/>
      <c r="R39" s="111" cm="1">
        <f t="array" ref="R39">IF(AF39=TRUE,_xlfn.IFS(P39=1,2,P39="",IF(Q39="",1,2)),0)</f>
        <v>0</v>
      </c>
      <c r="S39" s="62" t="s">
        <v>255</v>
      </c>
      <c r="T39" s="62" t="s">
        <v>183</v>
      </c>
      <c r="U39" s="62" t="s">
        <v>183</v>
      </c>
      <c r="V39" s="62" t="s">
        <v>183</v>
      </c>
      <c r="W39" s="62"/>
      <c r="X39" s="62" t="str">
        <f t="shared" si="28"/>
        <v/>
      </c>
      <c r="Y39" s="62" t="str">
        <f t="shared" si="29"/>
        <v/>
      </c>
      <c r="Z39" s="62" t="str">
        <f t="shared" si="30"/>
        <v/>
      </c>
      <c r="AA39" s="62" t="str">
        <f t="shared" si="31"/>
        <v/>
      </c>
      <c r="AB39" s="62" t="str">
        <f t="shared" si="32"/>
        <v>〇</v>
      </c>
      <c r="AC39" s="62" t="str">
        <f t="shared" si="33"/>
        <v>〇</v>
      </c>
      <c r="AD39" s="62" t="str">
        <f t="shared" si="34"/>
        <v>〇</v>
      </c>
      <c r="AE39" s="62" t="str">
        <f t="shared" si="35"/>
        <v>〇</v>
      </c>
      <c r="AF39" s="60" t="b">
        <f t="shared" si="36"/>
        <v>0</v>
      </c>
      <c r="AG39" s="60"/>
    </row>
    <row r="40" spans="1:33" ht="22.5">
      <c r="A40" s="52"/>
      <c r="B40" s="58" t="s">
        <v>1798</v>
      </c>
      <c r="C40" s="115"/>
      <c r="D40" s="115"/>
      <c r="E40" s="84"/>
      <c r="F40" s="58"/>
      <c r="G40" s="58"/>
      <c r="H40" s="58"/>
      <c r="I40" s="58"/>
      <c r="J40" s="58"/>
      <c r="K40" s="58"/>
      <c r="L40" s="58"/>
      <c r="M40" s="58"/>
      <c r="N40" s="59"/>
      <c r="O40" s="59"/>
      <c r="P40" s="122"/>
      <c r="Q40" s="244"/>
      <c r="R40" s="244"/>
      <c r="S40" s="58"/>
      <c r="T40" s="58"/>
      <c r="U40" s="58"/>
      <c r="V40" s="58"/>
      <c r="W40" s="58"/>
      <c r="X40" s="58"/>
      <c r="Y40" s="58"/>
      <c r="Z40" s="58"/>
      <c r="AA40" s="58"/>
      <c r="AB40" s="58"/>
      <c r="AC40" s="58"/>
      <c r="AD40" s="58"/>
      <c r="AE40" s="58"/>
      <c r="AF40" s="58" t="s">
        <v>268</v>
      </c>
      <c r="AG40" s="58"/>
    </row>
    <row r="41" spans="1:33" ht="45">
      <c r="A41" s="52"/>
      <c r="B41" s="58"/>
      <c r="C41" s="71" t="s">
        <v>1799</v>
      </c>
      <c r="D41" s="71" t="s">
        <v>1800</v>
      </c>
      <c r="E41" s="107" t="s">
        <v>1801</v>
      </c>
      <c r="F41" s="60" t="s">
        <v>254</v>
      </c>
      <c r="G41" s="60" t="s">
        <v>254</v>
      </c>
      <c r="H41" s="60" t="s">
        <v>254</v>
      </c>
      <c r="I41" s="60" t="s">
        <v>254</v>
      </c>
      <c r="J41" s="60" t="s">
        <v>254</v>
      </c>
      <c r="K41" s="60" t="s">
        <v>1747</v>
      </c>
      <c r="L41" s="60" t="s">
        <v>1747</v>
      </c>
      <c r="M41" s="60" t="s">
        <v>1747</v>
      </c>
      <c r="N41" s="61"/>
      <c r="O41" s="61"/>
      <c r="P41" s="123"/>
      <c r="Q41" s="243"/>
      <c r="R41" s="111" cm="1">
        <f t="array" ref="R41">IF(AF41=TRUE,_xlfn.IFS(P41=1,2,P41="",IF(Q41="",1,2)),0)</f>
        <v>0</v>
      </c>
      <c r="S41" s="62" t="s">
        <v>255</v>
      </c>
      <c r="T41" s="62" t="s">
        <v>183</v>
      </c>
      <c r="U41" s="62" t="s">
        <v>183</v>
      </c>
      <c r="V41" s="62" t="s">
        <v>183</v>
      </c>
      <c r="W41" s="62"/>
      <c r="X41" s="62" t="str">
        <f t="shared" ref="X41:X45" si="37">IF(F41="Required","",IF(F41="Recommended","","〇"))</f>
        <v/>
      </c>
      <c r="Y41" s="62" t="str">
        <f t="shared" ref="Y41:Y45" si="38">IF(G41="Required","",IF(G41="Recommended","","〇"))</f>
        <v/>
      </c>
      <c r="Z41" s="62" t="str">
        <f t="shared" ref="Z41:Z45" si="39">IF(H41="Required","",IF(H41="Recommended","","〇"))</f>
        <v/>
      </c>
      <c r="AA41" s="62" t="str">
        <f t="shared" ref="AA41:AA45" si="40">IF(I41="Required","",IF(I41="Recommended","","〇"))</f>
        <v/>
      </c>
      <c r="AB41" s="62" t="str">
        <f t="shared" ref="AB41:AB45" si="41">IF(J41="Required","",IF(J41="Recommended","","〇"))</f>
        <v/>
      </c>
      <c r="AC41" s="62" t="str">
        <f t="shared" ref="AC41:AC45" si="42">IF(K41="Required","",IF(K41="Recommended","","〇"))</f>
        <v>〇</v>
      </c>
      <c r="AD41" s="62" t="str">
        <f t="shared" ref="AD41:AD45" si="43">IF(L41="Required","",IF(L41="Recommended","","〇"))</f>
        <v>〇</v>
      </c>
      <c r="AE41" s="62" t="str">
        <f t="shared" ref="AE41:AE45" si="44">IF(M41="Required","",IF(M41="Recommended","","〇"))</f>
        <v>〇</v>
      </c>
      <c r="AF41" s="60" t="b">
        <f t="shared" ref="AF41:AF45" si="45">AND(OR(AND($S$5=TRUE,$S41&lt;&gt;""),AND($T$5=TRUE,$T41&lt;&gt;""),AND($U$5=TRUE,$U41&lt;&gt;"")),AND($V$5=TRUE,$V41&lt;&gt;""),OR(IF($W$5=TRUE,IF($W41&lt;&gt;"",FALSE,TRUE),FALSE),IF($X$5=TRUE,IF($X41&lt;&gt;"",FALSE,TRUE),FALSE),IF($Y$5=TRUE,IF($Y41&lt;&gt;"",FALSE,TRUE),FALSE),IF($Z$5=TRUE,IF($Z41&lt;&gt;"",FALSE,TRUE),FALSE),IF($AA$5=TRUE,IF($AA41&lt;&gt;"",FALSE,TRUE),FALSE),IF($AB$5=TRUE,IF($AB41&lt;&gt;"",FALSE,TRUE),FALSE),IF($AC$5=TRUE,IF($AC41&lt;&gt;"",FALSE,TRUE),FALSE),IF($AD$5=TRUE,IF($AD41&lt;&gt;"",FALSE,TRUE),FALSE),IF($AE$5=TRUE,IF($AE41&lt;&gt;"",FALSE,TRUE),FALSE)))</f>
        <v>0</v>
      </c>
      <c r="AG41" s="60"/>
    </row>
    <row r="42" spans="1:33" ht="112.5">
      <c r="A42" s="52"/>
      <c r="B42" s="58"/>
      <c r="C42" s="71" t="s">
        <v>1802</v>
      </c>
      <c r="D42" s="71" t="s">
        <v>1803</v>
      </c>
      <c r="E42" s="107" t="s">
        <v>1804</v>
      </c>
      <c r="F42" s="60" t="s">
        <v>254</v>
      </c>
      <c r="G42" s="60" t="s">
        <v>254</v>
      </c>
      <c r="H42" s="60" t="s">
        <v>254</v>
      </c>
      <c r="I42" s="60" t="s">
        <v>254</v>
      </c>
      <c r="J42" s="60" t="s">
        <v>1747</v>
      </c>
      <c r="K42" s="60" t="s">
        <v>254</v>
      </c>
      <c r="L42" s="60" t="s">
        <v>254</v>
      </c>
      <c r="M42" s="60" t="s">
        <v>1747</v>
      </c>
      <c r="N42" s="61"/>
      <c r="O42" s="61"/>
      <c r="P42" s="123"/>
      <c r="Q42" s="243"/>
      <c r="R42" s="111" cm="1">
        <f t="array" ref="R42">IF(AF42=TRUE,_xlfn.IFS(P42=1,2,P42="",IF(Q42="",1,2)),0)</f>
        <v>0</v>
      </c>
      <c r="S42" s="62" t="s">
        <v>255</v>
      </c>
      <c r="T42" s="62" t="s">
        <v>183</v>
      </c>
      <c r="U42" s="62" t="s">
        <v>183</v>
      </c>
      <c r="V42" s="62" t="s">
        <v>183</v>
      </c>
      <c r="W42" s="62"/>
      <c r="X42" s="62" t="str">
        <f t="shared" si="37"/>
        <v/>
      </c>
      <c r="Y42" s="62" t="str">
        <f t="shared" si="38"/>
        <v/>
      </c>
      <c r="Z42" s="62" t="str">
        <f t="shared" si="39"/>
        <v/>
      </c>
      <c r="AA42" s="62" t="str">
        <f t="shared" si="40"/>
        <v/>
      </c>
      <c r="AB42" s="62" t="str">
        <f t="shared" si="41"/>
        <v>〇</v>
      </c>
      <c r="AC42" s="62" t="str">
        <f t="shared" si="42"/>
        <v/>
      </c>
      <c r="AD42" s="62" t="str">
        <f t="shared" si="43"/>
        <v/>
      </c>
      <c r="AE42" s="62" t="str">
        <f t="shared" si="44"/>
        <v>〇</v>
      </c>
      <c r="AF42" s="60" t="b">
        <f t="shared" si="45"/>
        <v>0</v>
      </c>
      <c r="AG42" s="60"/>
    </row>
    <row r="43" spans="1:33" ht="112.5">
      <c r="A43" s="52"/>
      <c r="B43" s="58"/>
      <c r="C43" s="71" t="s">
        <v>1805</v>
      </c>
      <c r="D43" s="71" t="s">
        <v>1806</v>
      </c>
      <c r="E43" s="107" t="s">
        <v>1807</v>
      </c>
      <c r="F43" s="60" t="s">
        <v>254</v>
      </c>
      <c r="G43" s="60" t="s">
        <v>254</v>
      </c>
      <c r="H43" s="60" t="s">
        <v>254</v>
      </c>
      <c r="I43" s="60" t="s">
        <v>254</v>
      </c>
      <c r="J43" s="60" t="s">
        <v>1747</v>
      </c>
      <c r="K43" s="60" t="s">
        <v>254</v>
      </c>
      <c r="L43" s="60" t="s">
        <v>254</v>
      </c>
      <c r="M43" s="60" t="s">
        <v>1747</v>
      </c>
      <c r="N43" s="61"/>
      <c r="O43" s="61"/>
      <c r="P43" s="123"/>
      <c r="Q43" s="243"/>
      <c r="R43" s="111" cm="1">
        <f t="array" ref="R43">IF(AF43=TRUE,_xlfn.IFS(P43=1,2,P43="",IF(Q43="",1,2)),0)</f>
        <v>0</v>
      </c>
      <c r="S43" s="62" t="s">
        <v>255</v>
      </c>
      <c r="T43" s="62" t="s">
        <v>183</v>
      </c>
      <c r="U43" s="62" t="s">
        <v>183</v>
      </c>
      <c r="V43" s="62" t="s">
        <v>183</v>
      </c>
      <c r="W43" s="62"/>
      <c r="X43" s="62" t="str">
        <f t="shared" si="37"/>
        <v/>
      </c>
      <c r="Y43" s="62" t="str">
        <f t="shared" si="38"/>
        <v/>
      </c>
      <c r="Z43" s="62" t="str">
        <f t="shared" si="39"/>
        <v/>
      </c>
      <c r="AA43" s="62" t="str">
        <f t="shared" si="40"/>
        <v/>
      </c>
      <c r="AB43" s="62" t="str">
        <f t="shared" si="41"/>
        <v>〇</v>
      </c>
      <c r="AC43" s="62" t="str">
        <f t="shared" si="42"/>
        <v/>
      </c>
      <c r="AD43" s="62" t="str">
        <f t="shared" si="43"/>
        <v/>
      </c>
      <c r="AE43" s="62" t="str">
        <f t="shared" si="44"/>
        <v>〇</v>
      </c>
      <c r="AF43" s="60" t="b">
        <f t="shared" si="45"/>
        <v>0</v>
      </c>
      <c r="AG43" s="60"/>
    </row>
    <row r="44" spans="1:33" ht="45">
      <c r="A44" s="52"/>
      <c r="B44" s="58"/>
      <c r="C44" s="71" t="s">
        <v>1808</v>
      </c>
      <c r="D44" s="71" t="s">
        <v>1809</v>
      </c>
      <c r="E44" s="107" t="s">
        <v>1810</v>
      </c>
      <c r="F44" s="60" t="s">
        <v>254</v>
      </c>
      <c r="G44" s="60" t="s">
        <v>254</v>
      </c>
      <c r="H44" s="60" t="s">
        <v>254</v>
      </c>
      <c r="I44" s="60" t="s">
        <v>254</v>
      </c>
      <c r="J44" s="60" t="s">
        <v>1747</v>
      </c>
      <c r="K44" s="60" t="s">
        <v>254</v>
      </c>
      <c r="L44" s="60" t="s">
        <v>254</v>
      </c>
      <c r="M44" s="60" t="s">
        <v>1747</v>
      </c>
      <c r="N44" s="61"/>
      <c r="O44" s="61"/>
      <c r="P44" s="123"/>
      <c r="Q44" s="243"/>
      <c r="R44" s="111" cm="1">
        <f t="array" ref="R44">IF(AF44=TRUE,_xlfn.IFS(P44=1,2,P44="",IF(Q44="",1,2)),0)</f>
        <v>0</v>
      </c>
      <c r="S44" s="62" t="s">
        <v>255</v>
      </c>
      <c r="T44" s="62" t="s">
        <v>183</v>
      </c>
      <c r="U44" s="62" t="s">
        <v>183</v>
      </c>
      <c r="V44" s="62" t="s">
        <v>183</v>
      </c>
      <c r="W44" s="62"/>
      <c r="X44" s="62" t="str">
        <f t="shared" si="37"/>
        <v/>
      </c>
      <c r="Y44" s="62" t="str">
        <f t="shared" si="38"/>
        <v/>
      </c>
      <c r="Z44" s="62" t="str">
        <f t="shared" si="39"/>
        <v/>
      </c>
      <c r="AA44" s="62" t="str">
        <f t="shared" si="40"/>
        <v/>
      </c>
      <c r="AB44" s="62" t="str">
        <f t="shared" si="41"/>
        <v>〇</v>
      </c>
      <c r="AC44" s="62" t="str">
        <f t="shared" si="42"/>
        <v/>
      </c>
      <c r="AD44" s="62" t="str">
        <f t="shared" si="43"/>
        <v/>
      </c>
      <c r="AE44" s="62" t="str">
        <f t="shared" si="44"/>
        <v>〇</v>
      </c>
      <c r="AF44" s="60" t="b">
        <f t="shared" si="45"/>
        <v>0</v>
      </c>
      <c r="AG44" s="60"/>
    </row>
    <row r="45" spans="1:33" ht="45">
      <c r="A45" s="52"/>
      <c r="B45" s="58"/>
      <c r="C45" s="71" t="s">
        <v>1811</v>
      </c>
      <c r="D45" s="71" t="s">
        <v>1812</v>
      </c>
      <c r="E45" s="107" t="s">
        <v>1813</v>
      </c>
      <c r="F45" s="60" t="s">
        <v>1747</v>
      </c>
      <c r="G45" s="60" t="s">
        <v>254</v>
      </c>
      <c r="H45" s="60" t="s">
        <v>1747</v>
      </c>
      <c r="I45" s="60" t="s">
        <v>254</v>
      </c>
      <c r="J45" s="60" t="s">
        <v>1747</v>
      </c>
      <c r="K45" s="60" t="s">
        <v>254</v>
      </c>
      <c r="L45" s="60" t="s">
        <v>254</v>
      </c>
      <c r="M45" s="60" t="s">
        <v>1747</v>
      </c>
      <c r="N45" s="61"/>
      <c r="O45" s="61"/>
      <c r="P45" s="123"/>
      <c r="Q45" s="243"/>
      <c r="R45" s="111" cm="1">
        <f t="array" ref="R45">IF(AF45=TRUE,_xlfn.IFS(P45=1,2,P45="",IF(Q45="",1,2)),0)</f>
        <v>0</v>
      </c>
      <c r="S45" s="62" t="s">
        <v>255</v>
      </c>
      <c r="T45" s="62" t="s">
        <v>183</v>
      </c>
      <c r="U45" s="62" t="s">
        <v>183</v>
      </c>
      <c r="V45" s="62" t="s">
        <v>183</v>
      </c>
      <c r="W45" s="62"/>
      <c r="X45" s="62" t="str">
        <f t="shared" si="37"/>
        <v>〇</v>
      </c>
      <c r="Y45" s="62" t="str">
        <f t="shared" si="38"/>
        <v/>
      </c>
      <c r="Z45" s="62" t="str">
        <f t="shared" si="39"/>
        <v>〇</v>
      </c>
      <c r="AA45" s="62" t="str">
        <f t="shared" si="40"/>
        <v/>
      </c>
      <c r="AB45" s="62" t="str">
        <f t="shared" si="41"/>
        <v>〇</v>
      </c>
      <c r="AC45" s="62" t="str">
        <f t="shared" si="42"/>
        <v/>
      </c>
      <c r="AD45" s="62" t="str">
        <f t="shared" si="43"/>
        <v/>
      </c>
      <c r="AE45" s="62" t="str">
        <f t="shared" si="44"/>
        <v>〇</v>
      </c>
      <c r="AF45" s="60" t="b">
        <f t="shared" si="45"/>
        <v>0</v>
      </c>
      <c r="AG45" s="60"/>
    </row>
    <row r="46" spans="1:33" ht="22.5">
      <c r="A46" s="52"/>
      <c r="B46" s="58" t="s">
        <v>1814</v>
      </c>
      <c r="C46" s="115"/>
      <c r="D46" s="115"/>
      <c r="E46" s="84"/>
      <c r="F46" s="58"/>
      <c r="G46" s="58"/>
      <c r="H46" s="58"/>
      <c r="I46" s="58"/>
      <c r="J46" s="58"/>
      <c r="K46" s="58"/>
      <c r="L46" s="58"/>
      <c r="M46" s="58"/>
      <c r="N46" s="59"/>
      <c r="O46" s="59"/>
      <c r="P46" s="122"/>
      <c r="Q46" s="244"/>
      <c r="R46" s="244"/>
      <c r="S46" s="58"/>
      <c r="T46" s="58"/>
      <c r="U46" s="58"/>
      <c r="V46" s="58"/>
      <c r="W46" s="58"/>
      <c r="X46" s="58"/>
      <c r="Y46" s="58"/>
      <c r="Z46" s="58"/>
      <c r="AA46" s="58"/>
      <c r="AB46" s="58"/>
      <c r="AC46" s="58"/>
      <c r="AD46" s="58"/>
      <c r="AE46" s="58"/>
      <c r="AF46" s="58" t="s">
        <v>268</v>
      </c>
      <c r="AG46" s="58"/>
    </row>
    <row r="47" spans="1:33" ht="90">
      <c r="A47" s="52"/>
      <c r="B47" s="58"/>
      <c r="C47" s="71" t="s">
        <v>1815</v>
      </c>
      <c r="D47" s="71" t="s">
        <v>1816</v>
      </c>
      <c r="E47" s="107" t="s">
        <v>1817</v>
      </c>
      <c r="F47" s="60" t="s">
        <v>254</v>
      </c>
      <c r="G47" s="60" t="s">
        <v>254</v>
      </c>
      <c r="H47" s="60" t="s">
        <v>254</v>
      </c>
      <c r="I47" s="60" t="s">
        <v>254</v>
      </c>
      <c r="J47" s="60" t="s">
        <v>1747</v>
      </c>
      <c r="K47" s="60" t="s">
        <v>1747</v>
      </c>
      <c r="L47" s="60" t="s">
        <v>1747</v>
      </c>
      <c r="M47" s="60" t="s">
        <v>1747</v>
      </c>
      <c r="N47" s="61"/>
      <c r="O47" s="61"/>
      <c r="P47" s="123"/>
      <c r="Q47" s="243"/>
      <c r="R47" s="111" cm="1">
        <f t="array" ref="R47">IF(AF47=TRUE,_xlfn.IFS(P47=1,2,P47="",IF(Q47="",1,2)),0)</f>
        <v>0</v>
      </c>
      <c r="S47" s="62" t="s">
        <v>255</v>
      </c>
      <c r="T47" s="62" t="s">
        <v>183</v>
      </c>
      <c r="U47" s="62" t="s">
        <v>183</v>
      </c>
      <c r="V47" s="62" t="s">
        <v>183</v>
      </c>
      <c r="W47" s="62"/>
      <c r="X47" s="62" t="str">
        <f t="shared" ref="X47:X54" si="46">IF(F47="Required","",IF(F47="Recommended","","〇"))</f>
        <v/>
      </c>
      <c r="Y47" s="62" t="str">
        <f t="shared" ref="Y47:Y54" si="47">IF(G47="Required","",IF(G47="Recommended","","〇"))</f>
        <v/>
      </c>
      <c r="Z47" s="62" t="str">
        <f t="shared" ref="Z47:Z54" si="48">IF(H47="Required","",IF(H47="Recommended","","〇"))</f>
        <v/>
      </c>
      <c r="AA47" s="62" t="str">
        <f t="shared" ref="AA47:AA54" si="49">IF(I47="Required","",IF(I47="Recommended","","〇"))</f>
        <v/>
      </c>
      <c r="AB47" s="62" t="str">
        <f t="shared" ref="AB47:AB54" si="50">IF(J47="Required","",IF(J47="Recommended","","〇"))</f>
        <v>〇</v>
      </c>
      <c r="AC47" s="62" t="str">
        <f t="shared" ref="AC47:AC54" si="51">IF(K47="Required","",IF(K47="Recommended","","〇"))</f>
        <v>〇</v>
      </c>
      <c r="AD47" s="62" t="str">
        <f t="shared" ref="AD47:AD54" si="52">IF(L47="Required","",IF(L47="Recommended","","〇"))</f>
        <v>〇</v>
      </c>
      <c r="AE47" s="62" t="str">
        <f t="shared" ref="AE47:AE54" si="53">IF(M47="Required","",IF(M47="Recommended","","〇"))</f>
        <v>〇</v>
      </c>
      <c r="AF47" s="60" t="b">
        <f t="shared" ref="AF47:AF54" si="54">AND(OR(AND($S$5=TRUE,$S47&lt;&gt;""),AND($T$5=TRUE,$T47&lt;&gt;""),AND($U$5=TRUE,$U47&lt;&gt;"")),AND($V$5=TRUE,$V47&lt;&gt;""),OR(IF($W$5=TRUE,IF($W47&lt;&gt;"",FALSE,TRUE),FALSE),IF($X$5=TRUE,IF($X47&lt;&gt;"",FALSE,TRUE),FALSE),IF($Y$5=TRUE,IF($Y47&lt;&gt;"",FALSE,TRUE),FALSE),IF($Z$5=TRUE,IF($Z47&lt;&gt;"",FALSE,TRUE),FALSE),IF($AA$5=TRUE,IF($AA47&lt;&gt;"",FALSE,TRUE),FALSE),IF($AB$5=TRUE,IF($AB47&lt;&gt;"",FALSE,TRUE),FALSE),IF($AC$5=TRUE,IF($AC47&lt;&gt;"",FALSE,TRUE),FALSE),IF($AD$5=TRUE,IF($AD47&lt;&gt;"",FALSE,TRUE),FALSE),IF($AE$5=TRUE,IF($AE47&lt;&gt;"",FALSE,TRUE),FALSE)))</f>
        <v>0</v>
      </c>
      <c r="AG47" s="60"/>
    </row>
    <row r="48" spans="1:33" ht="45">
      <c r="A48" s="52"/>
      <c r="B48" s="58"/>
      <c r="C48" s="71" t="s">
        <v>1818</v>
      </c>
      <c r="D48" s="71" t="s">
        <v>1819</v>
      </c>
      <c r="E48" s="107" t="s">
        <v>1820</v>
      </c>
      <c r="F48" s="60" t="s">
        <v>254</v>
      </c>
      <c r="G48" s="60" t="s">
        <v>254</v>
      </c>
      <c r="H48" s="60" t="s">
        <v>254</v>
      </c>
      <c r="I48" s="60" t="s">
        <v>254</v>
      </c>
      <c r="J48" s="60" t="s">
        <v>1747</v>
      </c>
      <c r="K48" s="60" t="s">
        <v>1747</v>
      </c>
      <c r="L48" s="60" t="s">
        <v>1747</v>
      </c>
      <c r="M48" s="60" t="s">
        <v>1747</v>
      </c>
      <c r="N48" s="61"/>
      <c r="O48" s="61"/>
      <c r="P48" s="123"/>
      <c r="Q48" s="243"/>
      <c r="R48" s="111" cm="1">
        <f t="array" ref="R48">IF(AF48=TRUE,_xlfn.IFS(P48=1,2,P48="",IF(Q48="",1,2)),0)</f>
        <v>0</v>
      </c>
      <c r="S48" s="62" t="s">
        <v>255</v>
      </c>
      <c r="T48" s="62" t="s">
        <v>183</v>
      </c>
      <c r="U48" s="62" t="s">
        <v>183</v>
      </c>
      <c r="V48" s="62" t="s">
        <v>183</v>
      </c>
      <c r="W48" s="62"/>
      <c r="X48" s="62" t="str">
        <f t="shared" si="46"/>
        <v/>
      </c>
      <c r="Y48" s="62" t="str">
        <f t="shared" si="47"/>
        <v/>
      </c>
      <c r="Z48" s="62" t="str">
        <f t="shared" si="48"/>
        <v/>
      </c>
      <c r="AA48" s="62" t="str">
        <f t="shared" si="49"/>
        <v/>
      </c>
      <c r="AB48" s="62" t="str">
        <f t="shared" si="50"/>
        <v>〇</v>
      </c>
      <c r="AC48" s="62" t="str">
        <f t="shared" si="51"/>
        <v>〇</v>
      </c>
      <c r="AD48" s="62" t="str">
        <f t="shared" si="52"/>
        <v>〇</v>
      </c>
      <c r="AE48" s="62" t="str">
        <f t="shared" si="53"/>
        <v>〇</v>
      </c>
      <c r="AF48" s="60" t="b">
        <f t="shared" si="54"/>
        <v>0</v>
      </c>
      <c r="AG48" s="60"/>
    </row>
    <row r="49" spans="1:33" ht="67.5">
      <c r="A49" s="52"/>
      <c r="B49" s="58"/>
      <c r="C49" s="71" t="s">
        <v>1821</v>
      </c>
      <c r="D49" s="71" t="s">
        <v>1822</v>
      </c>
      <c r="E49" s="107" t="s">
        <v>1823</v>
      </c>
      <c r="F49" s="60" t="s">
        <v>254</v>
      </c>
      <c r="G49" s="60" t="s">
        <v>254</v>
      </c>
      <c r="H49" s="60" t="s">
        <v>356</v>
      </c>
      <c r="I49" s="60" t="s">
        <v>356</v>
      </c>
      <c r="J49" s="60" t="s">
        <v>1747</v>
      </c>
      <c r="K49" s="60" t="s">
        <v>1747</v>
      </c>
      <c r="L49" s="60" t="s">
        <v>1747</v>
      </c>
      <c r="M49" s="60" t="s">
        <v>1747</v>
      </c>
      <c r="N49" s="61"/>
      <c r="O49" s="61"/>
      <c r="P49" s="123"/>
      <c r="Q49" s="243"/>
      <c r="R49" s="111" cm="1">
        <f t="array" ref="R49">IF(AF49=TRUE,_xlfn.IFS(P49=1,2,P49="",IF(Q49="",1,2)),0)</f>
        <v>0</v>
      </c>
      <c r="S49" s="62" t="s">
        <v>255</v>
      </c>
      <c r="T49" s="62" t="s">
        <v>183</v>
      </c>
      <c r="U49" s="62" t="s">
        <v>183</v>
      </c>
      <c r="V49" s="62" t="s">
        <v>183</v>
      </c>
      <c r="W49" s="62"/>
      <c r="X49" s="62" t="str">
        <f t="shared" si="46"/>
        <v/>
      </c>
      <c r="Y49" s="62" t="str">
        <f t="shared" si="47"/>
        <v/>
      </c>
      <c r="Z49" s="62" t="str">
        <f t="shared" si="48"/>
        <v/>
      </c>
      <c r="AA49" s="62" t="str">
        <f t="shared" si="49"/>
        <v/>
      </c>
      <c r="AB49" s="62" t="str">
        <f t="shared" si="50"/>
        <v>〇</v>
      </c>
      <c r="AC49" s="62" t="str">
        <f t="shared" si="51"/>
        <v>〇</v>
      </c>
      <c r="AD49" s="62" t="str">
        <f t="shared" si="52"/>
        <v>〇</v>
      </c>
      <c r="AE49" s="62" t="str">
        <f t="shared" si="53"/>
        <v>〇</v>
      </c>
      <c r="AF49" s="60" t="b">
        <f t="shared" si="54"/>
        <v>0</v>
      </c>
      <c r="AG49" s="60"/>
    </row>
    <row r="50" spans="1:33" ht="112.5">
      <c r="A50" s="52"/>
      <c r="B50" s="58"/>
      <c r="C50" s="71" t="s">
        <v>1824</v>
      </c>
      <c r="D50" s="71" t="s">
        <v>1825</v>
      </c>
      <c r="E50" s="107" t="s">
        <v>1826</v>
      </c>
      <c r="F50" s="60" t="s">
        <v>254</v>
      </c>
      <c r="G50" s="60" t="s">
        <v>254</v>
      </c>
      <c r="H50" s="60" t="s">
        <v>254</v>
      </c>
      <c r="I50" s="60" t="s">
        <v>254</v>
      </c>
      <c r="J50" s="60" t="s">
        <v>1747</v>
      </c>
      <c r="K50" s="60" t="s">
        <v>1747</v>
      </c>
      <c r="L50" s="60" t="s">
        <v>1747</v>
      </c>
      <c r="M50" s="60" t="s">
        <v>1747</v>
      </c>
      <c r="N50" s="61"/>
      <c r="O50" s="61"/>
      <c r="P50" s="123"/>
      <c r="Q50" s="243"/>
      <c r="R50" s="111" cm="1">
        <f t="array" ref="R50">IF(AF50=TRUE,_xlfn.IFS(P50=1,2,P50="",IF(Q50="",1,2)),0)</f>
        <v>0</v>
      </c>
      <c r="S50" s="62" t="s">
        <v>255</v>
      </c>
      <c r="T50" s="62" t="s">
        <v>183</v>
      </c>
      <c r="U50" s="62" t="s">
        <v>183</v>
      </c>
      <c r="V50" s="62" t="s">
        <v>183</v>
      </c>
      <c r="W50" s="62"/>
      <c r="X50" s="62" t="str">
        <f t="shared" si="46"/>
        <v/>
      </c>
      <c r="Y50" s="62" t="str">
        <f t="shared" si="47"/>
        <v/>
      </c>
      <c r="Z50" s="62" t="str">
        <f t="shared" si="48"/>
        <v/>
      </c>
      <c r="AA50" s="62" t="str">
        <f t="shared" si="49"/>
        <v/>
      </c>
      <c r="AB50" s="62" t="str">
        <f t="shared" si="50"/>
        <v>〇</v>
      </c>
      <c r="AC50" s="62" t="str">
        <f t="shared" si="51"/>
        <v>〇</v>
      </c>
      <c r="AD50" s="62" t="str">
        <f t="shared" si="52"/>
        <v>〇</v>
      </c>
      <c r="AE50" s="62" t="str">
        <f t="shared" si="53"/>
        <v>〇</v>
      </c>
      <c r="AF50" s="60" t="b">
        <f t="shared" si="54"/>
        <v>0</v>
      </c>
      <c r="AG50" s="60"/>
    </row>
    <row r="51" spans="1:33" ht="67.5">
      <c r="A51" s="52"/>
      <c r="B51" s="58"/>
      <c r="C51" s="71" t="s">
        <v>1827</v>
      </c>
      <c r="D51" s="71" t="s">
        <v>1828</v>
      </c>
      <c r="E51" s="107" t="s">
        <v>1829</v>
      </c>
      <c r="F51" s="60" t="s">
        <v>254</v>
      </c>
      <c r="G51" s="60" t="s">
        <v>254</v>
      </c>
      <c r="H51" s="60" t="s">
        <v>254</v>
      </c>
      <c r="I51" s="60" t="s">
        <v>254</v>
      </c>
      <c r="J51" s="60" t="s">
        <v>1747</v>
      </c>
      <c r="K51" s="60" t="s">
        <v>1747</v>
      </c>
      <c r="L51" s="60" t="s">
        <v>1747</v>
      </c>
      <c r="M51" s="60" t="s">
        <v>1747</v>
      </c>
      <c r="N51" s="61"/>
      <c r="O51" s="61"/>
      <c r="P51" s="123"/>
      <c r="Q51" s="243"/>
      <c r="R51" s="111" cm="1">
        <f t="array" ref="R51">IF(AF51=TRUE,_xlfn.IFS(P51=1,2,P51="",IF(Q51="",1,2)),0)</f>
        <v>0</v>
      </c>
      <c r="S51" s="62" t="s">
        <v>255</v>
      </c>
      <c r="T51" s="62" t="s">
        <v>183</v>
      </c>
      <c r="U51" s="62" t="s">
        <v>183</v>
      </c>
      <c r="V51" s="62" t="s">
        <v>183</v>
      </c>
      <c r="W51" s="62"/>
      <c r="X51" s="62" t="str">
        <f t="shared" si="46"/>
        <v/>
      </c>
      <c r="Y51" s="62" t="str">
        <f t="shared" si="47"/>
        <v/>
      </c>
      <c r="Z51" s="62" t="str">
        <f t="shared" si="48"/>
        <v/>
      </c>
      <c r="AA51" s="62" t="str">
        <f t="shared" si="49"/>
        <v/>
      </c>
      <c r="AB51" s="62" t="str">
        <f t="shared" si="50"/>
        <v>〇</v>
      </c>
      <c r="AC51" s="62" t="str">
        <f t="shared" si="51"/>
        <v>〇</v>
      </c>
      <c r="AD51" s="62" t="str">
        <f t="shared" si="52"/>
        <v>〇</v>
      </c>
      <c r="AE51" s="62" t="str">
        <f t="shared" si="53"/>
        <v>〇</v>
      </c>
      <c r="AF51" s="60" t="b">
        <f t="shared" si="54"/>
        <v>0</v>
      </c>
      <c r="AG51" s="60"/>
    </row>
    <row r="52" spans="1:33" ht="45">
      <c r="A52" s="52"/>
      <c r="B52" s="58"/>
      <c r="C52" s="71" t="s">
        <v>1830</v>
      </c>
      <c r="D52" s="71" t="s">
        <v>1831</v>
      </c>
      <c r="E52" s="107" t="s">
        <v>1832</v>
      </c>
      <c r="F52" s="60" t="s">
        <v>254</v>
      </c>
      <c r="G52" s="60" t="s">
        <v>254</v>
      </c>
      <c r="H52" s="60" t="s">
        <v>254</v>
      </c>
      <c r="I52" s="60" t="s">
        <v>254</v>
      </c>
      <c r="J52" s="60" t="s">
        <v>254</v>
      </c>
      <c r="K52" s="60" t="s">
        <v>1747</v>
      </c>
      <c r="L52" s="60" t="s">
        <v>1747</v>
      </c>
      <c r="M52" s="60" t="s">
        <v>1747</v>
      </c>
      <c r="N52" s="61"/>
      <c r="O52" s="61"/>
      <c r="P52" s="123"/>
      <c r="Q52" s="243"/>
      <c r="R52" s="111" cm="1">
        <f t="array" ref="R52">IF(AF52=TRUE,_xlfn.IFS(P52=1,2,P52="",IF(Q52="",1,2)),0)</f>
        <v>0</v>
      </c>
      <c r="S52" s="62" t="s">
        <v>255</v>
      </c>
      <c r="T52" s="62" t="s">
        <v>183</v>
      </c>
      <c r="U52" s="62" t="s">
        <v>183</v>
      </c>
      <c r="V52" s="62" t="s">
        <v>183</v>
      </c>
      <c r="W52" s="62"/>
      <c r="X52" s="62" t="str">
        <f t="shared" si="46"/>
        <v/>
      </c>
      <c r="Y52" s="62" t="str">
        <f t="shared" si="47"/>
        <v/>
      </c>
      <c r="Z52" s="62" t="str">
        <f t="shared" si="48"/>
        <v/>
      </c>
      <c r="AA52" s="62" t="str">
        <f t="shared" si="49"/>
        <v/>
      </c>
      <c r="AB52" s="62" t="str">
        <f t="shared" si="50"/>
        <v/>
      </c>
      <c r="AC52" s="62" t="str">
        <f t="shared" si="51"/>
        <v>〇</v>
      </c>
      <c r="AD52" s="62" t="str">
        <f t="shared" si="52"/>
        <v>〇</v>
      </c>
      <c r="AE52" s="62" t="str">
        <f t="shared" si="53"/>
        <v>〇</v>
      </c>
      <c r="AF52" s="60" t="b">
        <f t="shared" si="54"/>
        <v>0</v>
      </c>
      <c r="AG52" s="60"/>
    </row>
    <row r="53" spans="1:33" ht="112.5">
      <c r="A53" s="52"/>
      <c r="B53" s="58"/>
      <c r="C53" s="71" t="s">
        <v>1833</v>
      </c>
      <c r="D53" s="71" t="s">
        <v>1834</v>
      </c>
      <c r="E53" s="107" t="s">
        <v>1835</v>
      </c>
      <c r="F53" s="60" t="s">
        <v>1747</v>
      </c>
      <c r="G53" s="60" t="s">
        <v>254</v>
      </c>
      <c r="H53" s="60" t="s">
        <v>1747</v>
      </c>
      <c r="I53" s="60" t="s">
        <v>254</v>
      </c>
      <c r="J53" s="60" t="s">
        <v>1747</v>
      </c>
      <c r="K53" s="60" t="s">
        <v>254</v>
      </c>
      <c r="L53" s="60" t="s">
        <v>254</v>
      </c>
      <c r="M53" s="60" t="s">
        <v>1747</v>
      </c>
      <c r="N53" s="61"/>
      <c r="O53" s="61"/>
      <c r="P53" s="123"/>
      <c r="Q53" s="243"/>
      <c r="R53" s="111" cm="1">
        <f t="array" ref="R53">IF(AF53=TRUE,_xlfn.IFS(P53=1,2,P53="",IF(Q53="",1,2)),0)</f>
        <v>0</v>
      </c>
      <c r="S53" s="62" t="s">
        <v>255</v>
      </c>
      <c r="T53" s="62" t="s">
        <v>183</v>
      </c>
      <c r="U53" s="62" t="s">
        <v>183</v>
      </c>
      <c r="V53" s="62" t="s">
        <v>183</v>
      </c>
      <c r="W53" s="62"/>
      <c r="X53" s="62" t="str">
        <f t="shared" si="46"/>
        <v>〇</v>
      </c>
      <c r="Y53" s="62" t="str">
        <f t="shared" si="47"/>
        <v/>
      </c>
      <c r="Z53" s="62" t="str">
        <f t="shared" si="48"/>
        <v>〇</v>
      </c>
      <c r="AA53" s="62" t="str">
        <f t="shared" si="49"/>
        <v/>
      </c>
      <c r="AB53" s="62" t="str">
        <f t="shared" si="50"/>
        <v>〇</v>
      </c>
      <c r="AC53" s="62" t="str">
        <f t="shared" si="51"/>
        <v/>
      </c>
      <c r="AD53" s="62" t="str">
        <f t="shared" si="52"/>
        <v/>
      </c>
      <c r="AE53" s="62" t="str">
        <f t="shared" si="53"/>
        <v>〇</v>
      </c>
      <c r="AF53" s="60" t="b">
        <f t="shared" si="54"/>
        <v>0</v>
      </c>
      <c r="AG53" s="60"/>
    </row>
    <row r="54" spans="1:33" ht="90">
      <c r="A54" s="52"/>
      <c r="B54" s="58"/>
      <c r="C54" s="71" t="s">
        <v>1836</v>
      </c>
      <c r="D54" s="71" t="s">
        <v>1837</v>
      </c>
      <c r="E54" s="107" t="s">
        <v>1838</v>
      </c>
      <c r="F54" s="60" t="s">
        <v>254</v>
      </c>
      <c r="G54" s="60" t="s">
        <v>254</v>
      </c>
      <c r="H54" s="60" t="s">
        <v>254</v>
      </c>
      <c r="I54" s="60" t="s">
        <v>254</v>
      </c>
      <c r="J54" s="60" t="s">
        <v>1747</v>
      </c>
      <c r="K54" s="60" t="s">
        <v>1747</v>
      </c>
      <c r="L54" s="60" t="s">
        <v>1747</v>
      </c>
      <c r="M54" s="60" t="s">
        <v>1747</v>
      </c>
      <c r="N54" s="61"/>
      <c r="O54" s="61"/>
      <c r="P54" s="123"/>
      <c r="Q54" s="243"/>
      <c r="R54" s="111" cm="1">
        <f t="array" ref="R54">IF(AF54=TRUE,_xlfn.IFS(P54=1,2,P54="",IF(Q54="",1,2)),0)</f>
        <v>0</v>
      </c>
      <c r="S54" s="62" t="s">
        <v>255</v>
      </c>
      <c r="T54" s="62" t="s">
        <v>183</v>
      </c>
      <c r="U54" s="62" t="s">
        <v>183</v>
      </c>
      <c r="V54" s="62" t="s">
        <v>183</v>
      </c>
      <c r="W54" s="62"/>
      <c r="X54" s="62" t="str">
        <f t="shared" si="46"/>
        <v/>
      </c>
      <c r="Y54" s="62" t="str">
        <f t="shared" si="47"/>
        <v/>
      </c>
      <c r="Z54" s="62" t="str">
        <f t="shared" si="48"/>
        <v/>
      </c>
      <c r="AA54" s="62" t="str">
        <f t="shared" si="49"/>
        <v/>
      </c>
      <c r="AB54" s="62" t="str">
        <f t="shared" si="50"/>
        <v>〇</v>
      </c>
      <c r="AC54" s="62" t="str">
        <f t="shared" si="51"/>
        <v>〇</v>
      </c>
      <c r="AD54" s="62" t="str">
        <f t="shared" si="52"/>
        <v>〇</v>
      </c>
      <c r="AE54" s="62" t="str">
        <f t="shared" si="53"/>
        <v>〇</v>
      </c>
      <c r="AF54" s="60" t="b">
        <f t="shared" si="54"/>
        <v>0</v>
      </c>
      <c r="AG54" s="60"/>
    </row>
    <row r="55" spans="1:33" ht="22.5">
      <c r="A55" s="52"/>
      <c r="B55" s="58" t="s">
        <v>1839</v>
      </c>
      <c r="C55" s="115"/>
      <c r="D55" s="115"/>
      <c r="E55" s="84"/>
      <c r="F55" s="58"/>
      <c r="G55" s="58"/>
      <c r="H55" s="58"/>
      <c r="I55" s="58"/>
      <c r="J55" s="58"/>
      <c r="K55" s="58"/>
      <c r="L55" s="58"/>
      <c r="M55" s="58"/>
      <c r="N55" s="59"/>
      <c r="O55" s="59"/>
      <c r="P55" s="122"/>
      <c r="Q55" s="244"/>
      <c r="R55" s="244"/>
      <c r="S55" s="58"/>
      <c r="T55" s="58"/>
      <c r="U55" s="58"/>
      <c r="V55" s="58"/>
      <c r="W55" s="58"/>
      <c r="X55" s="58"/>
      <c r="Y55" s="58"/>
      <c r="Z55" s="58"/>
      <c r="AA55" s="58"/>
      <c r="AB55" s="58"/>
      <c r="AC55" s="58"/>
      <c r="AD55" s="58"/>
      <c r="AE55" s="58"/>
      <c r="AF55" s="58" t="s">
        <v>268</v>
      </c>
      <c r="AG55" s="58"/>
    </row>
    <row r="56" spans="1:33" ht="67.5">
      <c r="A56" s="52"/>
      <c r="B56" s="58"/>
      <c r="C56" s="71" t="s">
        <v>1840</v>
      </c>
      <c r="D56" s="71" t="s">
        <v>1841</v>
      </c>
      <c r="E56" s="107" t="s">
        <v>1842</v>
      </c>
      <c r="F56" s="60" t="s">
        <v>254</v>
      </c>
      <c r="G56" s="60" t="s">
        <v>254</v>
      </c>
      <c r="H56" s="60" t="s">
        <v>254</v>
      </c>
      <c r="I56" s="60" t="s">
        <v>254</v>
      </c>
      <c r="J56" s="60" t="s">
        <v>254</v>
      </c>
      <c r="K56" s="60" t="s">
        <v>254</v>
      </c>
      <c r="L56" s="60" t="s">
        <v>254</v>
      </c>
      <c r="M56" s="60" t="s">
        <v>254</v>
      </c>
      <c r="N56" s="61"/>
      <c r="O56" s="61"/>
      <c r="P56" s="123"/>
      <c r="Q56" s="243"/>
      <c r="R56" s="111" cm="1">
        <f t="array" ref="R56">IF(AF56=TRUE,_xlfn.IFS(P56=1,2,P56="",IF(Q56="",1,2)),0)</f>
        <v>0</v>
      </c>
      <c r="S56" s="62" t="s">
        <v>255</v>
      </c>
      <c r="T56" s="62" t="s">
        <v>183</v>
      </c>
      <c r="U56" s="62" t="s">
        <v>183</v>
      </c>
      <c r="V56" s="62" t="s">
        <v>183</v>
      </c>
      <c r="W56" s="62"/>
      <c r="X56" s="62" t="str">
        <f t="shared" ref="X56:X64" si="55">IF(F56="Required","",IF(F56="Recommended","","〇"))</f>
        <v/>
      </c>
      <c r="Y56" s="62" t="str">
        <f t="shared" ref="Y56:Y64" si="56">IF(G56="Required","",IF(G56="Recommended","","〇"))</f>
        <v/>
      </c>
      <c r="Z56" s="62" t="str">
        <f t="shared" ref="Z56:Z64" si="57">IF(H56="Required","",IF(H56="Recommended","","〇"))</f>
        <v/>
      </c>
      <c r="AA56" s="62" t="str">
        <f t="shared" ref="AA56:AA64" si="58">IF(I56="Required","",IF(I56="Recommended","","〇"))</f>
        <v/>
      </c>
      <c r="AB56" s="62" t="str">
        <f t="shared" ref="AB56:AB64" si="59">IF(J56="Required","",IF(J56="Recommended","","〇"))</f>
        <v/>
      </c>
      <c r="AC56" s="62" t="str">
        <f t="shared" ref="AC56:AC64" si="60">IF(K56="Required","",IF(K56="Recommended","","〇"))</f>
        <v/>
      </c>
      <c r="AD56" s="62" t="str">
        <f t="shared" ref="AD56:AD64" si="61">IF(L56="Required","",IF(L56="Recommended","","〇"))</f>
        <v/>
      </c>
      <c r="AE56" s="62" t="str">
        <f t="shared" ref="AE56:AE64" si="62">IF(M56="Required","",IF(M56="Recommended","","〇"))</f>
        <v/>
      </c>
      <c r="AF56" s="60" t="b">
        <f t="shared" ref="AF56:AF64" si="63">AND(OR(AND($S$5=TRUE,$S56&lt;&gt;""),AND($T$5=TRUE,$T56&lt;&gt;""),AND($U$5=TRUE,$U56&lt;&gt;"")),AND($V$5=TRUE,$V56&lt;&gt;""),OR(IF($W$5=TRUE,IF($W56&lt;&gt;"",FALSE,TRUE),FALSE),IF($X$5=TRUE,IF($X56&lt;&gt;"",FALSE,TRUE),FALSE),IF($Y$5=TRUE,IF($Y56&lt;&gt;"",FALSE,TRUE),FALSE),IF($Z$5=TRUE,IF($Z56&lt;&gt;"",FALSE,TRUE),FALSE),IF($AA$5=TRUE,IF($AA56&lt;&gt;"",FALSE,TRUE),FALSE),IF($AB$5=TRUE,IF($AB56&lt;&gt;"",FALSE,TRUE),FALSE),IF($AC$5=TRUE,IF($AC56&lt;&gt;"",FALSE,TRUE),FALSE),IF($AD$5=TRUE,IF($AD56&lt;&gt;"",FALSE,TRUE),FALSE),IF($AE$5=TRUE,IF($AE56&lt;&gt;"",FALSE,TRUE),FALSE)))</f>
        <v>0</v>
      </c>
      <c r="AG56" s="60"/>
    </row>
    <row r="57" spans="1:33" ht="67.5">
      <c r="A57" s="52"/>
      <c r="B57" s="58"/>
      <c r="C57" s="71" t="s">
        <v>1843</v>
      </c>
      <c r="D57" s="71" t="s">
        <v>1844</v>
      </c>
      <c r="E57" s="107" t="s">
        <v>1845</v>
      </c>
      <c r="F57" s="60" t="s">
        <v>254</v>
      </c>
      <c r="G57" s="60" t="s">
        <v>254</v>
      </c>
      <c r="H57" s="60" t="s">
        <v>356</v>
      </c>
      <c r="I57" s="60" t="s">
        <v>356</v>
      </c>
      <c r="J57" s="60" t="s">
        <v>1747</v>
      </c>
      <c r="K57" s="60" t="s">
        <v>1747</v>
      </c>
      <c r="L57" s="60" t="s">
        <v>1747</v>
      </c>
      <c r="M57" s="60" t="s">
        <v>1747</v>
      </c>
      <c r="N57" s="61"/>
      <c r="O57" s="61"/>
      <c r="P57" s="123"/>
      <c r="Q57" s="243"/>
      <c r="R57" s="111" cm="1">
        <f t="array" ref="R57">IF(AF57=TRUE,_xlfn.IFS(P57=1,2,P57="",IF(Q57="",1,2)),0)</f>
        <v>0</v>
      </c>
      <c r="S57" s="62" t="s">
        <v>255</v>
      </c>
      <c r="T57" s="62" t="s">
        <v>183</v>
      </c>
      <c r="U57" s="62" t="s">
        <v>183</v>
      </c>
      <c r="V57" s="62" t="s">
        <v>183</v>
      </c>
      <c r="W57" s="62"/>
      <c r="X57" s="62" t="str">
        <f t="shared" si="55"/>
        <v/>
      </c>
      <c r="Y57" s="62" t="str">
        <f t="shared" si="56"/>
        <v/>
      </c>
      <c r="Z57" s="62" t="str">
        <f t="shared" si="57"/>
        <v/>
      </c>
      <c r="AA57" s="62" t="str">
        <f t="shared" si="58"/>
        <v/>
      </c>
      <c r="AB57" s="62" t="str">
        <f t="shared" si="59"/>
        <v>〇</v>
      </c>
      <c r="AC57" s="62" t="str">
        <f t="shared" si="60"/>
        <v>〇</v>
      </c>
      <c r="AD57" s="62" t="str">
        <f t="shared" si="61"/>
        <v>〇</v>
      </c>
      <c r="AE57" s="62" t="str">
        <f t="shared" si="62"/>
        <v>〇</v>
      </c>
      <c r="AF57" s="60" t="b">
        <f t="shared" si="63"/>
        <v>0</v>
      </c>
      <c r="AG57" s="60"/>
    </row>
    <row r="58" spans="1:33" ht="90">
      <c r="A58" s="52"/>
      <c r="B58" s="58"/>
      <c r="C58" s="71" t="s">
        <v>1846</v>
      </c>
      <c r="D58" s="71" t="s">
        <v>1847</v>
      </c>
      <c r="E58" s="107" t="s">
        <v>1848</v>
      </c>
      <c r="F58" s="60" t="s">
        <v>254</v>
      </c>
      <c r="G58" s="60" t="s">
        <v>254</v>
      </c>
      <c r="H58" s="60" t="s">
        <v>254</v>
      </c>
      <c r="I58" s="60" t="s">
        <v>254</v>
      </c>
      <c r="J58" s="60" t="s">
        <v>254</v>
      </c>
      <c r="K58" s="60" t="s">
        <v>254</v>
      </c>
      <c r="L58" s="60" t="s">
        <v>254</v>
      </c>
      <c r="M58" s="60" t="s">
        <v>1747</v>
      </c>
      <c r="N58" s="61"/>
      <c r="O58" s="61"/>
      <c r="P58" s="123"/>
      <c r="Q58" s="243"/>
      <c r="R58" s="111" cm="1">
        <f t="array" ref="R58">IF(AF58=TRUE,_xlfn.IFS(P58=1,2,P58="",IF(Q58="",1,2)),0)</f>
        <v>0</v>
      </c>
      <c r="S58" s="62" t="s">
        <v>255</v>
      </c>
      <c r="T58" s="62" t="s">
        <v>183</v>
      </c>
      <c r="U58" s="62" t="s">
        <v>183</v>
      </c>
      <c r="V58" s="62" t="s">
        <v>183</v>
      </c>
      <c r="W58" s="62"/>
      <c r="X58" s="62" t="str">
        <f t="shared" si="55"/>
        <v/>
      </c>
      <c r="Y58" s="62" t="str">
        <f t="shared" si="56"/>
        <v/>
      </c>
      <c r="Z58" s="62" t="str">
        <f t="shared" si="57"/>
        <v/>
      </c>
      <c r="AA58" s="62" t="str">
        <f t="shared" si="58"/>
        <v/>
      </c>
      <c r="AB58" s="62" t="str">
        <f t="shared" si="59"/>
        <v/>
      </c>
      <c r="AC58" s="62" t="str">
        <f t="shared" si="60"/>
        <v/>
      </c>
      <c r="AD58" s="62" t="str">
        <f t="shared" si="61"/>
        <v/>
      </c>
      <c r="AE58" s="62" t="str">
        <f t="shared" si="62"/>
        <v>〇</v>
      </c>
      <c r="AF58" s="60" t="b">
        <f t="shared" si="63"/>
        <v>0</v>
      </c>
      <c r="AG58" s="60"/>
    </row>
    <row r="59" spans="1:33" ht="112.5">
      <c r="A59" s="52"/>
      <c r="B59" s="58"/>
      <c r="C59" s="71" t="s">
        <v>1849</v>
      </c>
      <c r="D59" s="71" t="s">
        <v>1850</v>
      </c>
      <c r="E59" s="107" t="s">
        <v>1851</v>
      </c>
      <c r="F59" s="60" t="s">
        <v>254</v>
      </c>
      <c r="G59" s="60" t="s">
        <v>254</v>
      </c>
      <c r="H59" s="60" t="s">
        <v>254</v>
      </c>
      <c r="I59" s="60" t="s">
        <v>254</v>
      </c>
      <c r="J59" s="60" t="s">
        <v>1747</v>
      </c>
      <c r="K59" s="60" t="s">
        <v>1747</v>
      </c>
      <c r="L59" s="60" t="s">
        <v>1747</v>
      </c>
      <c r="M59" s="60" t="s">
        <v>1747</v>
      </c>
      <c r="N59" s="61"/>
      <c r="O59" s="61"/>
      <c r="P59" s="123"/>
      <c r="Q59" s="243"/>
      <c r="R59" s="111" cm="1">
        <f t="array" ref="R59">IF(AF59=TRUE,_xlfn.IFS(P59=1,2,P59="",IF(Q59="",1,2)),0)</f>
        <v>0</v>
      </c>
      <c r="S59" s="62" t="s">
        <v>255</v>
      </c>
      <c r="T59" s="62" t="s">
        <v>183</v>
      </c>
      <c r="U59" s="62" t="s">
        <v>183</v>
      </c>
      <c r="V59" s="62" t="s">
        <v>183</v>
      </c>
      <c r="W59" s="62"/>
      <c r="X59" s="62" t="str">
        <f t="shared" si="55"/>
        <v/>
      </c>
      <c r="Y59" s="62" t="str">
        <f t="shared" si="56"/>
        <v/>
      </c>
      <c r="Z59" s="62" t="str">
        <f t="shared" si="57"/>
        <v/>
      </c>
      <c r="AA59" s="62" t="str">
        <f t="shared" si="58"/>
        <v/>
      </c>
      <c r="AB59" s="62" t="str">
        <f t="shared" si="59"/>
        <v>〇</v>
      </c>
      <c r="AC59" s="62" t="str">
        <f t="shared" si="60"/>
        <v>〇</v>
      </c>
      <c r="AD59" s="62" t="str">
        <f t="shared" si="61"/>
        <v>〇</v>
      </c>
      <c r="AE59" s="62" t="str">
        <f t="shared" si="62"/>
        <v>〇</v>
      </c>
      <c r="AF59" s="60" t="b">
        <f t="shared" si="63"/>
        <v>0</v>
      </c>
      <c r="AG59" s="60"/>
    </row>
    <row r="60" spans="1:33" ht="45">
      <c r="A60" s="52"/>
      <c r="B60" s="58"/>
      <c r="C60" s="71" t="s">
        <v>1852</v>
      </c>
      <c r="D60" s="71" t="s">
        <v>1853</v>
      </c>
      <c r="E60" s="107" t="s">
        <v>1854</v>
      </c>
      <c r="F60" s="60" t="s">
        <v>254</v>
      </c>
      <c r="G60" s="60" t="s">
        <v>254</v>
      </c>
      <c r="H60" s="60" t="s">
        <v>254</v>
      </c>
      <c r="I60" s="60" t="s">
        <v>254</v>
      </c>
      <c r="J60" s="60" t="s">
        <v>1747</v>
      </c>
      <c r="K60" s="60" t="s">
        <v>1747</v>
      </c>
      <c r="L60" s="60" t="s">
        <v>1747</v>
      </c>
      <c r="M60" s="60" t="s">
        <v>1747</v>
      </c>
      <c r="N60" s="61"/>
      <c r="O60" s="61"/>
      <c r="P60" s="123"/>
      <c r="Q60" s="243"/>
      <c r="R60" s="111" cm="1">
        <f t="array" ref="R60">IF(AF60=TRUE,_xlfn.IFS(P60=1,2,P60="",IF(Q60="",1,2)),0)</f>
        <v>0</v>
      </c>
      <c r="S60" s="62" t="s">
        <v>255</v>
      </c>
      <c r="T60" s="62" t="s">
        <v>183</v>
      </c>
      <c r="U60" s="62" t="s">
        <v>183</v>
      </c>
      <c r="V60" s="62" t="s">
        <v>183</v>
      </c>
      <c r="W60" s="62"/>
      <c r="X60" s="62" t="str">
        <f t="shared" si="55"/>
        <v/>
      </c>
      <c r="Y60" s="62" t="str">
        <f t="shared" si="56"/>
        <v/>
      </c>
      <c r="Z60" s="62" t="str">
        <f t="shared" si="57"/>
        <v/>
      </c>
      <c r="AA60" s="62" t="str">
        <f t="shared" si="58"/>
        <v/>
      </c>
      <c r="AB60" s="62" t="str">
        <f t="shared" si="59"/>
        <v>〇</v>
      </c>
      <c r="AC60" s="62" t="str">
        <f t="shared" si="60"/>
        <v>〇</v>
      </c>
      <c r="AD60" s="62" t="str">
        <f t="shared" si="61"/>
        <v>〇</v>
      </c>
      <c r="AE60" s="62" t="str">
        <f t="shared" si="62"/>
        <v>〇</v>
      </c>
      <c r="AF60" s="60" t="b">
        <f t="shared" si="63"/>
        <v>0</v>
      </c>
      <c r="AG60" s="60"/>
    </row>
    <row r="61" spans="1:33" ht="90">
      <c r="A61" s="52"/>
      <c r="B61" s="58"/>
      <c r="C61" s="71" t="s">
        <v>1855</v>
      </c>
      <c r="D61" s="71" t="s">
        <v>1856</v>
      </c>
      <c r="E61" s="107" t="s">
        <v>1857</v>
      </c>
      <c r="F61" s="60" t="s">
        <v>254</v>
      </c>
      <c r="G61" s="60" t="s">
        <v>254</v>
      </c>
      <c r="H61" s="60" t="s">
        <v>254</v>
      </c>
      <c r="I61" s="60" t="s">
        <v>254</v>
      </c>
      <c r="J61" s="60" t="s">
        <v>1747</v>
      </c>
      <c r="K61" s="60" t="s">
        <v>1747</v>
      </c>
      <c r="L61" s="60" t="s">
        <v>1747</v>
      </c>
      <c r="M61" s="60" t="s">
        <v>1747</v>
      </c>
      <c r="N61" s="61"/>
      <c r="O61" s="61"/>
      <c r="P61" s="123"/>
      <c r="Q61" s="243"/>
      <c r="R61" s="111" cm="1">
        <f t="array" ref="R61">IF(AF61=TRUE,_xlfn.IFS(P61=1,2,P61="",IF(Q61="",1,2)),0)</f>
        <v>0</v>
      </c>
      <c r="S61" s="62" t="s">
        <v>255</v>
      </c>
      <c r="T61" s="62" t="s">
        <v>183</v>
      </c>
      <c r="U61" s="62" t="s">
        <v>183</v>
      </c>
      <c r="V61" s="62" t="s">
        <v>183</v>
      </c>
      <c r="W61" s="62"/>
      <c r="X61" s="62" t="str">
        <f t="shared" si="55"/>
        <v/>
      </c>
      <c r="Y61" s="62" t="str">
        <f t="shared" si="56"/>
        <v/>
      </c>
      <c r="Z61" s="62" t="str">
        <f t="shared" si="57"/>
        <v/>
      </c>
      <c r="AA61" s="62" t="str">
        <f t="shared" si="58"/>
        <v/>
      </c>
      <c r="AB61" s="62" t="str">
        <f t="shared" si="59"/>
        <v>〇</v>
      </c>
      <c r="AC61" s="62" t="str">
        <f t="shared" si="60"/>
        <v>〇</v>
      </c>
      <c r="AD61" s="62" t="str">
        <f t="shared" si="61"/>
        <v>〇</v>
      </c>
      <c r="AE61" s="62" t="str">
        <f t="shared" si="62"/>
        <v>〇</v>
      </c>
      <c r="AF61" s="60" t="b">
        <f t="shared" si="63"/>
        <v>0</v>
      </c>
      <c r="AG61" s="60"/>
    </row>
    <row r="62" spans="1:33" ht="67.5">
      <c r="A62" s="52"/>
      <c r="B62" s="58"/>
      <c r="C62" s="71" t="s">
        <v>1858</v>
      </c>
      <c r="D62" s="71" t="s">
        <v>1859</v>
      </c>
      <c r="E62" s="107" t="s">
        <v>1860</v>
      </c>
      <c r="F62" s="60" t="s">
        <v>254</v>
      </c>
      <c r="G62" s="60" t="s">
        <v>254</v>
      </c>
      <c r="H62" s="60" t="s">
        <v>254</v>
      </c>
      <c r="I62" s="60" t="s">
        <v>254</v>
      </c>
      <c r="J62" s="60" t="s">
        <v>1747</v>
      </c>
      <c r="K62" s="60" t="s">
        <v>1747</v>
      </c>
      <c r="L62" s="60" t="s">
        <v>1747</v>
      </c>
      <c r="M62" s="60" t="s">
        <v>1747</v>
      </c>
      <c r="N62" s="61"/>
      <c r="O62" s="61"/>
      <c r="P62" s="123"/>
      <c r="Q62" s="243"/>
      <c r="R62" s="111" cm="1">
        <f t="array" ref="R62">IF(AF62=TRUE,_xlfn.IFS(P62=1,2,P62="",IF(Q62="",1,2)),0)</f>
        <v>0</v>
      </c>
      <c r="S62" s="62" t="s">
        <v>255</v>
      </c>
      <c r="T62" s="62" t="s">
        <v>183</v>
      </c>
      <c r="U62" s="62" t="s">
        <v>183</v>
      </c>
      <c r="V62" s="62" t="s">
        <v>183</v>
      </c>
      <c r="W62" s="62"/>
      <c r="X62" s="62" t="str">
        <f t="shared" si="55"/>
        <v/>
      </c>
      <c r="Y62" s="62" t="str">
        <f t="shared" si="56"/>
        <v/>
      </c>
      <c r="Z62" s="62" t="str">
        <f t="shared" si="57"/>
        <v/>
      </c>
      <c r="AA62" s="62" t="str">
        <f t="shared" si="58"/>
        <v/>
      </c>
      <c r="AB62" s="62" t="str">
        <f t="shared" si="59"/>
        <v>〇</v>
      </c>
      <c r="AC62" s="62" t="str">
        <f t="shared" si="60"/>
        <v>〇</v>
      </c>
      <c r="AD62" s="62" t="str">
        <f t="shared" si="61"/>
        <v>〇</v>
      </c>
      <c r="AE62" s="62" t="str">
        <f t="shared" si="62"/>
        <v>〇</v>
      </c>
      <c r="AF62" s="60" t="b">
        <f t="shared" si="63"/>
        <v>0</v>
      </c>
      <c r="AG62" s="60"/>
    </row>
    <row r="63" spans="1:33" ht="45">
      <c r="A63" s="52"/>
      <c r="B63" s="58"/>
      <c r="C63" s="71" t="s">
        <v>1861</v>
      </c>
      <c r="D63" s="71" t="s">
        <v>1862</v>
      </c>
      <c r="E63" s="107" t="s">
        <v>1863</v>
      </c>
      <c r="F63" s="60" t="s">
        <v>254</v>
      </c>
      <c r="G63" s="60" t="s">
        <v>254</v>
      </c>
      <c r="H63" s="60" t="s">
        <v>254</v>
      </c>
      <c r="I63" s="60" t="s">
        <v>254</v>
      </c>
      <c r="J63" s="60" t="s">
        <v>254</v>
      </c>
      <c r="K63" s="60" t="s">
        <v>254</v>
      </c>
      <c r="L63" s="60" t="s">
        <v>254</v>
      </c>
      <c r="M63" s="60" t="s">
        <v>1747</v>
      </c>
      <c r="N63" s="61"/>
      <c r="O63" s="61"/>
      <c r="P63" s="123"/>
      <c r="Q63" s="243"/>
      <c r="R63" s="111" cm="1">
        <f t="array" ref="R63">IF(AF63=TRUE,_xlfn.IFS(P63=1,2,P63="",IF(Q63="",1,2)),0)</f>
        <v>0</v>
      </c>
      <c r="S63" s="62" t="s">
        <v>255</v>
      </c>
      <c r="T63" s="62" t="s">
        <v>183</v>
      </c>
      <c r="U63" s="62" t="s">
        <v>183</v>
      </c>
      <c r="V63" s="62" t="s">
        <v>183</v>
      </c>
      <c r="W63" s="62"/>
      <c r="X63" s="62" t="str">
        <f t="shared" si="55"/>
        <v/>
      </c>
      <c r="Y63" s="62" t="str">
        <f t="shared" si="56"/>
        <v/>
      </c>
      <c r="Z63" s="62" t="str">
        <f t="shared" si="57"/>
        <v/>
      </c>
      <c r="AA63" s="62" t="str">
        <f t="shared" si="58"/>
        <v/>
      </c>
      <c r="AB63" s="62" t="str">
        <f t="shared" si="59"/>
        <v/>
      </c>
      <c r="AC63" s="62" t="str">
        <f t="shared" si="60"/>
        <v/>
      </c>
      <c r="AD63" s="62" t="str">
        <f t="shared" si="61"/>
        <v/>
      </c>
      <c r="AE63" s="62" t="str">
        <f t="shared" si="62"/>
        <v>〇</v>
      </c>
      <c r="AF63" s="60" t="b">
        <f t="shared" si="63"/>
        <v>0</v>
      </c>
      <c r="AG63" s="60"/>
    </row>
    <row r="64" spans="1:33" ht="135">
      <c r="A64" s="52"/>
      <c r="B64" s="58"/>
      <c r="C64" s="71" t="s">
        <v>1864</v>
      </c>
      <c r="D64" s="71" t="s">
        <v>1865</v>
      </c>
      <c r="E64" s="107" t="s">
        <v>1866</v>
      </c>
      <c r="F64" s="60" t="s">
        <v>254</v>
      </c>
      <c r="G64" s="60" t="s">
        <v>254</v>
      </c>
      <c r="H64" s="60" t="s">
        <v>254</v>
      </c>
      <c r="I64" s="60" t="s">
        <v>254</v>
      </c>
      <c r="J64" s="60" t="s">
        <v>254</v>
      </c>
      <c r="K64" s="60" t="s">
        <v>1747</v>
      </c>
      <c r="L64" s="60" t="s">
        <v>1747</v>
      </c>
      <c r="M64" s="60" t="s">
        <v>1747</v>
      </c>
      <c r="N64" s="61"/>
      <c r="O64" s="61"/>
      <c r="P64" s="123"/>
      <c r="Q64" s="243"/>
      <c r="R64" s="111" cm="1">
        <f t="array" ref="R64">IF(AF64=TRUE,_xlfn.IFS(P64=1,2,P64="",IF(Q64="",1,2)),0)</f>
        <v>0</v>
      </c>
      <c r="S64" s="62" t="s">
        <v>255</v>
      </c>
      <c r="T64" s="62" t="s">
        <v>183</v>
      </c>
      <c r="U64" s="62" t="s">
        <v>183</v>
      </c>
      <c r="V64" s="62" t="s">
        <v>183</v>
      </c>
      <c r="W64" s="62"/>
      <c r="X64" s="62" t="str">
        <f t="shared" si="55"/>
        <v/>
      </c>
      <c r="Y64" s="62" t="str">
        <f t="shared" si="56"/>
        <v/>
      </c>
      <c r="Z64" s="62" t="str">
        <f t="shared" si="57"/>
        <v/>
      </c>
      <c r="AA64" s="62" t="str">
        <f t="shared" si="58"/>
        <v/>
      </c>
      <c r="AB64" s="62" t="str">
        <f t="shared" si="59"/>
        <v/>
      </c>
      <c r="AC64" s="62" t="str">
        <f t="shared" si="60"/>
        <v>〇</v>
      </c>
      <c r="AD64" s="62" t="str">
        <f t="shared" si="61"/>
        <v>〇</v>
      </c>
      <c r="AE64" s="62" t="str">
        <f t="shared" si="62"/>
        <v>〇</v>
      </c>
      <c r="AF64" s="60" t="b">
        <f t="shared" si="63"/>
        <v>0</v>
      </c>
      <c r="AG64" s="60"/>
    </row>
    <row r="65" spans="1:33" ht="22.5">
      <c r="A65" s="52"/>
      <c r="B65" s="58" t="s">
        <v>1867</v>
      </c>
      <c r="C65" s="115"/>
      <c r="D65" s="115"/>
      <c r="E65" s="84"/>
      <c r="F65" s="58"/>
      <c r="G65" s="58"/>
      <c r="H65" s="58"/>
      <c r="I65" s="58"/>
      <c r="J65" s="58"/>
      <c r="K65" s="58"/>
      <c r="L65" s="58"/>
      <c r="M65" s="58"/>
      <c r="N65" s="59"/>
      <c r="O65" s="59"/>
      <c r="P65" s="122"/>
      <c r="Q65" s="244"/>
      <c r="R65" s="244"/>
      <c r="S65" s="58"/>
      <c r="T65" s="58"/>
      <c r="U65" s="58"/>
      <c r="V65" s="58"/>
      <c r="W65" s="58"/>
      <c r="X65" s="58"/>
      <c r="Y65" s="58"/>
      <c r="Z65" s="58"/>
      <c r="AA65" s="58"/>
      <c r="AB65" s="58"/>
      <c r="AC65" s="58"/>
      <c r="AD65" s="58"/>
      <c r="AE65" s="58"/>
      <c r="AF65" s="58" t="s">
        <v>268</v>
      </c>
      <c r="AG65" s="58"/>
    </row>
    <row r="66" spans="1:33" ht="67.5">
      <c r="A66" s="52"/>
      <c r="B66" s="58"/>
      <c r="C66" s="71" t="s">
        <v>1868</v>
      </c>
      <c r="D66" s="71" t="s">
        <v>1869</v>
      </c>
      <c r="E66" s="107" t="s">
        <v>1870</v>
      </c>
      <c r="F66" s="60" t="s">
        <v>254</v>
      </c>
      <c r="G66" s="60" t="s">
        <v>254</v>
      </c>
      <c r="H66" s="60" t="s">
        <v>254</v>
      </c>
      <c r="I66" s="60" t="s">
        <v>254</v>
      </c>
      <c r="J66" s="60" t="s">
        <v>254</v>
      </c>
      <c r="K66" s="60" t="s">
        <v>254</v>
      </c>
      <c r="L66" s="60" t="s">
        <v>254</v>
      </c>
      <c r="M66" s="60" t="s">
        <v>1747</v>
      </c>
      <c r="N66" s="61"/>
      <c r="O66" s="61"/>
      <c r="P66" s="123"/>
      <c r="Q66" s="243"/>
      <c r="R66" s="111" cm="1">
        <f t="array" ref="R66">IF(AF66=TRUE,_xlfn.IFS(P66=1,2,P66="",IF(Q66="",1,2)),0)</f>
        <v>0</v>
      </c>
      <c r="S66" s="62" t="s">
        <v>255</v>
      </c>
      <c r="T66" s="62" t="s">
        <v>183</v>
      </c>
      <c r="U66" s="62" t="s">
        <v>183</v>
      </c>
      <c r="V66" s="62" t="s">
        <v>183</v>
      </c>
      <c r="W66" s="62"/>
      <c r="X66" s="62" t="str">
        <f t="shared" ref="X66:X77" si="64">IF(F66="Required","",IF(F66="Recommended","","〇"))</f>
        <v/>
      </c>
      <c r="Y66" s="62" t="str">
        <f t="shared" ref="Y66:Y77" si="65">IF(G66="Required","",IF(G66="Recommended","","〇"))</f>
        <v/>
      </c>
      <c r="Z66" s="62" t="str">
        <f t="shared" ref="Z66:Z77" si="66">IF(H66="Required","",IF(H66="Recommended","","〇"))</f>
        <v/>
      </c>
      <c r="AA66" s="62" t="str">
        <f t="shared" ref="AA66:AA77" si="67">IF(I66="Required","",IF(I66="Recommended","","〇"))</f>
        <v/>
      </c>
      <c r="AB66" s="62" t="str">
        <f t="shared" ref="AB66:AB77" si="68">IF(J66="Required","",IF(J66="Recommended","","〇"))</f>
        <v/>
      </c>
      <c r="AC66" s="62" t="str">
        <f t="shared" ref="AC66:AC77" si="69">IF(K66="Required","",IF(K66="Recommended","","〇"))</f>
        <v/>
      </c>
      <c r="AD66" s="62" t="str">
        <f t="shared" ref="AD66:AD77" si="70">IF(L66="Required","",IF(L66="Recommended","","〇"))</f>
        <v/>
      </c>
      <c r="AE66" s="62" t="str">
        <f t="shared" ref="AE66:AE77" si="71">IF(M66="Required","",IF(M66="Recommended","","〇"))</f>
        <v>〇</v>
      </c>
      <c r="AF66" s="60" t="b">
        <f t="shared" ref="AF66:AF77" si="72">AND(OR(AND($S$5=TRUE,$S66&lt;&gt;""),AND($T$5=TRUE,$T66&lt;&gt;""),AND($U$5=TRUE,$U66&lt;&gt;"")),AND($V$5=TRUE,$V66&lt;&gt;""),OR(IF($W$5=TRUE,IF($W66&lt;&gt;"",FALSE,TRUE),FALSE),IF($X$5=TRUE,IF($X66&lt;&gt;"",FALSE,TRUE),FALSE),IF($Y$5=TRUE,IF($Y66&lt;&gt;"",FALSE,TRUE),FALSE),IF($Z$5=TRUE,IF($Z66&lt;&gt;"",FALSE,TRUE),FALSE),IF($AA$5=TRUE,IF($AA66&lt;&gt;"",FALSE,TRUE),FALSE),IF($AB$5=TRUE,IF($AB66&lt;&gt;"",FALSE,TRUE),FALSE),IF($AC$5=TRUE,IF($AC66&lt;&gt;"",FALSE,TRUE),FALSE),IF($AD$5=TRUE,IF($AD66&lt;&gt;"",FALSE,TRUE),FALSE),IF($AE$5=TRUE,IF($AE66&lt;&gt;"",FALSE,TRUE),FALSE)))</f>
        <v>0</v>
      </c>
      <c r="AG66" s="60"/>
    </row>
    <row r="67" spans="1:33" ht="22.5">
      <c r="A67" s="52"/>
      <c r="B67" s="58"/>
      <c r="C67" s="71" t="s">
        <v>1871</v>
      </c>
      <c r="D67" s="71" t="s">
        <v>1872</v>
      </c>
      <c r="E67" s="107" t="s">
        <v>1873</v>
      </c>
      <c r="F67" s="60" t="s">
        <v>356</v>
      </c>
      <c r="G67" s="60" t="s">
        <v>356</v>
      </c>
      <c r="H67" s="60" t="s">
        <v>356</v>
      </c>
      <c r="I67" s="60" t="s">
        <v>356</v>
      </c>
      <c r="J67" s="60" t="s">
        <v>1747</v>
      </c>
      <c r="K67" s="60" t="s">
        <v>1747</v>
      </c>
      <c r="L67" s="60" t="s">
        <v>1747</v>
      </c>
      <c r="M67" s="60" t="s">
        <v>1747</v>
      </c>
      <c r="N67" s="61"/>
      <c r="O67" s="61"/>
      <c r="P67" s="123"/>
      <c r="Q67" s="243"/>
      <c r="R67" s="111" cm="1">
        <f t="array" ref="R67">IF(AF67=TRUE,_xlfn.IFS(P67=1,2,P67="",IF(Q67="",1,2)),0)</f>
        <v>0</v>
      </c>
      <c r="S67" s="62" t="s">
        <v>255</v>
      </c>
      <c r="T67" s="62" t="s">
        <v>183</v>
      </c>
      <c r="U67" s="62" t="s">
        <v>183</v>
      </c>
      <c r="V67" s="62" t="s">
        <v>183</v>
      </c>
      <c r="W67" s="62"/>
      <c r="X67" s="62" t="str">
        <f t="shared" si="64"/>
        <v/>
      </c>
      <c r="Y67" s="62" t="str">
        <f t="shared" si="65"/>
        <v/>
      </c>
      <c r="Z67" s="62" t="str">
        <f t="shared" si="66"/>
        <v/>
      </c>
      <c r="AA67" s="62" t="str">
        <f t="shared" si="67"/>
        <v/>
      </c>
      <c r="AB67" s="62" t="str">
        <f t="shared" si="68"/>
        <v>〇</v>
      </c>
      <c r="AC67" s="62" t="str">
        <f t="shared" si="69"/>
        <v>〇</v>
      </c>
      <c r="AD67" s="62" t="str">
        <f t="shared" si="70"/>
        <v>〇</v>
      </c>
      <c r="AE67" s="62" t="str">
        <f t="shared" si="71"/>
        <v>〇</v>
      </c>
      <c r="AF67" s="60" t="b">
        <f t="shared" si="72"/>
        <v>0</v>
      </c>
      <c r="AG67" s="60"/>
    </row>
    <row r="68" spans="1:33" ht="67.5">
      <c r="A68" s="52"/>
      <c r="B68" s="58"/>
      <c r="C68" s="71" t="s">
        <v>1874</v>
      </c>
      <c r="D68" s="71" t="s">
        <v>1875</v>
      </c>
      <c r="E68" s="107" t="s">
        <v>1876</v>
      </c>
      <c r="F68" s="60" t="s">
        <v>356</v>
      </c>
      <c r="G68" s="60" t="s">
        <v>356</v>
      </c>
      <c r="H68" s="60" t="s">
        <v>356</v>
      </c>
      <c r="I68" s="60" t="s">
        <v>356</v>
      </c>
      <c r="J68" s="60" t="s">
        <v>1747</v>
      </c>
      <c r="K68" s="60" t="s">
        <v>1747</v>
      </c>
      <c r="L68" s="60" t="s">
        <v>1747</v>
      </c>
      <c r="M68" s="60" t="s">
        <v>1747</v>
      </c>
      <c r="N68" s="61"/>
      <c r="O68" s="61"/>
      <c r="P68" s="123"/>
      <c r="Q68" s="243"/>
      <c r="R68" s="111" cm="1">
        <f t="array" ref="R68">IF(AF68=TRUE,_xlfn.IFS(P68=1,2,P68="",IF(Q68="",1,2)),0)</f>
        <v>0</v>
      </c>
      <c r="S68" s="62" t="s">
        <v>255</v>
      </c>
      <c r="T68" s="62" t="s">
        <v>183</v>
      </c>
      <c r="U68" s="62" t="s">
        <v>183</v>
      </c>
      <c r="V68" s="62" t="s">
        <v>183</v>
      </c>
      <c r="W68" s="62"/>
      <c r="X68" s="62" t="str">
        <f t="shared" si="64"/>
        <v/>
      </c>
      <c r="Y68" s="62" t="str">
        <f t="shared" si="65"/>
        <v/>
      </c>
      <c r="Z68" s="62" t="str">
        <f t="shared" si="66"/>
        <v/>
      </c>
      <c r="AA68" s="62" t="str">
        <f t="shared" si="67"/>
        <v/>
      </c>
      <c r="AB68" s="62" t="str">
        <f t="shared" si="68"/>
        <v>〇</v>
      </c>
      <c r="AC68" s="62" t="str">
        <f t="shared" si="69"/>
        <v>〇</v>
      </c>
      <c r="AD68" s="62" t="str">
        <f t="shared" si="70"/>
        <v>〇</v>
      </c>
      <c r="AE68" s="62" t="str">
        <f t="shared" si="71"/>
        <v>〇</v>
      </c>
      <c r="AF68" s="60" t="b">
        <f t="shared" si="72"/>
        <v>0</v>
      </c>
      <c r="AG68" s="60"/>
    </row>
    <row r="69" spans="1:33" ht="45">
      <c r="A69" s="52"/>
      <c r="B69" s="58"/>
      <c r="C69" s="71" t="s">
        <v>1877</v>
      </c>
      <c r="D69" s="71" t="s">
        <v>1878</v>
      </c>
      <c r="E69" s="107" t="s">
        <v>1879</v>
      </c>
      <c r="F69" s="60" t="s">
        <v>254</v>
      </c>
      <c r="G69" s="60" t="s">
        <v>254</v>
      </c>
      <c r="H69" s="60" t="s">
        <v>254</v>
      </c>
      <c r="I69" s="60" t="s">
        <v>254</v>
      </c>
      <c r="J69" s="60" t="s">
        <v>1747</v>
      </c>
      <c r="K69" s="60" t="s">
        <v>1747</v>
      </c>
      <c r="L69" s="60" t="s">
        <v>1747</v>
      </c>
      <c r="M69" s="60" t="s">
        <v>1747</v>
      </c>
      <c r="N69" s="61"/>
      <c r="O69" s="61"/>
      <c r="P69" s="123"/>
      <c r="Q69" s="243"/>
      <c r="R69" s="111" cm="1">
        <f t="array" ref="R69">IF(AF69=TRUE,_xlfn.IFS(P69=1,2,P69="",IF(Q69="",1,2)),0)</f>
        <v>0</v>
      </c>
      <c r="S69" s="62" t="s">
        <v>255</v>
      </c>
      <c r="T69" s="62" t="s">
        <v>183</v>
      </c>
      <c r="U69" s="62" t="s">
        <v>183</v>
      </c>
      <c r="V69" s="62" t="s">
        <v>183</v>
      </c>
      <c r="W69" s="62"/>
      <c r="X69" s="62" t="str">
        <f t="shared" si="64"/>
        <v/>
      </c>
      <c r="Y69" s="62" t="str">
        <f t="shared" si="65"/>
        <v/>
      </c>
      <c r="Z69" s="62" t="str">
        <f t="shared" si="66"/>
        <v/>
      </c>
      <c r="AA69" s="62" t="str">
        <f t="shared" si="67"/>
        <v/>
      </c>
      <c r="AB69" s="62" t="str">
        <f t="shared" si="68"/>
        <v>〇</v>
      </c>
      <c r="AC69" s="62" t="str">
        <f t="shared" si="69"/>
        <v>〇</v>
      </c>
      <c r="AD69" s="62" t="str">
        <f t="shared" si="70"/>
        <v>〇</v>
      </c>
      <c r="AE69" s="62" t="str">
        <f t="shared" si="71"/>
        <v>〇</v>
      </c>
      <c r="AF69" s="60" t="b">
        <f t="shared" si="72"/>
        <v>0</v>
      </c>
      <c r="AG69" s="60"/>
    </row>
    <row r="70" spans="1:33" ht="292.5">
      <c r="A70" s="52"/>
      <c r="B70" s="58"/>
      <c r="C70" s="71" t="s">
        <v>1880</v>
      </c>
      <c r="D70" s="71" t="s">
        <v>1881</v>
      </c>
      <c r="E70" s="91" t="s">
        <v>2226</v>
      </c>
      <c r="F70" s="60" t="s">
        <v>254</v>
      </c>
      <c r="G70" s="60" t="s">
        <v>254</v>
      </c>
      <c r="H70" s="60" t="s">
        <v>254</v>
      </c>
      <c r="I70" s="60" t="s">
        <v>254</v>
      </c>
      <c r="J70" s="60" t="s">
        <v>254</v>
      </c>
      <c r="K70" s="60" t="s">
        <v>254</v>
      </c>
      <c r="L70" s="60" t="s">
        <v>254</v>
      </c>
      <c r="M70" s="60" t="s">
        <v>1747</v>
      </c>
      <c r="N70" s="61"/>
      <c r="O70" s="61"/>
      <c r="P70" s="123"/>
      <c r="Q70" s="243"/>
      <c r="R70" s="111" cm="1">
        <f t="array" ref="R70">IF(AF70=TRUE,_xlfn.IFS(P70=1,2,P70="",IF(Q70="",1,2)),0)</f>
        <v>0</v>
      </c>
      <c r="S70" s="62" t="s">
        <v>255</v>
      </c>
      <c r="T70" s="62" t="s">
        <v>183</v>
      </c>
      <c r="U70" s="62" t="s">
        <v>183</v>
      </c>
      <c r="V70" s="62" t="s">
        <v>183</v>
      </c>
      <c r="W70" s="62"/>
      <c r="X70" s="62" t="str">
        <f t="shared" si="64"/>
        <v/>
      </c>
      <c r="Y70" s="62" t="str">
        <f t="shared" si="65"/>
        <v/>
      </c>
      <c r="Z70" s="62" t="str">
        <f t="shared" si="66"/>
        <v/>
      </c>
      <c r="AA70" s="62" t="str">
        <f t="shared" si="67"/>
        <v/>
      </c>
      <c r="AB70" s="62" t="str">
        <f t="shared" si="68"/>
        <v/>
      </c>
      <c r="AC70" s="62" t="str">
        <f t="shared" si="69"/>
        <v/>
      </c>
      <c r="AD70" s="62" t="str">
        <f t="shared" si="70"/>
        <v/>
      </c>
      <c r="AE70" s="62" t="str">
        <f t="shared" si="71"/>
        <v>〇</v>
      </c>
      <c r="AF70" s="60" t="b">
        <f t="shared" si="72"/>
        <v>0</v>
      </c>
      <c r="AG70" s="60" t="s">
        <v>2198</v>
      </c>
    </row>
    <row r="71" spans="1:33" ht="22.5">
      <c r="A71" s="52"/>
      <c r="B71" s="58"/>
      <c r="C71" s="71" t="s">
        <v>1882</v>
      </c>
      <c r="D71" s="71" t="s">
        <v>1883</v>
      </c>
      <c r="E71" s="107" t="s">
        <v>1884</v>
      </c>
      <c r="F71" s="60" t="s">
        <v>254</v>
      </c>
      <c r="G71" s="60" t="s">
        <v>254</v>
      </c>
      <c r="H71" s="60" t="s">
        <v>356</v>
      </c>
      <c r="I71" s="60" t="s">
        <v>356</v>
      </c>
      <c r="J71" s="60" t="s">
        <v>1747</v>
      </c>
      <c r="K71" s="60" t="s">
        <v>1747</v>
      </c>
      <c r="L71" s="60" t="s">
        <v>1747</v>
      </c>
      <c r="M71" s="60" t="s">
        <v>1747</v>
      </c>
      <c r="N71" s="61"/>
      <c r="O71" s="61"/>
      <c r="P71" s="123"/>
      <c r="Q71" s="243"/>
      <c r="R71" s="111" cm="1">
        <f t="array" ref="R71">IF(AF71=TRUE,_xlfn.IFS(P71=1,2,P71="",IF(Q71="",1,2)),0)</f>
        <v>0</v>
      </c>
      <c r="S71" s="62" t="s">
        <v>255</v>
      </c>
      <c r="T71" s="62" t="s">
        <v>183</v>
      </c>
      <c r="U71" s="62" t="s">
        <v>183</v>
      </c>
      <c r="V71" s="62" t="s">
        <v>183</v>
      </c>
      <c r="W71" s="62"/>
      <c r="X71" s="62" t="str">
        <f t="shared" si="64"/>
        <v/>
      </c>
      <c r="Y71" s="62" t="str">
        <f t="shared" si="65"/>
        <v/>
      </c>
      <c r="Z71" s="62" t="str">
        <f t="shared" si="66"/>
        <v/>
      </c>
      <c r="AA71" s="62" t="str">
        <f t="shared" si="67"/>
        <v/>
      </c>
      <c r="AB71" s="62" t="str">
        <f t="shared" si="68"/>
        <v>〇</v>
      </c>
      <c r="AC71" s="62" t="str">
        <f t="shared" si="69"/>
        <v>〇</v>
      </c>
      <c r="AD71" s="62" t="str">
        <f t="shared" si="70"/>
        <v>〇</v>
      </c>
      <c r="AE71" s="62" t="str">
        <f t="shared" si="71"/>
        <v>〇</v>
      </c>
      <c r="AF71" s="60" t="b">
        <f t="shared" si="72"/>
        <v>0</v>
      </c>
      <c r="AG71" s="60"/>
    </row>
    <row r="72" spans="1:33" ht="45">
      <c r="A72" s="52"/>
      <c r="B72" s="58"/>
      <c r="C72" s="71" t="s">
        <v>1885</v>
      </c>
      <c r="D72" s="71" t="s">
        <v>1886</v>
      </c>
      <c r="E72" s="107" t="s">
        <v>1887</v>
      </c>
      <c r="F72" s="60" t="s">
        <v>356</v>
      </c>
      <c r="G72" s="60" t="s">
        <v>356</v>
      </c>
      <c r="H72" s="60" t="s">
        <v>356</v>
      </c>
      <c r="I72" s="60" t="s">
        <v>356</v>
      </c>
      <c r="J72" s="60" t="s">
        <v>1747</v>
      </c>
      <c r="K72" s="60" t="s">
        <v>1747</v>
      </c>
      <c r="L72" s="60" t="s">
        <v>1747</v>
      </c>
      <c r="M72" s="60" t="s">
        <v>1747</v>
      </c>
      <c r="N72" s="61"/>
      <c r="O72" s="61"/>
      <c r="P72" s="123"/>
      <c r="Q72" s="243"/>
      <c r="R72" s="111" cm="1">
        <f t="array" ref="R72">IF(AF72=TRUE,_xlfn.IFS(P72=1,2,P72="",IF(Q72="",1,2)),0)</f>
        <v>0</v>
      </c>
      <c r="S72" s="62" t="s">
        <v>255</v>
      </c>
      <c r="T72" s="62" t="s">
        <v>183</v>
      </c>
      <c r="U72" s="62" t="s">
        <v>183</v>
      </c>
      <c r="V72" s="62" t="s">
        <v>183</v>
      </c>
      <c r="W72" s="62"/>
      <c r="X72" s="62" t="str">
        <f t="shared" si="64"/>
        <v/>
      </c>
      <c r="Y72" s="62" t="str">
        <f t="shared" si="65"/>
        <v/>
      </c>
      <c r="Z72" s="62" t="str">
        <f t="shared" si="66"/>
        <v/>
      </c>
      <c r="AA72" s="62" t="str">
        <f t="shared" si="67"/>
        <v/>
      </c>
      <c r="AB72" s="62" t="str">
        <f t="shared" si="68"/>
        <v>〇</v>
      </c>
      <c r="AC72" s="62" t="str">
        <f t="shared" si="69"/>
        <v>〇</v>
      </c>
      <c r="AD72" s="62" t="str">
        <f t="shared" si="70"/>
        <v>〇</v>
      </c>
      <c r="AE72" s="62" t="str">
        <f t="shared" si="71"/>
        <v>〇</v>
      </c>
      <c r="AF72" s="60" t="b">
        <f t="shared" si="72"/>
        <v>0</v>
      </c>
      <c r="AG72" s="60"/>
    </row>
    <row r="73" spans="1:33" ht="68.5" customHeight="1">
      <c r="A73" s="52"/>
      <c r="B73" s="58"/>
      <c r="C73" s="71" t="s">
        <v>1888</v>
      </c>
      <c r="D73" s="71" t="s">
        <v>1889</v>
      </c>
      <c r="E73" s="107" t="s">
        <v>1890</v>
      </c>
      <c r="F73" s="60" t="s">
        <v>356</v>
      </c>
      <c r="G73" s="60" t="s">
        <v>356</v>
      </c>
      <c r="H73" s="60" t="s">
        <v>356</v>
      </c>
      <c r="I73" s="60" t="s">
        <v>356</v>
      </c>
      <c r="J73" s="60" t="s">
        <v>356</v>
      </c>
      <c r="K73" s="60" t="s">
        <v>356</v>
      </c>
      <c r="L73" s="60" t="s">
        <v>356</v>
      </c>
      <c r="M73" s="60" t="s">
        <v>1747</v>
      </c>
      <c r="N73" s="61"/>
      <c r="O73" s="61"/>
      <c r="P73" s="123"/>
      <c r="Q73" s="243"/>
      <c r="R73" s="111" cm="1">
        <f t="array" ref="R73">IF(AF73=TRUE,_xlfn.IFS(P73=1,2,P73="",IF(Q73="",1,2)),0)</f>
        <v>0</v>
      </c>
      <c r="S73" s="62" t="s">
        <v>255</v>
      </c>
      <c r="T73" s="62" t="s">
        <v>183</v>
      </c>
      <c r="U73" s="62" t="s">
        <v>183</v>
      </c>
      <c r="V73" s="62" t="s">
        <v>183</v>
      </c>
      <c r="W73" s="62"/>
      <c r="X73" s="62" t="str">
        <f t="shared" si="64"/>
        <v/>
      </c>
      <c r="Y73" s="62" t="str">
        <f t="shared" si="65"/>
        <v/>
      </c>
      <c r="Z73" s="62" t="str">
        <f t="shared" si="66"/>
        <v/>
      </c>
      <c r="AA73" s="62" t="str">
        <f t="shared" si="67"/>
        <v/>
      </c>
      <c r="AB73" s="62" t="str">
        <f t="shared" si="68"/>
        <v/>
      </c>
      <c r="AC73" s="62" t="str">
        <f t="shared" si="69"/>
        <v/>
      </c>
      <c r="AD73" s="62" t="str">
        <f t="shared" si="70"/>
        <v/>
      </c>
      <c r="AE73" s="62" t="str">
        <f t="shared" si="71"/>
        <v>〇</v>
      </c>
      <c r="AF73" s="60" t="b">
        <f t="shared" si="72"/>
        <v>0</v>
      </c>
      <c r="AG73" s="60"/>
    </row>
    <row r="74" spans="1:33" ht="90">
      <c r="A74" s="52"/>
      <c r="B74" s="58"/>
      <c r="C74" s="71" t="s">
        <v>1891</v>
      </c>
      <c r="D74" s="71" t="s">
        <v>1892</v>
      </c>
      <c r="E74" s="107" t="s">
        <v>1893</v>
      </c>
      <c r="F74" s="60" t="s">
        <v>356</v>
      </c>
      <c r="G74" s="60" t="s">
        <v>356</v>
      </c>
      <c r="H74" s="60" t="s">
        <v>356</v>
      </c>
      <c r="I74" s="60" t="s">
        <v>356</v>
      </c>
      <c r="J74" s="60" t="s">
        <v>356</v>
      </c>
      <c r="K74" s="60" t="s">
        <v>356</v>
      </c>
      <c r="L74" s="60" t="s">
        <v>356</v>
      </c>
      <c r="M74" s="60" t="s">
        <v>1747</v>
      </c>
      <c r="N74" s="61"/>
      <c r="O74" s="61"/>
      <c r="P74" s="123"/>
      <c r="Q74" s="243"/>
      <c r="R74" s="111" cm="1">
        <f t="array" ref="R74">IF(AF74=TRUE,_xlfn.IFS(P74=1,2,P74="",IF(Q74="",1,2)),0)</f>
        <v>0</v>
      </c>
      <c r="S74" s="62" t="s">
        <v>255</v>
      </c>
      <c r="T74" s="62" t="s">
        <v>183</v>
      </c>
      <c r="U74" s="62" t="s">
        <v>183</v>
      </c>
      <c r="V74" s="62" t="s">
        <v>183</v>
      </c>
      <c r="W74" s="62"/>
      <c r="X74" s="62" t="str">
        <f t="shared" si="64"/>
        <v/>
      </c>
      <c r="Y74" s="62" t="str">
        <f t="shared" si="65"/>
        <v/>
      </c>
      <c r="Z74" s="62" t="str">
        <f t="shared" si="66"/>
        <v/>
      </c>
      <c r="AA74" s="62" t="str">
        <f t="shared" si="67"/>
        <v/>
      </c>
      <c r="AB74" s="62" t="str">
        <f t="shared" si="68"/>
        <v/>
      </c>
      <c r="AC74" s="62" t="str">
        <f t="shared" si="69"/>
        <v/>
      </c>
      <c r="AD74" s="62" t="str">
        <f t="shared" si="70"/>
        <v/>
      </c>
      <c r="AE74" s="62" t="str">
        <f t="shared" si="71"/>
        <v>〇</v>
      </c>
      <c r="AF74" s="60" t="b">
        <f t="shared" si="72"/>
        <v>0</v>
      </c>
      <c r="AG74" s="60"/>
    </row>
    <row r="75" spans="1:33" ht="90">
      <c r="A75" s="52"/>
      <c r="B75" s="58"/>
      <c r="C75" s="71" t="s">
        <v>1894</v>
      </c>
      <c r="D75" s="71" t="s">
        <v>1895</v>
      </c>
      <c r="E75" s="107" t="s">
        <v>1896</v>
      </c>
      <c r="F75" s="60" t="s">
        <v>356</v>
      </c>
      <c r="G75" s="60" t="s">
        <v>356</v>
      </c>
      <c r="H75" s="60" t="s">
        <v>356</v>
      </c>
      <c r="I75" s="60" t="s">
        <v>356</v>
      </c>
      <c r="J75" s="60" t="s">
        <v>356</v>
      </c>
      <c r="K75" s="60" t="s">
        <v>356</v>
      </c>
      <c r="L75" s="60" t="s">
        <v>356</v>
      </c>
      <c r="M75" s="60" t="s">
        <v>356</v>
      </c>
      <c r="N75" s="61"/>
      <c r="O75" s="61"/>
      <c r="P75" s="123"/>
      <c r="Q75" s="243"/>
      <c r="R75" s="111" cm="1">
        <f t="array" ref="R75">IF(AF75=TRUE,_xlfn.IFS(P75=1,2,P75="",IF(Q75="",1,2)),0)</f>
        <v>0</v>
      </c>
      <c r="S75" s="62" t="s">
        <v>255</v>
      </c>
      <c r="T75" s="62" t="s">
        <v>183</v>
      </c>
      <c r="U75" s="62" t="s">
        <v>183</v>
      </c>
      <c r="V75" s="62" t="s">
        <v>183</v>
      </c>
      <c r="W75" s="62"/>
      <c r="X75" s="62" t="str">
        <f t="shared" si="64"/>
        <v/>
      </c>
      <c r="Y75" s="62" t="str">
        <f t="shared" si="65"/>
        <v/>
      </c>
      <c r="Z75" s="62" t="str">
        <f t="shared" si="66"/>
        <v/>
      </c>
      <c r="AA75" s="62" t="str">
        <f t="shared" si="67"/>
        <v/>
      </c>
      <c r="AB75" s="62" t="str">
        <f t="shared" si="68"/>
        <v/>
      </c>
      <c r="AC75" s="62" t="str">
        <f t="shared" si="69"/>
        <v/>
      </c>
      <c r="AD75" s="62" t="str">
        <f t="shared" si="70"/>
        <v/>
      </c>
      <c r="AE75" s="62" t="str">
        <f t="shared" si="71"/>
        <v/>
      </c>
      <c r="AF75" s="60" t="b">
        <f t="shared" si="72"/>
        <v>0</v>
      </c>
      <c r="AG75" s="60"/>
    </row>
    <row r="76" spans="1:33" ht="67.5">
      <c r="A76" s="52"/>
      <c r="B76" s="58"/>
      <c r="C76" s="71" t="s">
        <v>1897</v>
      </c>
      <c r="D76" s="71" t="s">
        <v>1898</v>
      </c>
      <c r="E76" s="107" t="s">
        <v>1899</v>
      </c>
      <c r="F76" s="60" t="s">
        <v>356</v>
      </c>
      <c r="G76" s="60" t="s">
        <v>356</v>
      </c>
      <c r="H76" s="60" t="s">
        <v>356</v>
      </c>
      <c r="I76" s="60" t="s">
        <v>356</v>
      </c>
      <c r="J76" s="60" t="s">
        <v>356</v>
      </c>
      <c r="K76" s="60" t="s">
        <v>356</v>
      </c>
      <c r="L76" s="60" t="s">
        <v>356</v>
      </c>
      <c r="M76" s="60" t="s">
        <v>356</v>
      </c>
      <c r="N76" s="61"/>
      <c r="O76" s="61"/>
      <c r="P76" s="123"/>
      <c r="Q76" s="243"/>
      <c r="R76" s="111" cm="1">
        <f t="array" ref="R76">IF(AF76=TRUE,_xlfn.IFS(P76=1,2,P76="",IF(Q76="",1,2)),0)</f>
        <v>0</v>
      </c>
      <c r="S76" s="62" t="s">
        <v>255</v>
      </c>
      <c r="T76" s="62" t="s">
        <v>183</v>
      </c>
      <c r="U76" s="62" t="s">
        <v>183</v>
      </c>
      <c r="V76" s="62" t="s">
        <v>183</v>
      </c>
      <c r="W76" s="62"/>
      <c r="X76" s="62" t="str">
        <f t="shared" si="64"/>
        <v/>
      </c>
      <c r="Y76" s="62" t="str">
        <f t="shared" si="65"/>
        <v/>
      </c>
      <c r="Z76" s="62" t="str">
        <f t="shared" si="66"/>
        <v/>
      </c>
      <c r="AA76" s="62" t="str">
        <f t="shared" si="67"/>
        <v/>
      </c>
      <c r="AB76" s="62" t="str">
        <f t="shared" si="68"/>
        <v/>
      </c>
      <c r="AC76" s="62" t="str">
        <f t="shared" si="69"/>
        <v/>
      </c>
      <c r="AD76" s="62" t="str">
        <f t="shared" si="70"/>
        <v/>
      </c>
      <c r="AE76" s="62" t="str">
        <f t="shared" si="71"/>
        <v/>
      </c>
      <c r="AF76" s="60" t="b">
        <f t="shared" si="72"/>
        <v>0</v>
      </c>
      <c r="AG76" s="60"/>
    </row>
    <row r="77" spans="1:33" ht="45">
      <c r="A77" s="52"/>
      <c r="B77" s="58"/>
      <c r="C77" s="71" t="s">
        <v>1900</v>
      </c>
      <c r="D77" s="71" t="s">
        <v>1901</v>
      </c>
      <c r="E77" s="107" t="s">
        <v>1902</v>
      </c>
      <c r="F77" s="60" t="s">
        <v>254</v>
      </c>
      <c r="G77" s="60" t="s">
        <v>254</v>
      </c>
      <c r="H77" s="60" t="s">
        <v>254</v>
      </c>
      <c r="I77" s="60" t="s">
        <v>254</v>
      </c>
      <c r="J77" s="60" t="s">
        <v>254</v>
      </c>
      <c r="K77" s="60" t="s">
        <v>254</v>
      </c>
      <c r="L77" s="60" t="s">
        <v>254</v>
      </c>
      <c r="M77" s="60" t="s">
        <v>1747</v>
      </c>
      <c r="N77" s="61"/>
      <c r="O77" s="61"/>
      <c r="P77" s="123"/>
      <c r="Q77" s="243"/>
      <c r="R77" s="111" cm="1">
        <f t="array" ref="R77">IF(AF77=TRUE,_xlfn.IFS(P77=1,2,P77="",IF(Q77="",1,2)),0)</f>
        <v>0</v>
      </c>
      <c r="S77" s="62" t="s">
        <v>255</v>
      </c>
      <c r="T77" s="62" t="s">
        <v>183</v>
      </c>
      <c r="U77" s="62" t="s">
        <v>183</v>
      </c>
      <c r="V77" s="62" t="s">
        <v>183</v>
      </c>
      <c r="W77" s="62"/>
      <c r="X77" s="62" t="str">
        <f t="shared" si="64"/>
        <v/>
      </c>
      <c r="Y77" s="62" t="str">
        <f t="shared" si="65"/>
        <v/>
      </c>
      <c r="Z77" s="62" t="str">
        <f t="shared" si="66"/>
        <v/>
      </c>
      <c r="AA77" s="62" t="str">
        <f t="shared" si="67"/>
        <v/>
      </c>
      <c r="AB77" s="62" t="str">
        <f t="shared" si="68"/>
        <v/>
      </c>
      <c r="AC77" s="62" t="str">
        <f t="shared" si="69"/>
        <v/>
      </c>
      <c r="AD77" s="62" t="str">
        <f t="shared" si="70"/>
        <v/>
      </c>
      <c r="AE77" s="62" t="str">
        <f t="shared" si="71"/>
        <v>〇</v>
      </c>
      <c r="AF77" s="60" t="b">
        <f t="shared" si="72"/>
        <v>0</v>
      </c>
      <c r="AG77" s="60"/>
    </row>
    <row r="78" spans="1:33">
      <c r="N78">
        <f>COUNTA(N10:N77)</f>
        <v>0</v>
      </c>
      <c r="R78">
        <f>COUNTIF(R10:R77,2)</f>
        <v>0</v>
      </c>
      <c r="AF78">
        <f>COUNTIF(AF10:AF77,TRUE)</f>
        <v>0</v>
      </c>
    </row>
    <row r="79" spans="1:33">
      <c r="N79">
        <f>COUNTIF(N10:N77,インデックス!CJ185)</f>
        <v>0</v>
      </c>
    </row>
  </sheetData>
  <autoFilter ref="A6:AG77" xr:uid="{00000000-0009-0000-0000-000010000000}"/>
  <mergeCells count="1">
    <mergeCell ref="P1:Q2"/>
  </mergeCells>
  <phoneticPr fontId="7"/>
  <conditionalFormatting sqref="E11:P11 E10:O10 E18:P18 E12:O17 E24:P24 E19:O23 E30:P30 E25:O29 E40:P40 E31:O39 E46:P46 E41:O45 E55:P55 E47:O54 E65:P65 E56:O64 E66:O77">
    <cfRule type="expression" dxfId="9" priority="10">
      <formula>$AF10=FALSE</formula>
    </cfRule>
  </conditionalFormatting>
  <dataValidations count="1">
    <dataValidation type="list" allowBlank="1" showInputMessage="1" showErrorMessage="1" sqref="P7:P77" xr:uid="{00000000-0002-0000-1000-000000000000}">
      <formula1>"1"</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1E0A1D46-AB02-4097-88DB-338B96C6C8A2}">
            <xm:f>AND($AF10=TRUE,$N10=インデックス!$CJ$184,ISBLANK($O10))</xm:f>
            <x14:dxf>
              <fill>
                <patternFill>
                  <bgColor theme="5"/>
                </patternFill>
              </fill>
            </x14:dxf>
          </x14:cfRule>
          <xm:sqref>O11:P11 O10 O18:P18 O12:O17 O24:P24 O19:O23 O30:P30 O25:O29 O40:P40 O31:O39 O46:P46 O41:O45 O55:P55 O47:O54 O65:P65 O56:O64 O66:O77</xm:sqref>
        </x14:conditionalFormatting>
        <x14:conditionalFormatting xmlns:xm="http://schemas.microsoft.com/office/excel/2006/main">
          <x14:cfRule type="expression" priority="8" id="{99518690-C59D-40B7-8B5A-C354B4A526B6}">
            <xm:f>AND($AF10=TRUE,COUNTIF($N10,インデックス!$CJ$186),ISBLANK($O10))</xm:f>
            <x14:dxf>
              <fill>
                <patternFill>
                  <bgColor theme="5"/>
                </patternFill>
              </fill>
            </x14:dxf>
          </x14:cfRule>
          <xm:sqref>O10:O77</xm:sqref>
        </x14:conditionalFormatting>
        <x14:conditionalFormatting xmlns:xm="http://schemas.microsoft.com/office/excel/2006/main">
          <x14:cfRule type="expression" priority="6" id="{50BEA48B-1695-41CC-BDA0-B73C053283B8}">
            <xm:f>AND($AF10=TRUE,OR($N10=インデックス!$CJ$184,$N10=インデックス!$CJ$185,$N10=インデックス!$CJ$186),ISBLANK($Q10))</xm:f>
            <x14:dxf>
              <fill>
                <patternFill>
                  <bgColor theme="5"/>
                </patternFill>
              </fill>
            </x14:dxf>
          </x14:cfRule>
          <xm:sqref>Q10:Q77</xm:sqref>
        </x14:conditionalFormatting>
        <x14:conditionalFormatting xmlns:xm="http://schemas.microsoft.com/office/excel/2006/main">
          <x14:cfRule type="expression" priority="1" id="{DC658239-E1D2-4341-8901-505778C4F50A}">
            <xm:f>P$1=インデックス!$CJ$189</xm:f>
            <x14:dxf>
              <fill>
                <patternFill>
                  <bgColor theme="5"/>
                </patternFill>
              </fill>
            </x14:dxf>
          </x14:cfRule>
          <x14:cfRule type="expression" priority="2" id="{AB065557-391C-4776-BCFB-312F97EC2217}">
            <xm:f>P$1=インデックス!$CJ$188</xm:f>
            <x14:dxf>
              <fill>
                <patternFill>
                  <bgColor theme="9"/>
                </patternFill>
              </fill>
            </x14:dxf>
          </x14:cfRule>
          <x14:cfRule type="expression" priority="3" id="{81C0C1C9-29F2-4A30-9BD1-9BFFDA37954C}">
            <xm:f>P$1=インデックス!$CJ$187</xm:f>
            <x14:dxf>
              <fill>
                <patternFill>
                  <bgColor theme="4"/>
                </patternFill>
              </fill>
            </x14:dxf>
          </x14:cfRule>
          <xm:sqref>P1:Q2</xm:sqref>
        </x14:conditionalFormatting>
        <x14:conditionalFormatting xmlns:xm="http://schemas.microsoft.com/office/excel/2006/main">
          <x14:cfRule type="expression" priority="1922" id="{06EBC4A1-27C0-466C-B22C-1FE5E280AB10}">
            <xm:f>AND($AF10=TRUE,$N10=インデックス!$CJ$184,ISBLANK($P10),インデックス!$AL$40=TRUE)</xm:f>
            <x14:dxf>
              <fill>
                <patternFill>
                  <bgColor theme="5"/>
                </patternFill>
              </fill>
            </x14:dxf>
          </x14:cfRule>
          <x14:cfRule type="expression" priority="1923" id="{BC123D6E-8D42-4557-BEED-E6DCFC9E1515}">
            <xm:f>AND($AF10=TRUE,OR($N10=インデックス!$CJ$183,$N10=インデックス!$CJ$184,$N10=インデックス!$CJ$185,$N10=インデックス!$CJ$186),ISBLANK($P10))</xm:f>
            <x14:dxf>
              <fill>
                <patternFill>
                  <bgColor theme="5"/>
                </patternFill>
              </fill>
            </x14:dxf>
          </x14:cfRule>
          <xm:sqref>P10:P77</xm:sqref>
        </x14:conditionalFormatting>
        <x14:conditionalFormatting xmlns:xm="http://schemas.microsoft.com/office/excel/2006/main">
          <x14:cfRule type="expression" priority="1924" id="{5098B43B-CF5D-4884-9247-1635BCB4118E}">
            <xm:f>AND($AF10=TRUE,$N10=インデックス!$CJ$184,ISBLANK($Q10),インデックス!$AL$40=TRUE)</xm:f>
            <x14:dxf>
              <fill>
                <patternFill>
                  <bgColor theme="5"/>
                </patternFill>
              </fill>
            </x14:dxf>
          </x14:cfRule>
          <xm:sqref>Q11:R11 Q10 Q18:R18 Q12:Q17 Q24:R24 Q19:Q23 Q30:R30 Q25:Q29 Q40:R40 Q31:Q39 Q46:R46 Q41:Q45 Q55:R55 Q47:Q54 Q65:R65 Q56:Q64 Q66:Q77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インデックス!$CJ$183:$CJ$186</xm:f>
          </x14:formula1>
          <xm:sqref>N10 N12:N17 N19:N23 N25:N29 N31:N39 N41:N45 N47:N54 N56:N64 N66:N77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D79"/>
  <sheetViews>
    <sheetView zoomScale="80" zoomScaleNormal="80" workbookViewId="0">
      <pane ySplit="2" topLeftCell="A68" activePane="bottomLeft" state="frozen"/>
      <selection activeCell="B5" sqref="B5"/>
      <selection pane="bottomLeft"/>
    </sheetView>
  </sheetViews>
  <sheetFormatPr defaultColWidth="9" defaultRowHeight="18"/>
  <cols>
    <col min="1" max="1" width="10.25" style="2" bestFit="1" customWidth="1"/>
    <col min="2" max="2" width="65.75" style="2" customWidth="1"/>
    <col min="3" max="3" width="9" style="2"/>
    <col min="4" max="4" width="45.75" style="2" customWidth="1"/>
    <col min="5" max="16384" width="9" style="2"/>
  </cols>
  <sheetData>
    <row r="1" spans="1:4" ht="42" customHeight="1"/>
    <row r="2" spans="1:4">
      <c r="A2" s="158" t="s">
        <v>1903</v>
      </c>
      <c r="B2" s="158" t="s">
        <v>1904</v>
      </c>
      <c r="C2" s="158" t="s">
        <v>1905</v>
      </c>
      <c r="D2" s="158" t="s">
        <v>1906</v>
      </c>
    </row>
    <row r="3" spans="1:4" ht="54">
      <c r="A3" s="179">
        <v>44307</v>
      </c>
      <c r="B3" s="157" t="s">
        <v>1907</v>
      </c>
      <c r="C3" s="156" t="s">
        <v>1908</v>
      </c>
      <c r="D3" s="156" t="s">
        <v>1909</v>
      </c>
    </row>
    <row r="4" spans="1:4" ht="54">
      <c r="A4" s="179">
        <v>44330</v>
      </c>
      <c r="B4" s="157" t="s">
        <v>1910</v>
      </c>
      <c r="C4" s="156" t="s">
        <v>1908</v>
      </c>
      <c r="D4" s="156" t="s">
        <v>1911</v>
      </c>
    </row>
    <row r="5" spans="1:4" ht="36">
      <c r="A5" s="179">
        <v>44330</v>
      </c>
      <c r="B5" s="157" t="s">
        <v>1912</v>
      </c>
      <c r="C5" s="156" t="s">
        <v>1908</v>
      </c>
      <c r="D5" s="156" t="s">
        <v>1913</v>
      </c>
    </row>
    <row r="6" spans="1:4" ht="72">
      <c r="A6" s="179">
        <v>44330</v>
      </c>
      <c r="B6" s="157" t="s">
        <v>1914</v>
      </c>
      <c r="C6" s="156" t="s">
        <v>1908</v>
      </c>
      <c r="D6" s="156" t="s">
        <v>1913</v>
      </c>
    </row>
    <row r="7" spans="1:4" ht="36">
      <c r="A7" s="179">
        <v>44330</v>
      </c>
      <c r="B7" s="157" t="s">
        <v>1915</v>
      </c>
      <c r="C7" s="156" t="s">
        <v>1908</v>
      </c>
      <c r="D7" s="156" t="s">
        <v>1913</v>
      </c>
    </row>
    <row r="8" spans="1:4" ht="180">
      <c r="A8" s="179">
        <v>44378</v>
      </c>
      <c r="B8" s="157" t="s">
        <v>1916</v>
      </c>
      <c r="C8" s="156" t="s">
        <v>1908</v>
      </c>
      <c r="D8" s="157" t="s">
        <v>1917</v>
      </c>
    </row>
    <row r="9" spans="1:4" ht="36">
      <c r="A9" s="179">
        <v>44378</v>
      </c>
      <c r="B9" s="157" t="s">
        <v>1918</v>
      </c>
      <c r="C9" s="156" t="s">
        <v>1908</v>
      </c>
      <c r="D9" s="157" t="s">
        <v>1917</v>
      </c>
    </row>
    <row r="10" spans="1:4" ht="54">
      <c r="A10" s="179">
        <v>44378</v>
      </c>
      <c r="B10" s="157" t="s">
        <v>1919</v>
      </c>
      <c r="C10" s="156" t="s">
        <v>1908</v>
      </c>
      <c r="D10" s="157" t="s">
        <v>1917</v>
      </c>
    </row>
    <row r="11" spans="1:4" ht="54">
      <c r="A11" s="179">
        <v>44378</v>
      </c>
      <c r="B11" s="157" t="s">
        <v>1920</v>
      </c>
      <c r="C11" s="156" t="s">
        <v>1908</v>
      </c>
      <c r="D11" s="157" t="s">
        <v>1917</v>
      </c>
    </row>
    <row r="12" spans="1:4" ht="234">
      <c r="A12" s="179">
        <v>44378</v>
      </c>
      <c r="B12" s="157" t="s">
        <v>1921</v>
      </c>
      <c r="C12" s="156" t="s">
        <v>1908</v>
      </c>
      <c r="D12" s="157" t="s">
        <v>1917</v>
      </c>
    </row>
    <row r="13" spans="1:4" ht="198">
      <c r="A13" s="179">
        <v>44378</v>
      </c>
      <c r="B13" s="157" t="s">
        <v>1922</v>
      </c>
      <c r="C13" s="156" t="s">
        <v>1908</v>
      </c>
      <c r="D13" s="157" t="s">
        <v>1917</v>
      </c>
    </row>
    <row r="14" spans="1:4" ht="108">
      <c r="A14" s="179">
        <v>44378</v>
      </c>
      <c r="B14" s="157" t="s">
        <v>1923</v>
      </c>
      <c r="C14" s="156" t="s">
        <v>1908</v>
      </c>
      <c r="D14" s="157" t="s">
        <v>1917</v>
      </c>
    </row>
    <row r="15" spans="1:4" ht="90">
      <c r="A15" s="179">
        <v>44378</v>
      </c>
      <c r="B15" s="157" t="s">
        <v>1924</v>
      </c>
      <c r="C15" s="156" t="s">
        <v>1908</v>
      </c>
      <c r="D15" s="157" t="s">
        <v>1917</v>
      </c>
    </row>
    <row r="16" spans="1:4" ht="162">
      <c r="A16" s="179">
        <v>44378</v>
      </c>
      <c r="B16" s="157" t="s">
        <v>1925</v>
      </c>
      <c r="C16" s="156" t="s">
        <v>1908</v>
      </c>
      <c r="D16" s="157" t="s">
        <v>1917</v>
      </c>
    </row>
    <row r="17" spans="1:4" ht="306">
      <c r="A17" s="179">
        <v>44378</v>
      </c>
      <c r="B17" s="157" t="s">
        <v>1926</v>
      </c>
      <c r="C17" s="156" t="s">
        <v>1908</v>
      </c>
      <c r="D17" s="157" t="s">
        <v>1917</v>
      </c>
    </row>
    <row r="18" spans="1:4" ht="36">
      <c r="A18" s="179">
        <v>44378</v>
      </c>
      <c r="B18" s="157" t="s">
        <v>1927</v>
      </c>
      <c r="C18" s="156" t="s">
        <v>1908</v>
      </c>
      <c r="D18" s="157" t="s">
        <v>1917</v>
      </c>
    </row>
    <row r="19" spans="1:4" ht="162">
      <c r="A19" s="179">
        <v>44378</v>
      </c>
      <c r="B19" s="157" t="s">
        <v>1928</v>
      </c>
      <c r="C19" s="156" t="s">
        <v>1908</v>
      </c>
      <c r="D19" s="157" t="s">
        <v>1917</v>
      </c>
    </row>
    <row r="20" spans="1:4" ht="306">
      <c r="A20" s="179">
        <v>44378</v>
      </c>
      <c r="B20" s="157" t="s">
        <v>1929</v>
      </c>
      <c r="C20" s="156" t="s">
        <v>1908</v>
      </c>
      <c r="D20" s="157" t="s">
        <v>1917</v>
      </c>
    </row>
    <row r="21" spans="1:4" ht="54">
      <c r="A21" s="179">
        <v>44389</v>
      </c>
      <c r="B21" s="157" t="s">
        <v>1930</v>
      </c>
      <c r="C21" s="156" t="s">
        <v>1908</v>
      </c>
      <c r="D21" s="156" t="s">
        <v>1931</v>
      </c>
    </row>
    <row r="22" spans="1:4" ht="36">
      <c r="A22" s="179">
        <v>44389</v>
      </c>
      <c r="B22" s="157" t="s">
        <v>1932</v>
      </c>
      <c r="C22" s="156" t="s">
        <v>1908</v>
      </c>
      <c r="D22" s="156" t="s">
        <v>1931</v>
      </c>
    </row>
    <row r="23" spans="1:4" ht="126">
      <c r="A23" s="179">
        <v>44389</v>
      </c>
      <c r="B23" s="157" t="s">
        <v>1933</v>
      </c>
      <c r="C23" s="156" t="s">
        <v>1908</v>
      </c>
      <c r="D23" s="156" t="s">
        <v>1931</v>
      </c>
    </row>
    <row r="24" spans="1:4" ht="306">
      <c r="A24" s="179">
        <v>44531</v>
      </c>
      <c r="B24" s="157" t="s">
        <v>1934</v>
      </c>
      <c r="C24" s="156" t="s">
        <v>1908</v>
      </c>
      <c r="D24" s="157" t="s">
        <v>1935</v>
      </c>
    </row>
    <row r="25" spans="1:4" ht="162">
      <c r="A25" s="179">
        <v>44531</v>
      </c>
      <c r="B25" s="157" t="s">
        <v>1936</v>
      </c>
      <c r="C25" s="156" t="s">
        <v>1908</v>
      </c>
      <c r="D25" s="157" t="s">
        <v>1935</v>
      </c>
    </row>
    <row r="26" spans="1:4" ht="54">
      <c r="A26" s="179">
        <v>44531</v>
      </c>
      <c r="B26" s="157" t="s">
        <v>1937</v>
      </c>
      <c r="C26" s="156" t="s">
        <v>1908</v>
      </c>
      <c r="D26" s="157" t="s">
        <v>1935</v>
      </c>
    </row>
    <row r="27" spans="1:4" ht="27" customHeight="1">
      <c r="A27" s="179">
        <v>44531</v>
      </c>
      <c r="B27" s="157" t="s">
        <v>1938</v>
      </c>
      <c r="C27" s="156" t="s">
        <v>1908</v>
      </c>
      <c r="D27" s="157" t="s">
        <v>1935</v>
      </c>
    </row>
    <row r="28" spans="1:4" ht="324">
      <c r="A28" s="179">
        <v>44531</v>
      </c>
      <c r="B28" s="157" t="s">
        <v>1939</v>
      </c>
      <c r="C28" s="156" t="s">
        <v>1908</v>
      </c>
      <c r="D28" s="157" t="s">
        <v>1935</v>
      </c>
    </row>
    <row r="29" spans="1:4" ht="54">
      <c r="A29" s="179">
        <v>44581</v>
      </c>
      <c r="B29" s="157" t="s">
        <v>1940</v>
      </c>
      <c r="C29" s="156" t="s">
        <v>1908</v>
      </c>
      <c r="D29" s="156" t="s">
        <v>1913</v>
      </c>
    </row>
    <row r="30" spans="1:4" ht="162">
      <c r="A30" s="179">
        <v>44652</v>
      </c>
      <c r="B30" s="157" t="s">
        <v>1941</v>
      </c>
      <c r="C30" s="156" t="s">
        <v>1908</v>
      </c>
      <c r="D30" s="156" t="s">
        <v>1942</v>
      </c>
    </row>
    <row r="31" spans="1:4" ht="180">
      <c r="A31" s="179">
        <v>44652</v>
      </c>
      <c r="B31" s="157" t="s">
        <v>1943</v>
      </c>
      <c r="C31" s="156" t="s">
        <v>1908</v>
      </c>
      <c r="D31" s="156" t="s">
        <v>1942</v>
      </c>
    </row>
    <row r="32" spans="1:4" ht="270">
      <c r="A32" s="179">
        <v>44652</v>
      </c>
      <c r="B32" s="157" t="s">
        <v>1944</v>
      </c>
      <c r="C32" s="156" t="s">
        <v>1908</v>
      </c>
      <c r="D32" s="156" t="s">
        <v>1942</v>
      </c>
    </row>
    <row r="33" spans="1:4" ht="162">
      <c r="A33" s="179">
        <v>44652</v>
      </c>
      <c r="B33" s="157" t="s">
        <v>1945</v>
      </c>
      <c r="C33" s="156" t="s">
        <v>1908</v>
      </c>
      <c r="D33" s="156" t="s">
        <v>1942</v>
      </c>
    </row>
    <row r="34" spans="1:4" ht="234">
      <c r="A34" s="179">
        <v>44652</v>
      </c>
      <c r="B34" s="157" t="s">
        <v>1946</v>
      </c>
      <c r="C34" s="156" t="s">
        <v>1908</v>
      </c>
      <c r="D34" s="156" t="s">
        <v>1942</v>
      </c>
    </row>
    <row r="35" spans="1:4" ht="162">
      <c r="A35" s="179">
        <v>44652</v>
      </c>
      <c r="B35" s="157" t="s">
        <v>1947</v>
      </c>
      <c r="C35" s="156" t="s">
        <v>1908</v>
      </c>
      <c r="D35" s="156" t="s">
        <v>1942</v>
      </c>
    </row>
    <row r="36" spans="1:4" ht="324">
      <c r="A36" s="179">
        <v>44774</v>
      </c>
      <c r="B36" s="157" t="s">
        <v>1948</v>
      </c>
      <c r="C36" s="156" t="s">
        <v>1949</v>
      </c>
      <c r="D36" s="156" t="s">
        <v>1942</v>
      </c>
    </row>
    <row r="37" spans="1:4" ht="90">
      <c r="A37" s="179">
        <v>44774</v>
      </c>
      <c r="B37" s="157" t="s">
        <v>1950</v>
      </c>
      <c r="C37" s="156" t="s">
        <v>1949</v>
      </c>
      <c r="D37" s="156" t="s">
        <v>1951</v>
      </c>
    </row>
    <row r="38" spans="1:4" ht="108">
      <c r="A38" s="179">
        <v>44774</v>
      </c>
      <c r="B38" s="157" t="s">
        <v>1952</v>
      </c>
      <c r="C38" s="156" t="s">
        <v>1949</v>
      </c>
      <c r="D38" s="156" t="s">
        <v>1951</v>
      </c>
    </row>
    <row r="39" spans="1:4" ht="72">
      <c r="A39" s="179">
        <v>44774</v>
      </c>
      <c r="B39" s="157" t="s">
        <v>1953</v>
      </c>
      <c r="C39" s="156" t="s">
        <v>1949</v>
      </c>
      <c r="D39" s="156" t="s">
        <v>1951</v>
      </c>
    </row>
    <row r="40" spans="1:4" ht="162">
      <c r="A40" s="179">
        <v>44774</v>
      </c>
      <c r="B40" s="157" t="s">
        <v>1954</v>
      </c>
      <c r="C40" s="156" t="s">
        <v>1949</v>
      </c>
      <c r="D40" s="156" t="s">
        <v>1951</v>
      </c>
    </row>
    <row r="41" spans="1:4" ht="36">
      <c r="A41" s="179">
        <v>44835</v>
      </c>
      <c r="B41" s="157" t="s">
        <v>1955</v>
      </c>
      <c r="C41" s="156" t="s">
        <v>1908</v>
      </c>
      <c r="D41" s="156" t="s">
        <v>1956</v>
      </c>
    </row>
    <row r="42" spans="1:4" ht="198">
      <c r="A42" s="179">
        <v>44930</v>
      </c>
      <c r="B42" s="157" t="s">
        <v>1957</v>
      </c>
      <c r="C42" s="156" t="s">
        <v>1949</v>
      </c>
      <c r="D42" s="156" t="s">
        <v>1958</v>
      </c>
    </row>
    <row r="43" spans="1:4" ht="108">
      <c r="A43" s="179">
        <v>44930</v>
      </c>
      <c r="B43" s="157" t="s">
        <v>1959</v>
      </c>
      <c r="C43" s="156" t="s">
        <v>1949</v>
      </c>
      <c r="D43" s="156" t="s">
        <v>1958</v>
      </c>
    </row>
    <row r="44" spans="1:4" ht="378">
      <c r="A44" s="179">
        <v>44930</v>
      </c>
      <c r="B44" s="157" t="s">
        <v>1960</v>
      </c>
      <c r="C44" s="156" t="s">
        <v>1949</v>
      </c>
      <c r="D44" s="156" t="s">
        <v>1958</v>
      </c>
    </row>
    <row r="45" spans="1:4" ht="288">
      <c r="A45" s="179">
        <v>44930</v>
      </c>
      <c r="B45" s="157" t="s">
        <v>1961</v>
      </c>
      <c r="C45" s="156" t="s">
        <v>1949</v>
      </c>
      <c r="D45" s="156" t="s">
        <v>1958</v>
      </c>
    </row>
    <row r="46" spans="1:4" ht="126">
      <c r="A46" s="179">
        <v>45110</v>
      </c>
      <c r="B46" s="157" t="s">
        <v>1962</v>
      </c>
      <c r="C46" s="156" t="s">
        <v>1963</v>
      </c>
      <c r="D46" s="156" t="s">
        <v>1964</v>
      </c>
    </row>
    <row r="47" spans="1:4" ht="72">
      <c r="A47" s="179">
        <v>45110</v>
      </c>
      <c r="B47" s="157" t="s">
        <v>1965</v>
      </c>
      <c r="C47" s="156" t="s">
        <v>1963</v>
      </c>
      <c r="D47" s="156" t="s">
        <v>1964</v>
      </c>
    </row>
    <row r="48" spans="1:4" ht="216">
      <c r="A48" s="179">
        <v>45110</v>
      </c>
      <c r="B48" s="157" t="s">
        <v>1966</v>
      </c>
      <c r="C48" s="156" t="s">
        <v>1967</v>
      </c>
      <c r="D48" s="156" t="s">
        <v>1964</v>
      </c>
    </row>
    <row r="49" spans="1:4" ht="409.5">
      <c r="A49" s="179">
        <v>45110</v>
      </c>
      <c r="B49" s="157" t="s">
        <v>1968</v>
      </c>
      <c r="C49" s="156" t="s">
        <v>1967</v>
      </c>
      <c r="D49" s="156" t="s">
        <v>1964</v>
      </c>
    </row>
    <row r="50" spans="1:4" ht="126">
      <c r="A50" s="179">
        <v>45110</v>
      </c>
      <c r="B50" s="157" t="s">
        <v>1969</v>
      </c>
      <c r="C50" s="156" t="s">
        <v>1963</v>
      </c>
      <c r="D50" s="156" t="s">
        <v>1964</v>
      </c>
    </row>
    <row r="51" spans="1:4" ht="54">
      <c r="A51" s="179">
        <v>45110</v>
      </c>
      <c r="B51" s="157" t="s">
        <v>1970</v>
      </c>
      <c r="C51" s="156" t="s">
        <v>1963</v>
      </c>
      <c r="D51" s="156" t="s">
        <v>1964</v>
      </c>
    </row>
    <row r="52" spans="1:4" ht="90">
      <c r="A52" s="179">
        <v>45110</v>
      </c>
      <c r="B52" s="157" t="s">
        <v>1971</v>
      </c>
      <c r="C52" s="156" t="s">
        <v>1963</v>
      </c>
      <c r="D52" s="156" t="s">
        <v>1964</v>
      </c>
    </row>
    <row r="53" spans="1:4" ht="72">
      <c r="A53" s="179">
        <v>45110</v>
      </c>
      <c r="B53" s="157" t="s">
        <v>1972</v>
      </c>
      <c r="C53" s="156" t="s">
        <v>1963</v>
      </c>
      <c r="D53" s="156" t="s">
        <v>1964</v>
      </c>
    </row>
    <row r="54" spans="1:4" ht="54">
      <c r="A54" s="179">
        <v>45110</v>
      </c>
      <c r="B54" s="157" t="s">
        <v>1973</v>
      </c>
      <c r="C54" s="156" t="s">
        <v>1963</v>
      </c>
      <c r="D54" s="156" t="s">
        <v>1964</v>
      </c>
    </row>
    <row r="55" spans="1:4" ht="72">
      <c r="A55" s="179">
        <v>45110</v>
      </c>
      <c r="B55" s="157" t="s">
        <v>1974</v>
      </c>
      <c r="C55" s="156" t="s">
        <v>1963</v>
      </c>
      <c r="D55" s="156" t="s">
        <v>1964</v>
      </c>
    </row>
    <row r="56" spans="1:4" ht="54">
      <c r="A56" s="179">
        <v>45110</v>
      </c>
      <c r="B56" s="157" t="s">
        <v>1975</v>
      </c>
      <c r="C56" s="156" t="s">
        <v>1963</v>
      </c>
      <c r="D56" s="156" t="s">
        <v>1964</v>
      </c>
    </row>
    <row r="57" spans="1:4" ht="54">
      <c r="A57" s="179">
        <v>45110</v>
      </c>
      <c r="B57" s="157" t="s">
        <v>1976</v>
      </c>
      <c r="C57" s="156" t="s">
        <v>1963</v>
      </c>
      <c r="D57" s="156" t="s">
        <v>1964</v>
      </c>
    </row>
    <row r="58" spans="1:4" ht="54">
      <c r="A58" s="179">
        <v>45110</v>
      </c>
      <c r="B58" s="157" t="s">
        <v>1977</v>
      </c>
      <c r="C58" s="156" t="s">
        <v>1963</v>
      </c>
      <c r="D58" s="156" t="s">
        <v>1964</v>
      </c>
    </row>
    <row r="59" spans="1:4" ht="180">
      <c r="A59" s="179">
        <v>45110</v>
      </c>
      <c r="B59" s="157" t="s">
        <v>1978</v>
      </c>
      <c r="C59" s="156" t="s">
        <v>1963</v>
      </c>
      <c r="D59" s="156" t="s">
        <v>1964</v>
      </c>
    </row>
    <row r="60" spans="1:4" ht="126">
      <c r="A60" s="179">
        <v>45110</v>
      </c>
      <c r="B60" s="157" t="s">
        <v>1979</v>
      </c>
      <c r="C60" s="156" t="s">
        <v>1963</v>
      </c>
      <c r="D60" s="156" t="s">
        <v>1964</v>
      </c>
    </row>
    <row r="61" spans="1:4" ht="409.5">
      <c r="A61" s="179">
        <v>45383</v>
      </c>
      <c r="B61" s="157" t="s">
        <v>2246</v>
      </c>
      <c r="C61" s="156" t="s">
        <v>1963</v>
      </c>
      <c r="D61" s="156" t="s">
        <v>2251</v>
      </c>
    </row>
    <row r="62" spans="1:4" ht="409.5">
      <c r="A62" s="179">
        <v>45383</v>
      </c>
      <c r="B62" s="157" t="s">
        <v>2245</v>
      </c>
      <c r="C62" s="156" t="s">
        <v>1963</v>
      </c>
      <c r="D62" s="156" t="s">
        <v>2252</v>
      </c>
    </row>
    <row r="63" spans="1:4" ht="198">
      <c r="A63" s="179">
        <v>45383</v>
      </c>
      <c r="B63" s="157" t="s">
        <v>2244</v>
      </c>
      <c r="C63" s="156" t="s">
        <v>1963</v>
      </c>
      <c r="D63" s="156" t="s">
        <v>2252</v>
      </c>
    </row>
    <row r="64" spans="1:4" ht="198">
      <c r="A64" s="179">
        <v>45383</v>
      </c>
      <c r="B64" s="157" t="s">
        <v>2243</v>
      </c>
      <c r="C64" s="156" t="s">
        <v>1963</v>
      </c>
      <c r="D64" s="156" t="s">
        <v>2252</v>
      </c>
    </row>
    <row r="65" spans="1:4" ht="54">
      <c r="A65" s="179">
        <v>45383</v>
      </c>
      <c r="B65" s="157" t="s">
        <v>2247</v>
      </c>
      <c r="C65" s="156" t="s">
        <v>1963</v>
      </c>
      <c r="D65" s="156" t="s">
        <v>2252</v>
      </c>
    </row>
    <row r="66" spans="1:4">
      <c r="A66" s="179">
        <v>45383</v>
      </c>
      <c r="B66" s="157" t="s">
        <v>2248</v>
      </c>
      <c r="C66" s="156" t="s">
        <v>1963</v>
      </c>
      <c r="D66" s="156" t="s">
        <v>2252</v>
      </c>
    </row>
    <row r="67" spans="1:4" ht="360">
      <c r="A67" s="179">
        <v>45383</v>
      </c>
      <c r="B67" s="157" t="s">
        <v>2242</v>
      </c>
      <c r="C67" s="156" t="s">
        <v>1963</v>
      </c>
      <c r="D67" s="156" t="s">
        <v>2252</v>
      </c>
    </row>
    <row r="68" spans="1:4" ht="162">
      <c r="A68" s="179">
        <v>45383</v>
      </c>
      <c r="B68" s="157" t="s">
        <v>2240</v>
      </c>
      <c r="C68" s="156" t="s">
        <v>1963</v>
      </c>
      <c r="D68" s="156" t="s">
        <v>2252</v>
      </c>
    </row>
    <row r="69" spans="1:4" ht="216">
      <c r="A69" s="179">
        <v>45383</v>
      </c>
      <c r="B69" s="157" t="s">
        <v>2241</v>
      </c>
      <c r="C69" s="156" t="s">
        <v>1963</v>
      </c>
      <c r="D69" s="156" t="s">
        <v>2252</v>
      </c>
    </row>
    <row r="70" spans="1:4" ht="144">
      <c r="A70" s="179">
        <v>45474</v>
      </c>
      <c r="B70" s="157" t="s">
        <v>2285</v>
      </c>
      <c r="C70" s="156" t="s">
        <v>2284</v>
      </c>
      <c r="D70" s="156"/>
    </row>
    <row r="71" spans="1:4" ht="108">
      <c r="A71" s="179">
        <v>45474</v>
      </c>
      <c r="B71" s="157" t="s">
        <v>2286</v>
      </c>
      <c r="C71" s="156" t="s">
        <v>2284</v>
      </c>
      <c r="D71" s="156"/>
    </row>
    <row r="72" spans="1:4">
      <c r="A72" s="156"/>
      <c r="B72" s="156"/>
      <c r="C72" s="156"/>
      <c r="D72" s="156"/>
    </row>
    <row r="73" spans="1:4">
      <c r="A73" s="156"/>
      <c r="B73" s="156"/>
      <c r="C73" s="156"/>
      <c r="D73" s="156"/>
    </row>
    <row r="74" spans="1:4">
      <c r="A74" s="156"/>
      <c r="B74" s="156"/>
      <c r="C74" s="156"/>
      <c r="D74" s="156"/>
    </row>
    <row r="75" spans="1:4">
      <c r="A75" s="156"/>
      <c r="B75" s="156"/>
      <c r="C75" s="156"/>
      <c r="D75" s="156"/>
    </row>
    <row r="76" spans="1:4">
      <c r="A76" s="156"/>
      <c r="B76" s="156"/>
      <c r="C76" s="156"/>
      <c r="D76" s="156"/>
    </row>
    <row r="77" spans="1:4">
      <c r="A77" s="156"/>
      <c r="B77" s="156"/>
      <c r="C77" s="156"/>
      <c r="D77" s="156"/>
    </row>
    <row r="78" spans="1:4">
      <c r="A78" s="156"/>
      <c r="B78" s="156"/>
      <c r="C78" s="156"/>
      <c r="D78" s="156"/>
    </row>
    <row r="79" spans="1:4">
      <c r="A79" s="156"/>
      <c r="B79" s="156"/>
      <c r="C79" s="156"/>
      <c r="D79" s="156"/>
    </row>
  </sheetData>
  <phoneticPr fontId="7"/>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D3EAECDC5F92D04886AF0860BA636A70" ma:contentTypeVersion="6" ma:contentTypeDescription="新しいドキュメントを作成します。" ma:contentTypeScope="" ma:versionID="e599b1e804be273f7072a57db5fe0f66">
  <xsd:schema xmlns:xsd="http://www.w3.org/2001/XMLSchema" xmlns:xs="http://www.w3.org/2001/XMLSchema" xmlns:p="http://schemas.microsoft.com/office/2006/metadata/properties" xmlns:ns2="fecab0c4-ba4e-4594-8bf4-d38a733ee612" xmlns:ns3="075cc54c-1817-4e0a-bc2e-1a186242da6b" targetNamespace="http://schemas.microsoft.com/office/2006/metadata/properties" ma:root="true" ma:fieldsID="7bfc830144efe0eacc25ad30c35f84a4" ns2:_="" ns3:_="">
    <xsd:import namespace="fecab0c4-ba4e-4594-8bf4-d38a733ee612"/>
    <xsd:import namespace="075cc54c-1817-4e0a-bc2e-1a186242da6b"/>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cab0c4-ba4e-4594-8bf4-d38a733ee6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75cc54c-1817-4e0a-bc2e-1a186242da6b"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F3958A-B4CE-4F01-9748-320A82FBADFA}">
  <ds:schemaRefs>
    <ds:schemaRef ds:uri="http://purl.org/dc/elements/1.1/"/>
    <ds:schemaRef ds:uri="http://schemas.microsoft.com/office/2006/metadata/properties"/>
    <ds:schemaRef ds:uri="075cc54c-1817-4e0a-bc2e-1a186242da6b"/>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ecab0c4-ba4e-4594-8bf4-d38a733ee612"/>
    <ds:schemaRef ds:uri="http://www.w3.org/XML/1998/namespace"/>
    <ds:schemaRef ds:uri="http://purl.org/dc/dcmitype/"/>
  </ds:schemaRefs>
</ds:datastoreItem>
</file>

<file path=customXml/itemProps2.xml><?xml version="1.0" encoding="utf-8"?>
<ds:datastoreItem xmlns:ds="http://schemas.openxmlformats.org/officeDocument/2006/customXml" ds:itemID="{3BE52E39-B5C4-422B-8E2B-B31E4AB662C2}">
  <ds:schemaRefs>
    <ds:schemaRef ds:uri="http://schemas.microsoft.com/sharepoint/v3/contenttype/forms"/>
  </ds:schemaRefs>
</ds:datastoreItem>
</file>

<file path=customXml/itemProps3.xml><?xml version="1.0" encoding="utf-8"?>
<ds:datastoreItem xmlns:ds="http://schemas.openxmlformats.org/officeDocument/2006/customXml" ds:itemID="{0D31FB33-DA9D-43B6-A2F3-8FF3E10F4B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cab0c4-ba4e-4594-8bf4-d38a733ee612"/>
    <ds:schemaRef ds:uri="075cc54c-1817-4e0a-bc2e-1a186242da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2</vt:i4>
      </vt:variant>
    </vt:vector>
  </HeadingPairs>
  <TitlesOfParts>
    <vt:vector size="20" baseType="lpstr">
      <vt:lpstr>注意 Caution</vt:lpstr>
      <vt:lpstr>インデックス</vt:lpstr>
      <vt:lpstr>フィルタ整理</vt:lpstr>
      <vt:lpstr>判定シート</vt:lpstr>
      <vt:lpstr>態勢</vt:lpstr>
      <vt:lpstr>アプリ設計</vt:lpstr>
      <vt:lpstr>アプリコーディング</vt:lpstr>
      <vt:lpstr>インフラ(自社DC)</vt:lpstr>
      <vt:lpstr>インフラ(AWS)</vt:lpstr>
      <vt:lpstr>インフラ(IaaS)</vt:lpstr>
      <vt:lpstr>インフラ(SaaS)</vt:lpstr>
      <vt:lpstr>運用プロセス(自社DC)</vt:lpstr>
      <vt:lpstr>運用プロセス(AWS)</vt:lpstr>
      <vt:lpstr>運用プロセス(IaaS)</vt:lpstr>
      <vt:lpstr>運用プロセス(SaaS)</vt:lpstr>
      <vt:lpstr>モバイルアプリ</vt:lpstr>
      <vt:lpstr>外部API</vt:lpstr>
      <vt:lpstr>改定履歴</vt:lpstr>
      <vt:lpstr>インデックス!Print_Area</vt:lpstr>
      <vt:lpstr>'注意 Caution'!Print_Area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岩渕　康平</dc:creator>
  <cp:keywords/>
  <dc:description/>
  <cp:lastModifiedBy>まえかわ　じゅんいち 前川　純一</cp:lastModifiedBy>
  <cp:revision/>
  <dcterms:created xsi:type="dcterms:W3CDTF">2015-06-05T18:19:34Z</dcterms:created>
  <dcterms:modified xsi:type="dcterms:W3CDTF">2024-08-06T06:21:52Z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0x010100D3EAECDC5F92D04886AF0860BA636A70</vt:lpwstr>
  </property>
  <property fmtid="{D5CDD505-2E9C-101B-9397-08002B2CF9AE}" pid="3" name="MediaServiceImageTags">
    <vt:lpwstr/>
  </property>
</Properties>
</file>